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fileSharing readOnlyRecommended="1"/>
  <workbookPr codeName="Denne_projektmappe" defaultThemeVersion="166925"/>
  <mc:AlternateContent xmlns:mc="http://schemas.openxmlformats.org/markup-compatibility/2006">
    <mc:Choice Requires="x15">
      <x15ac:absPath xmlns:x15ac="http://schemas.microsoft.com/office/spreadsheetml/2010/11/ac" url="\\ccta.dk\dfssystem\HomeFolders\w4\w27864\EUTK\KRIA\Messages\OM\Angivelser\"/>
    </mc:Choice>
  </mc:AlternateContent>
  <xr:revisionPtr revIDLastSave="0" documentId="8_{FD959448-F524-46B5-9898-0C02EBD5CD2E}" xr6:coauthVersionLast="47" xr6:coauthVersionMax="47" xr10:uidLastSave="{00000000-0000-0000-0000-000000000000}"/>
  <bookViews>
    <workbookView xWindow="-110" yWindow="-110" windowWidth="19420" windowHeight="10300" activeTab="1" xr2:uid="{783CF094-27DB-4F96-ADD2-8D9CE66E43B8}"/>
  </bookViews>
  <sheets>
    <sheet name="compare" sheetId="1" r:id="rId1"/>
    <sheet name="COMBINED" sheetId="8" r:id="rId2"/>
    <sheet name="Rules &amp; Conditions" sheetId="44" r:id="rId3"/>
    <sheet name="IMP_DAT" sheetId="10" r:id="rId4"/>
    <sheet name="DEC_AMD" sheetId="2" r:id="rId5"/>
    <sheet name="INV_REQ" sheetId="9" r:id="rId6"/>
    <sheet name="PRE_NOT" sheetId="11" r:id="rId7"/>
    <sheet name="PNO_EDR" sheetId="12" r:id="rId8"/>
    <sheet name="SUP_DOC" sheetId="13" r:id="rId9"/>
    <sheet name="AMD_ACC" sheetId="45" r:id="rId10"/>
    <sheet name="INV_DEC" sheetId="46" r:id="rId11"/>
    <sheet name="REG_NOT" sheetId="47" r:id="rId12"/>
    <sheet name="ACC_DEC" sheetId="48" r:id="rId13"/>
    <sheet name="REL_FIM" sheetId="49" r:id="rId14"/>
    <sheet name="EXP_SUP" sheetId="50" r:id="rId15"/>
    <sheet name="ADD_DOC" sheetId="51" r:id="rId16"/>
    <sheet name="CTR_RES" sheetId="52" r:id="rId17"/>
    <sheet name="DOC_RES" sheetId="53" r:id="rId18"/>
    <sheet name="CCI_NRL" sheetId="54" r:id="rId19"/>
    <sheet name="CCI_REJ" sheetId="55" r:id="rId20"/>
    <sheet name="PRE_REG" sheetId="56" r:id="rId21"/>
    <sheet name="IMP_CTR" sheetId="57" r:id="rId22"/>
    <sheet name="PRE_REQ" sheetId="58" r:id="rId23"/>
  </sheets>
  <definedNames>
    <definedName name="_xlnm._FilterDatabase" localSheetId="12" hidden="1">ACC_DEC!#REF!</definedName>
    <definedName name="_xlnm._FilterDatabase" localSheetId="15" hidden="1">ADD_DOC!#REF!</definedName>
    <definedName name="_xlnm._FilterDatabase" localSheetId="9" hidden="1">AMD_ACC!#REF!</definedName>
    <definedName name="_xlnm._FilterDatabase" localSheetId="18" hidden="1">CCI_NRL!#REF!</definedName>
    <definedName name="_xlnm._FilterDatabase" localSheetId="19" hidden="1">CCI_REJ!#REF!</definedName>
    <definedName name="_xlnm._FilterDatabase" localSheetId="1" hidden="1">COMBINED!$R$1:$R$346</definedName>
    <definedName name="_xlnm._FilterDatabase" localSheetId="16" hidden="1">CTR_RES!#REF!</definedName>
    <definedName name="_xlnm._FilterDatabase" localSheetId="17" hidden="1">DOC_RES!#REF!</definedName>
    <definedName name="_xlnm._FilterDatabase" localSheetId="14" hidden="1">EXP_SUP!#REF!</definedName>
    <definedName name="_xlnm._FilterDatabase" localSheetId="21" hidden="1">IMP_CTR!#REF!</definedName>
    <definedName name="_xlnm._FilterDatabase" localSheetId="10" hidden="1">INV_DEC!#REF!</definedName>
    <definedName name="_xlnm._FilterDatabase" localSheetId="5" hidden="1">INV_REQ!#REF!</definedName>
    <definedName name="_xlnm._FilterDatabase" localSheetId="7" hidden="1">PNO_EDR!#REF!</definedName>
    <definedName name="_xlnm._FilterDatabase" localSheetId="6" hidden="1">PRE_NOT!#REF!</definedName>
    <definedName name="_xlnm._FilterDatabase" localSheetId="20" hidden="1">PRE_REG!#REF!</definedName>
    <definedName name="_xlnm._FilterDatabase" localSheetId="22" hidden="1">PRE_REQ!#REF!</definedName>
    <definedName name="_xlnm._FilterDatabase" localSheetId="11" hidden="1">REG_NOT!#REF!</definedName>
    <definedName name="_xlnm._FilterDatabase" localSheetId="13" hidden="1">REL_FIM!#REF!</definedName>
    <definedName name="_xlnm._FilterDatabase" localSheetId="2" hidden="1">'Rules &amp; Conditions'!$A$1:$C$147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2" i="58" l="1"/>
  <c r="A81" i="58"/>
  <c r="A80" i="58"/>
  <c r="A79" i="58"/>
  <c r="A78" i="58"/>
  <c r="A77" i="58"/>
  <c r="A76" i="58"/>
  <c r="A75" i="58"/>
  <c r="A74" i="58"/>
  <c r="A73" i="58"/>
  <c r="A72" i="58"/>
  <c r="A71" i="58"/>
  <c r="A70" i="58"/>
  <c r="A69" i="58"/>
  <c r="A68" i="58"/>
  <c r="A67" i="58"/>
  <c r="A66" i="58"/>
  <c r="A65" i="58"/>
  <c r="A64" i="58"/>
  <c r="A63" i="58"/>
  <c r="A62" i="58"/>
  <c r="A61" i="58"/>
  <c r="A60" i="58"/>
  <c r="A59" i="58"/>
  <c r="A58" i="58"/>
  <c r="A57" i="58"/>
  <c r="A56" i="58"/>
  <c r="A55" i="58"/>
  <c r="A54" i="58"/>
  <c r="A53" i="58"/>
  <c r="A52" i="58"/>
  <c r="A51" i="58"/>
  <c r="A50" i="58"/>
  <c r="A49" i="58"/>
  <c r="A48" i="58"/>
  <c r="A47" i="58"/>
  <c r="A46" i="58"/>
  <c r="A45" i="58"/>
  <c r="A44" i="58"/>
  <c r="A43" i="58"/>
  <c r="A42" i="58"/>
  <c r="A41" i="58"/>
  <c r="A40" i="58"/>
  <c r="A39" i="58"/>
  <c r="A38" i="58"/>
  <c r="A37" i="58"/>
  <c r="A36" i="58"/>
  <c r="A35" i="58"/>
  <c r="A34" i="58"/>
  <c r="A33" i="58"/>
  <c r="A32" i="58"/>
  <c r="A31" i="58"/>
  <c r="A30" i="58"/>
  <c r="A29" i="58"/>
  <c r="A28" i="58"/>
  <c r="A27" i="58"/>
  <c r="A26" i="58"/>
  <c r="A25" i="58"/>
  <c r="A24" i="58"/>
  <c r="A23" i="58"/>
  <c r="A22" i="58"/>
  <c r="A21" i="58"/>
  <c r="A20" i="58"/>
  <c r="A19" i="58"/>
  <c r="A18" i="58"/>
  <c r="A17" i="58"/>
  <c r="A16" i="58"/>
  <c r="A15" i="58"/>
  <c r="A14" i="58"/>
  <c r="A13" i="58"/>
  <c r="A12" i="58"/>
  <c r="A11" i="58"/>
  <c r="A10" i="58"/>
  <c r="A9" i="58"/>
  <c r="A8" i="58"/>
  <c r="A7" i="58"/>
  <c r="A6" i="58"/>
  <c r="A5" i="58"/>
  <c r="A4" i="58"/>
  <c r="A3" i="58"/>
  <c r="Q2" i="58"/>
  <c r="Q3" i="58" s="1"/>
  <c r="Q4" i="58" s="1"/>
  <c r="Q5" i="58" s="1"/>
  <c r="Q6" i="58" s="1"/>
  <c r="Q7" i="58" s="1"/>
  <c r="Q8" i="58" s="1"/>
  <c r="Q9" i="58" s="1"/>
  <c r="Q10" i="58" s="1"/>
  <c r="Q11" i="58" s="1"/>
  <c r="Q12" i="58" s="1"/>
  <c r="Q13" i="58" s="1"/>
  <c r="Q14" i="58" s="1"/>
  <c r="Q15" i="58" s="1"/>
  <c r="Q16" i="58" s="1"/>
  <c r="Q17" i="58" s="1"/>
  <c r="Q18" i="58" s="1"/>
  <c r="Q19" i="58" s="1"/>
  <c r="Q20" i="58" s="1"/>
  <c r="Q21" i="58" s="1"/>
  <c r="Q22" i="58" s="1"/>
  <c r="Q23" i="58" s="1"/>
  <c r="Q24" i="58" s="1"/>
  <c r="Q25" i="58" s="1"/>
  <c r="Q26" i="58" s="1"/>
  <c r="Q27" i="58" s="1"/>
  <c r="Q28" i="58" s="1"/>
  <c r="Q29" i="58" s="1"/>
  <c r="Q30" i="58" s="1"/>
  <c r="Q31" i="58" s="1"/>
  <c r="Q32" i="58" s="1"/>
  <c r="Q33" i="58" s="1"/>
  <c r="Q34" i="58" s="1"/>
  <c r="Q35" i="58" s="1"/>
  <c r="Q36" i="58" s="1"/>
  <c r="Q37" i="58" s="1"/>
  <c r="Q38" i="58" s="1"/>
  <c r="Q39" i="58" s="1"/>
  <c r="Q40" i="58" s="1"/>
  <c r="Q41" i="58" s="1"/>
  <c r="Q42" i="58" s="1"/>
  <c r="Q43" i="58" s="1"/>
  <c r="Q44" i="58" s="1"/>
  <c r="Q45" i="58" s="1"/>
  <c r="Q46" i="58" s="1"/>
  <c r="Q47" i="58" s="1"/>
  <c r="Q48" i="58" s="1"/>
  <c r="Q49" i="58" s="1"/>
  <c r="Q50" i="58" s="1"/>
  <c r="Q51" i="58" s="1"/>
  <c r="Q52" i="58" s="1"/>
  <c r="Q53" i="58" s="1"/>
  <c r="Q54" i="58" s="1"/>
  <c r="Q55" i="58" s="1"/>
  <c r="Q56" i="58" s="1"/>
  <c r="Q57" i="58" s="1"/>
  <c r="Q58" i="58" s="1"/>
  <c r="Q59" i="58" s="1"/>
  <c r="Q60" i="58" s="1"/>
  <c r="Q61" i="58" s="1"/>
  <c r="Q62" i="58" s="1"/>
  <c r="Q63" i="58" s="1"/>
  <c r="Q64" i="58" s="1"/>
  <c r="Q65" i="58" s="1"/>
  <c r="Q66" i="58" s="1"/>
  <c r="Q67" i="58" s="1"/>
  <c r="Q68" i="58" s="1"/>
  <c r="Q69" i="58" s="1"/>
  <c r="Q70" i="58" s="1"/>
  <c r="Q71" i="58" s="1"/>
  <c r="Q72" i="58" s="1"/>
  <c r="Q73" i="58" s="1"/>
  <c r="Q74" i="58" s="1"/>
  <c r="Q75" i="58" s="1"/>
  <c r="Q76" i="58" s="1"/>
  <c r="Q77" i="58" s="1"/>
  <c r="Q78" i="58" s="1"/>
  <c r="Q79" i="58" s="1"/>
  <c r="Q80" i="58" s="1"/>
  <c r="Q81" i="58" s="1"/>
  <c r="Q82" i="58" s="1"/>
  <c r="A2" i="58"/>
  <c r="A47" i="57"/>
  <c r="A46" i="57"/>
  <c r="A45" i="57"/>
  <c r="A44" i="57"/>
  <c r="A43" i="57"/>
  <c r="A42" i="57"/>
  <c r="A41" i="57"/>
  <c r="A40" i="57"/>
  <c r="A39" i="57"/>
  <c r="A38" i="57"/>
  <c r="A37" i="57"/>
  <c r="A36" i="57"/>
  <c r="A35" i="57"/>
  <c r="A34" i="57"/>
  <c r="A33" i="57"/>
  <c r="A32" i="57"/>
  <c r="A31" i="57"/>
  <c r="A30" i="57"/>
  <c r="A29" i="57"/>
  <c r="A28" i="57"/>
  <c r="A27" i="57"/>
  <c r="A26" i="57"/>
  <c r="A25" i="57"/>
  <c r="A24" i="57"/>
  <c r="A23" i="57"/>
  <c r="A22" i="57"/>
  <c r="A21" i="57"/>
  <c r="A20" i="57"/>
  <c r="A19" i="57"/>
  <c r="A18" i="57"/>
  <c r="A17" i="57"/>
  <c r="A16" i="57"/>
  <c r="A15" i="57"/>
  <c r="A14" i="57"/>
  <c r="A13" i="57"/>
  <c r="A12" i="57"/>
  <c r="A11" i="57"/>
  <c r="A10" i="57"/>
  <c r="A9" i="57"/>
  <c r="A8" i="57"/>
  <c r="A7" i="57"/>
  <c r="A6" i="57"/>
  <c r="A5" i="57"/>
  <c r="A4" i="57"/>
  <c r="A3" i="57"/>
  <c r="Q2" i="57"/>
  <c r="Q3" i="57" s="1"/>
  <c r="Q4" i="57" s="1"/>
  <c r="Q5" i="57" s="1"/>
  <c r="Q6" i="57" s="1"/>
  <c r="Q7" i="57" s="1"/>
  <c r="Q8" i="57" s="1"/>
  <c r="Q9" i="57" s="1"/>
  <c r="Q10" i="57" s="1"/>
  <c r="Q11" i="57" s="1"/>
  <c r="Q12" i="57" s="1"/>
  <c r="Q13" i="57" s="1"/>
  <c r="Q14" i="57" s="1"/>
  <c r="Q15" i="57" s="1"/>
  <c r="Q16" i="57" s="1"/>
  <c r="Q17" i="57" s="1"/>
  <c r="Q18" i="57" s="1"/>
  <c r="Q19" i="57" s="1"/>
  <c r="Q20" i="57" s="1"/>
  <c r="Q21" i="57" s="1"/>
  <c r="Q22" i="57" s="1"/>
  <c r="Q23" i="57" s="1"/>
  <c r="Q24" i="57" s="1"/>
  <c r="Q25" i="57" s="1"/>
  <c r="Q26" i="57" s="1"/>
  <c r="Q27" i="57" s="1"/>
  <c r="Q28" i="57" s="1"/>
  <c r="Q29" i="57" s="1"/>
  <c r="Q30" i="57" s="1"/>
  <c r="Q31" i="57" s="1"/>
  <c r="Q32" i="57" s="1"/>
  <c r="Q33" i="57" s="1"/>
  <c r="Q34" i="57" s="1"/>
  <c r="Q35" i="57" s="1"/>
  <c r="Q36" i="57" s="1"/>
  <c r="Q37" i="57" s="1"/>
  <c r="Q38" i="57" s="1"/>
  <c r="Q39" i="57" s="1"/>
  <c r="Q40" i="57" s="1"/>
  <c r="Q41" i="57" s="1"/>
  <c r="Q42" i="57" s="1"/>
  <c r="Q43" i="57" s="1"/>
  <c r="Q44" i="57" s="1"/>
  <c r="Q45" i="57" s="1"/>
  <c r="Q46" i="57" s="1"/>
  <c r="Q47" i="57" s="1"/>
  <c r="A2" i="57"/>
  <c r="A26" i="56"/>
  <c r="A25" i="56"/>
  <c r="A24" i="56"/>
  <c r="A23" i="56"/>
  <c r="A22" i="56"/>
  <c r="A21" i="56"/>
  <c r="A20" i="56"/>
  <c r="A19" i="56"/>
  <c r="A18" i="56"/>
  <c r="A17" i="56"/>
  <c r="A16" i="56"/>
  <c r="A15" i="56"/>
  <c r="A14" i="56"/>
  <c r="A13" i="56"/>
  <c r="A12" i="56"/>
  <c r="A11" i="56"/>
  <c r="A10" i="56"/>
  <c r="A9" i="56"/>
  <c r="A8" i="56"/>
  <c r="A7" i="56"/>
  <c r="A6" i="56"/>
  <c r="A5" i="56"/>
  <c r="A4" i="56"/>
  <c r="Q3" i="56"/>
  <c r="Q4" i="56" s="1"/>
  <c r="Q5" i="56" s="1"/>
  <c r="Q6" i="56" s="1"/>
  <c r="Q7" i="56" s="1"/>
  <c r="Q8" i="56" s="1"/>
  <c r="Q9" i="56" s="1"/>
  <c r="Q10" i="56" s="1"/>
  <c r="Q11" i="56" s="1"/>
  <c r="Q12" i="56" s="1"/>
  <c r="Q13" i="56" s="1"/>
  <c r="Q14" i="56" s="1"/>
  <c r="Q15" i="56" s="1"/>
  <c r="Q16" i="56" s="1"/>
  <c r="Q17" i="56" s="1"/>
  <c r="Q18" i="56" s="1"/>
  <c r="Q19" i="56" s="1"/>
  <c r="Q20" i="56" s="1"/>
  <c r="Q21" i="56" s="1"/>
  <c r="Q22" i="56" s="1"/>
  <c r="Q23" i="56" s="1"/>
  <c r="Q24" i="56" s="1"/>
  <c r="Q25" i="56" s="1"/>
  <c r="Q26" i="56" s="1"/>
  <c r="A3" i="56"/>
  <c r="Q2" i="56"/>
  <c r="A2" i="56"/>
  <c r="A44" i="55"/>
  <c r="A43" i="55"/>
  <c r="A42" i="55"/>
  <c r="A41" i="55"/>
  <c r="A40" i="55"/>
  <c r="A39" i="55"/>
  <c r="A38" i="55"/>
  <c r="A37" i="55"/>
  <c r="A36" i="55"/>
  <c r="A35" i="55"/>
  <c r="A34" i="55"/>
  <c r="A33"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A6" i="55"/>
  <c r="A5" i="55"/>
  <c r="A4" i="55"/>
  <c r="A3" i="55"/>
  <c r="Q2" i="55"/>
  <c r="Q3" i="55" s="1"/>
  <c r="Q4" i="55" s="1"/>
  <c r="Q5" i="55" s="1"/>
  <c r="Q6" i="55" s="1"/>
  <c r="Q7" i="55" s="1"/>
  <c r="Q8" i="55" s="1"/>
  <c r="Q9" i="55" s="1"/>
  <c r="Q10" i="55" s="1"/>
  <c r="Q11" i="55" s="1"/>
  <c r="Q12" i="55" s="1"/>
  <c r="Q13" i="55" s="1"/>
  <c r="Q14" i="55" s="1"/>
  <c r="Q15" i="55" s="1"/>
  <c r="Q16" i="55" s="1"/>
  <c r="Q17" i="55" s="1"/>
  <c r="Q18" i="55" s="1"/>
  <c r="Q19" i="55" s="1"/>
  <c r="Q20" i="55" s="1"/>
  <c r="Q21" i="55" s="1"/>
  <c r="Q22" i="55" s="1"/>
  <c r="Q23" i="55" s="1"/>
  <c r="Q24" i="55" s="1"/>
  <c r="Q25" i="55" s="1"/>
  <c r="Q26" i="55" s="1"/>
  <c r="Q27" i="55" s="1"/>
  <c r="Q28" i="55" s="1"/>
  <c r="Q29" i="55" s="1"/>
  <c r="Q30" i="55" s="1"/>
  <c r="Q31" i="55" s="1"/>
  <c r="Q32" i="55" s="1"/>
  <c r="Q33" i="55" s="1"/>
  <c r="Q34" i="55" s="1"/>
  <c r="Q35" i="55" s="1"/>
  <c r="Q36" i="55" s="1"/>
  <c r="Q37" i="55" s="1"/>
  <c r="Q38" i="55" s="1"/>
  <c r="Q39" i="55" s="1"/>
  <c r="Q40" i="55" s="1"/>
  <c r="Q41" i="55" s="1"/>
  <c r="Q42" i="55" s="1"/>
  <c r="Q43" i="55" s="1"/>
  <c r="Q44" i="55" s="1"/>
  <c r="A2" i="55"/>
  <c r="A368" i="54"/>
  <c r="A367" i="54"/>
  <c r="A366" i="54"/>
  <c r="A365" i="54"/>
  <c r="A364" i="54"/>
  <c r="A363" i="54"/>
  <c r="A362" i="54"/>
  <c r="A361" i="54"/>
  <c r="A360" i="54"/>
  <c r="A359" i="54"/>
  <c r="A358" i="54"/>
  <c r="A357" i="54"/>
  <c r="A356" i="54"/>
  <c r="A355" i="54"/>
  <c r="A354" i="54"/>
  <c r="A353" i="54"/>
  <c r="A352" i="54"/>
  <c r="A351" i="54"/>
  <c r="A350" i="54"/>
  <c r="A349" i="54"/>
  <c r="A348" i="54"/>
  <c r="A347" i="54"/>
  <c r="A346" i="54"/>
  <c r="A345" i="54"/>
  <c r="A344" i="54"/>
  <c r="A343" i="54"/>
  <c r="A342" i="54"/>
  <c r="A341" i="54"/>
  <c r="A340" i="54"/>
  <c r="A339" i="54"/>
  <c r="A338" i="54"/>
  <c r="A337" i="54"/>
  <c r="A336" i="54"/>
  <c r="A335" i="54"/>
  <c r="A334" i="54"/>
  <c r="A333" i="54"/>
  <c r="A332" i="54"/>
  <c r="A331" i="54"/>
  <c r="A330" i="54"/>
  <c r="A329" i="54"/>
  <c r="A328" i="54"/>
  <c r="A327" i="54"/>
  <c r="A326" i="54"/>
  <c r="A325" i="54"/>
  <c r="A324" i="54"/>
  <c r="A323" i="54"/>
  <c r="A322" i="54"/>
  <c r="A321" i="54"/>
  <c r="A320" i="54"/>
  <c r="A319" i="54"/>
  <c r="A318" i="54"/>
  <c r="A317" i="54"/>
  <c r="A316" i="54"/>
  <c r="A315" i="54"/>
  <c r="A314" i="54"/>
  <c r="A313" i="54"/>
  <c r="A312" i="54"/>
  <c r="A311" i="54"/>
  <c r="A310" i="54"/>
  <c r="A309" i="54"/>
  <c r="A308" i="54"/>
  <c r="A307" i="54"/>
  <c r="A306" i="54"/>
  <c r="A305" i="54"/>
  <c r="A304" i="54"/>
  <c r="A303" i="54"/>
  <c r="A302" i="54"/>
  <c r="A301" i="54"/>
  <c r="A300" i="54"/>
  <c r="A299" i="54"/>
  <c r="A298" i="54"/>
  <c r="A297" i="54"/>
  <c r="A296" i="54"/>
  <c r="A295" i="54"/>
  <c r="A294" i="54"/>
  <c r="A293" i="54"/>
  <c r="A292" i="54"/>
  <c r="A291" i="54"/>
  <c r="A290" i="54"/>
  <c r="A289" i="54"/>
  <c r="A288" i="54"/>
  <c r="A287" i="54"/>
  <c r="A286" i="54"/>
  <c r="A285" i="54"/>
  <c r="A284" i="54"/>
  <c r="A283" i="54"/>
  <c r="A282" i="54"/>
  <c r="A281" i="54"/>
  <c r="A280" i="54"/>
  <c r="A279" i="54"/>
  <c r="A278" i="54"/>
  <c r="A277" i="54"/>
  <c r="A276" i="54"/>
  <c r="A275" i="54"/>
  <c r="A274" i="54"/>
  <c r="A273" i="54"/>
  <c r="A272" i="54"/>
  <c r="A271" i="54"/>
  <c r="A270" i="54"/>
  <c r="A269" i="54"/>
  <c r="A268" i="54"/>
  <c r="A267" i="54"/>
  <c r="A266" i="54"/>
  <c r="A265" i="54"/>
  <c r="A264" i="54"/>
  <c r="A263" i="54"/>
  <c r="A262" i="54"/>
  <c r="A261" i="54"/>
  <c r="A260" i="54"/>
  <c r="A259" i="54"/>
  <c r="A258" i="54"/>
  <c r="A257" i="54"/>
  <c r="A256" i="54"/>
  <c r="A255" i="54"/>
  <c r="A254" i="54"/>
  <c r="A253" i="54"/>
  <c r="A252" i="54"/>
  <c r="A251" i="54"/>
  <c r="A250" i="54"/>
  <c r="A249" i="54"/>
  <c r="A248" i="54"/>
  <c r="A247" i="54"/>
  <c r="A246" i="54"/>
  <c r="A245" i="54"/>
  <c r="A244" i="54"/>
  <c r="A243" i="54"/>
  <c r="A242" i="54"/>
  <c r="A241" i="54"/>
  <c r="A240" i="54"/>
  <c r="A239" i="54"/>
  <c r="A238" i="54"/>
  <c r="A237" i="54"/>
  <c r="A236" i="54"/>
  <c r="A235" i="54"/>
  <c r="A234" i="54"/>
  <c r="A233" i="54"/>
  <c r="A232" i="54"/>
  <c r="A231" i="54"/>
  <c r="A230" i="54"/>
  <c r="A229" i="54"/>
  <c r="A228" i="54"/>
  <c r="A227" i="54"/>
  <c r="A226" i="54"/>
  <c r="A225" i="54"/>
  <c r="A224" i="54"/>
  <c r="A223" i="54"/>
  <c r="A222" i="54"/>
  <c r="A221" i="54"/>
  <c r="A220" i="54"/>
  <c r="A219" i="54"/>
  <c r="A218" i="54"/>
  <c r="A217" i="54"/>
  <c r="A216" i="54"/>
  <c r="A215" i="54"/>
  <c r="A214" i="54"/>
  <c r="A213" i="54"/>
  <c r="A212" i="54"/>
  <c r="A211" i="54"/>
  <c r="A210" i="54"/>
  <c r="A209" i="54"/>
  <c r="A208" i="54"/>
  <c r="A207" i="54"/>
  <c r="A206" i="54"/>
  <c r="A205" i="54"/>
  <c r="A204" i="54"/>
  <c r="A203" i="54"/>
  <c r="A202" i="54"/>
  <c r="A201" i="54"/>
  <c r="A200" i="54"/>
  <c r="A199" i="54"/>
  <c r="A198" i="54"/>
  <c r="A197" i="54"/>
  <c r="A196" i="54"/>
  <c r="A195" i="54"/>
  <c r="A194" i="54"/>
  <c r="A193" i="54"/>
  <c r="A192" i="54"/>
  <c r="A191" i="54"/>
  <c r="A190" i="54"/>
  <c r="A189" i="54"/>
  <c r="A188" i="54"/>
  <c r="A187" i="54"/>
  <c r="A186" i="54"/>
  <c r="A185" i="54"/>
  <c r="A184" i="54"/>
  <c r="A183" i="54"/>
  <c r="A182" i="54"/>
  <c r="A181" i="54"/>
  <c r="A180" i="54"/>
  <c r="A179" i="54"/>
  <c r="A178" i="54"/>
  <c r="A177" i="54"/>
  <c r="A176" i="54"/>
  <c r="A175" i="54"/>
  <c r="A174" i="54"/>
  <c r="A173" i="54"/>
  <c r="A172" i="54"/>
  <c r="A171" i="54"/>
  <c r="A170" i="54"/>
  <c r="A169" i="54"/>
  <c r="A168" i="54"/>
  <c r="A167" i="54"/>
  <c r="A166" i="54"/>
  <c r="A165" i="54"/>
  <c r="A164" i="54"/>
  <c r="A163" i="54"/>
  <c r="A162" i="54"/>
  <c r="A161" i="54"/>
  <c r="A160" i="54"/>
  <c r="A159" i="54"/>
  <c r="A158" i="54"/>
  <c r="A157" i="54"/>
  <c r="A156" i="54"/>
  <c r="A155" i="54"/>
  <c r="A154" i="54"/>
  <c r="A153" i="54"/>
  <c r="A152" i="54"/>
  <c r="A151" i="54"/>
  <c r="A150" i="54"/>
  <c r="A149" i="54"/>
  <c r="A148" i="54"/>
  <c r="A147" i="54"/>
  <c r="A146" i="54"/>
  <c r="A145" i="54"/>
  <c r="A144" i="54"/>
  <c r="A143" i="54"/>
  <c r="A142" i="54"/>
  <c r="A141" i="54"/>
  <c r="A140" i="54"/>
  <c r="A139" i="54"/>
  <c r="A138" i="54"/>
  <c r="A137" i="54"/>
  <c r="A136" i="54"/>
  <c r="A135" i="54"/>
  <c r="A134" i="54"/>
  <c r="A133" i="54"/>
  <c r="A132" i="54"/>
  <c r="A131" i="54"/>
  <c r="A130" i="54"/>
  <c r="A129" i="54"/>
  <c r="A128" i="54"/>
  <c r="A127" i="54"/>
  <c r="A126" i="54"/>
  <c r="A125" i="54"/>
  <c r="A124" i="54"/>
  <c r="A123" i="54"/>
  <c r="A122" i="54"/>
  <c r="A121" i="54"/>
  <c r="A120" i="54"/>
  <c r="A119" i="54"/>
  <c r="A118" i="54"/>
  <c r="A117" i="54"/>
  <c r="A116" i="54"/>
  <c r="A115" i="54"/>
  <c r="A114" i="54"/>
  <c r="A113" i="54"/>
  <c r="A112" i="54"/>
  <c r="A111" i="54"/>
  <c r="A110" i="54"/>
  <c r="A109" i="54"/>
  <c r="A108" i="54"/>
  <c r="A107" i="54"/>
  <c r="A106" i="54"/>
  <c r="A105" i="54"/>
  <c r="A104" i="54"/>
  <c r="A103" i="54"/>
  <c r="A102" i="54"/>
  <c r="A101" i="54"/>
  <c r="A100" i="54"/>
  <c r="A99" i="54"/>
  <c r="A98" i="54"/>
  <c r="A97" i="54"/>
  <c r="A96" i="54"/>
  <c r="A95" i="54"/>
  <c r="A94" i="54"/>
  <c r="A93" i="54"/>
  <c r="A92" i="54"/>
  <c r="A91" i="54"/>
  <c r="A90" i="54"/>
  <c r="A89" i="54"/>
  <c r="A88" i="54"/>
  <c r="A87" i="54"/>
  <c r="A86" i="54"/>
  <c r="A85" i="54"/>
  <c r="A84" i="54"/>
  <c r="A83" i="54"/>
  <c r="A82" i="54"/>
  <c r="A81" i="54"/>
  <c r="A80" i="54"/>
  <c r="A79" i="54"/>
  <c r="A78" i="54"/>
  <c r="A77" i="54"/>
  <c r="A76" i="54"/>
  <c r="A75" i="54"/>
  <c r="A74" i="54"/>
  <c r="A73" i="54"/>
  <c r="A72" i="54"/>
  <c r="A71" i="54"/>
  <c r="A70" i="54"/>
  <c r="A69" i="54"/>
  <c r="A68" i="54"/>
  <c r="A67" i="54"/>
  <c r="A66" i="54"/>
  <c r="A65" i="54"/>
  <c r="A64" i="54"/>
  <c r="A63" i="54"/>
  <c r="A62" i="54"/>
  <c r="A61" i="54"/>
  <c r="A60" i="54"/>
  <c r="A59" i="54"/>
  <c r="A58" i="54"/>
  <c r="A57" i="54"/>
  <c r="A56" i="54"/>
  <c r="A55" i="54"/>
  <c r="A54" i="54"/>
  <c r="A53" i="54"/>
  <c r="A52" i="54"/>
  <c r="A51" i="54"/>
  <c r="A50" i="54"/>
  <c r="A49" i="54"/>
  <c r="A48" i="54"/>
  <c r="A47" i="54"/>
  <c r="A46" i="54"/>
  <c r="A45" i="54"/>
  <c r="A44" i="54"/>
  <c r="A43" i="54"/>
  <c r="A42" i="54"/>
  <c r="A41" i="54"/>
  <c r="A40" i="54"/>
  <c r="A39" i="54"/>
  <c r="A38" i="54"/>
  <c r="A37" i="54"/>
  <c r="A36" i="54"/>
  <c r="A35" i="54"/>
  <c r="A34" i="54"/>
  <c r="A33" i="54"/>
  <c r="A32" i="54"/>
  <c r="A31" i="54"/>
  <c r="A30" i="54"/>
  <c r="A29" i="54"/>
  <c r="A28" i="54"/>
  <c r="A27" i="54"/>
  <c r="A26" i="54"/>
  <c r="A25" i="54"/>
  <c r="A24" i="54"/>
  <c r="A23" i="54"/>
  <c r="A22" i="54"/>
  <c r="A21" i="54"/>
  <c r="A20" i="54"/>
  <c r="A19" i="54"/>
  <c r="A18" i="54"/>
  <c r="A17" i="54"/>
  <c r="A16" i="54"/>
  <c r="A15" i="54"/>
  <c r="A14" i="54"/>
  <c r="A13" i="54"/>
  <c r="A12" i="54"/>
  <c r="A11" i="54"/>
  <c r="A10" i="54"/>
  <c r="A9" i="54"/>
  <c r="A8" i="54"/>
  <c r="A7" i="54"/>
  <c r="A6" i="54"/>
  <c r="A5" i="54"/>
  <c r="A4" i="54"/>
  <c r="A3" i="54"/>
  <c r="Q2" i="54"/>
  <c r="Q3" i="54" s="1"/>
  <c r="Q4" i="54" s="1"/>
  <c r="Q5" i="54" s="1"/>
  <c r="Q6" i="54" s="1"/>
  <c r="Q7" i="54" s="1"/>
  <c r="Q8" i="54" s="1"/>
  <c r="Q9" i="54" s="1"/>
  <c r="Q10" i="54" s="1"/>
  <c r="Q11" i="54" s="1"/>
  <c r="Q12" i="54" s="1"/>
  <c r="Q13" i="54" s="1"/>
  <c r="Q14" i="54" s="1"/>
  <c r="Q15" i="54" s="1"/>
  <c r="Q16" i="54" s="1"/>
  <c r="Q17" i="54" s="1"/>
  <c r="Q18" i="54" s="1"/>
  <c r="Q19" i="54" s="1"/>
  <c r="Q20" i="54" s="1"/>
  <c r="Q21" i="54" s="1"/>
  <c r="Q22" i="54" s="1"/>
  <c r="Q23" i="54" s="1"/>
  <c r="Q24" i="54" s="1"/>
  <c r="Q25" i="54" s="1"/>
  <c r="Q26" i="54" s="1"/>
  <c r="Q27" i="54" s="1"/>
  <c r="Q28" i="54" s="1"/>
  <c r="Q29" i="54" s="1"/>
  <c r="Q30" i="54" s="1"/>
  <c r="Q31" i="54" s="1"/>
  <c r="Q32" i="54" s="1"/>
  <c r="Q33" i="54" s="1"/>
  <c r="Q34" i="54" s="1"/>
  <c r="Q35" i="54" s="1"/>
  <c r="Q36" i="54" s="1"/>
  <c r="Q37" i="54" s="1"/>
  <c r="Q38" i="54" s="1"/>
  <c r="Q39" i="54" s="1"/>
  <c r="Q40" i="54" s="1"/>
  <c r="Q41" i="54" s="1"/>
  <c r="Q42" i="54" s="1"/>
  <c r="Q43" i="54" s="1"/>
  <c r="Q44" i="54" s="1"/>
  <c r="Q45" i="54" s="1"/>
  <c r="Q46" i="54" s="1"/>
  <c r="Q47" i="54" s="1"/>
  <c r="Q48" i="54" s="1"/>
  <c r="Q49" i="54" s="1"/>
  <c r="Q50" i="54" s="1"/>
  <c r="Q51" i="54" s="1"/>
  <c r="Q52" i="54" s="1"/>
  <c r="Q53" i="54" s="1"/>
  <c r="Q54" i="54" s="1"/>
  <c r="Q55" i="54" s="1"/>
  <c r="Q56" i="54" s="1"/>
  <c r="Q57" i="54" s="1"/>
  <c r="Q58" i="54" s="1"/>
  <c r="Q59" i="54" s="1"/>
  <c r="Q60" i="54" s="1"/>
  <c r="Q61" i="54" s="1"/>
  <c r="Q62" i="54" s="1"/>
  <c r="Q63" i="54" s="1"/>
  <c r="Q64" i="54" s="1"/>
  <c r="Q65" i="54" s="1"/>
  <c r="Q66" i="54" s="1"/>
  <c r="Q67" i="54" s="1"/>
  <c r="Q68" i="54" s="1"/>
  <c r="Q69" i="54" s="1"/>
  <c r="Q70" i="54" s="1"/>
  <c r="Q71" i="54" s="1"/>
  <c r="Q72" i="54" s="1"/>
  <c r="Q73" i="54" s="1"/>
  <c r="Q74" i="54" s="1"/>
  <c r="Q75" i="54" s="1"/>
  <c r="Q76" i="54" s="1"/>
  <c r="Q77" i="54" s="1"/>
  <c r="Q78" i="54" s="1"/>
  <c r="Q79" i="54" s="1"/>
  <c r="Q80" i="54" s="1"/>
  <c r="Q81" i="54" s="1"/>
  <c r="Q82" i="54" s="1"/>
  <c r="Q83" i="54" s="1"/>
  <c r="Q84" i="54" s="1"/>
  <c r="Q85" i="54" s="1"/>
  <c r="Q86" i="54" s="1"/>
  <c r="Q87" i="54" s="1"/>
  <c r="Q88" i="54" s="1"/>
  <c r="Q89" i="54" s="1"/>
  <c r="Q90" i="54" s="1"/>
  <c r="Q91" i="54" s="1"/>
  <c r="Q92" i="54" s="1"/>
  <c r="Q93" i="54" s="1"/>
  <c r="Q94" i="54" s="1"/>
  <c r="Q95" i="54" s="1"/>
  <c r="Q96" i="54" s="1"/>
  <c r="Q97" i="54" s="1"/>
  <c r="Q98" i="54" s="1"/>
  <c r="Q99" i="54" s="1"/>
  <c r="Q100" i="54" s="1"/>
  <c r="Q101" i="54" s="1"/>
  <c r="Q102" i="54" s="1"/>
  <c r="Q103" i="54" s="1"/>
  <c r="Q104" i="54" s="1"/>
  <c r="Q105" i="54" s="1"/>
  <c r="Q106" i="54" s="1"/>
  <c r="Q107" i="54" s="1"/>
  <c r="Q108" i="54" s="1"/>
  <c r="Q109" i="54" s="1"/>
  <c r="Q110" i="54" s="1"/>
  <c r="Q111" i="54" s="1"/>
  <c r="Q112" i="54" s="1"/>
  <c r="Q113" i="54" s="1"/>
  <c r="Q114" i="54" s="1"/>
  <c r="Q115" i="54" s="1"/>
  <c r="Q116" i="54" s="1"/>
  <c r="Q117" i="54" s="1"/>
  <c r="Q118" i="54" s="1"/>
  <c r="Q119" i="54" s="1"/>
  <c r="Q120" i="54" s="1"/>
  <c r="Q121" i="54" s="1"/>
  <c r="Q122" i="54" s="1"/>
  <c r="Q123" i="54" s="1"/>
  <c r="Q124" i="54" s="1"/>
  <c r="Q125" i="54" s="1"/>
  <c r="Q126" i="54" s="1"/>
  <c r="Q127" i="54" s="1"/>
  <c r="Q128" i="54" s="1"/>
  <c r="Q129" i="54" s="1"/>
  <c r="Q130" i="54" s="1"/>
  <c r="Q131" i="54" s="1"/>
  <c r="Q132" i="54" s="1"/>
  <c r="Q133" i="54" s="1"/>
  <c r="Q134" i="54" s="1"/>
  <c r="Q135" i="54" s="1"/>
  <c r="Q136" i="54" s="1"/>
  <c r="Q137" i="54" s="1"/>
  <c r="Q138" i="54" s="1"/>
  <c r="Q139" i="54" s="1"/>
  <c r="Q140" i="54" s="1"/>
  <c r="Q141" i="54" s="1"/>
  <c r="Q142" i="54" s="1"/>
  <c r="Q143" i="54" s="1"/>
  <c r="Q144" i="54" s="1"/>
  <c r="Q145" i="54" s="1"/>
  <c r="Q146" i="54" s="1"/>
  <c r="Q147" i="54" s="1"/>
  <c r="Q148" i="54" s="1"/>
  <c r="Q149" i="54" s="1"/>
  <c r="Q150" i="54" s="1"/>
  <c r="Q151" i="54" s="1"/>
  <c r="Q152" i="54" s="1"/>
  <c r="Q153" i="54" s="1"/>
  <c r="Q154" i="54" s="1"/>
  <c r="Q155" i="54" s="1"/>
  <c r="Q156" i="54" s="1"/>
  <c r="Q157" i="54" s="1"/>
  <c r="Q158" i="54" s="1"/>
  <c r="Q159" i="54" s="1"/>
  <c r="Q160" i="54" s="1"/>
  <c r="Q161" i="54" s="1"/>
  <c r="Q162" i="54" s="1"/>
  <c r="Q163" i="54" s="1"/>
  <c r="Q164" i="54" s="1"/>
  <c r="Q165" i="54" s="1"/>
  <c r="Q166" i="54" s="1"/>
  <c r="Q167" i="54" s="1"/>
  <c r="Q168" i="54" s="1"/>
  <c r="Q169" i="54" s="1"/>
  <c r="Q170" i="54" s="1"/>
  <c r="Q171" i="54" s="1"/>
  <c r="Q172" i="54" s="1"/>
  <c r="Q173" i="54" s="1"/>
  <c r="Q174" i="54" s="1"/>
  <c r="Q175" i="54" s="1"/>
  <c r="Q176" i="54" s="1"/>
  <c r="Q177" i="54" s="1"/>
  <c r="Q178" i="54" s="1"/>
  <c r="Q179" i="54" s="1"/>
  <c r="Q180" i="54" s="1"/>
  <c r="Q181" i="54" s="1"/>
  <c r="Q182" i="54" s="1"/>
  <c r="Q183" i="54" s="1"/>
  <c r="Q184" i="54" s="1"/>
  <c r="Q185" i="54" s="1"/>
  <c r="Q186" i="54" s="1"/>
  <c r="Q187" i="54" s="1"/>
  <c r="Q188" i="54" s="1"/>
  <c r="Q189" i="54" s="1"/>
  <c r="Q190" i="54" s="1"/>
  <c r="Q191" i="54" s="1"/>
  <c r="Q192" i="54" s="1"/>
  <c r="Q193" i="54" s="1"/>
  <c r="Q194" i="54" s="1"/>
  <c r="Q195" i="54" s="1"/>
  <c r="Q196" i="54" s="1"/>
  <c r="Q197" i="54" s="1"/>
  <c r="Q198" i="54" s="1"/>
  <c r="Q199" i="54" s="1"/>
  <c r="Q200" i="54" s="1"/>
  <c r="Q201" i="54" s="1"/>
  <c r="Q202" i="54" s="1"/>
  <c r="Q203" i="54" s="1"/>
  <c r="Q204" i="54" s="1"/>
  <c r="Q205" i="54" s="1"/>
  <c r="Q206" i="54" s="1"/>
  <c r="Q207" i="54" s="1"/>
  <c r="Q208" i="54" s="1"/>
  <c r="Q209" i="54" s="1"/>
  <c r="Q210" i="54" s="1"/>
  <c r="Q211" i="54" s="1"/>
  <c r="Q212" i="54" s="1"/>
  <c r="Q213" i="54" s="1"/>
  <c r="Q214" i="54" s="1"/>
  <c r="Q215" i="54" s="1"/>
  <c r="Q216" i="54" s="1"/>
  <c r="Q217" i="54" s="1"/>
  <c r="Q218" i="54" s="1"/>
  <c r="Q219" i="54" s="1"/>
  <c r="Q220" i="54" s="1"/>
  <c r="Q221" i="54" s="1"/>
  <c r="Q222" i="54" s="1"/>
  <c r="Q223" i="54" s="1"/>
  <c r="Q224" i="54" s="1"/>
  <c r="Q225" i="54" s="1"/>
  <c r="Q226" i="54" s="1"/>
  <c r="Q227" i="54" s="1"/>
  <c r="Q228" i="54" s="1"/>
  <c r="Q229" i="54" s="1"/>
  <c r="Q230" i="54" s="1"/>
  <c r="Q231" i="54" s="1"/>
  <c r="Q232" i="54" s="1"/>
  <c r="Q233" i="54" s="1"/>
  <c r="Q234" i="54" s="1"/>
  <c r="Q235" i="54" s="1"/>
  <c r="Q236" i="54" s="1"/>
  <c r="Q237" i="54" s="1"/>
  <c r="Q238" i="54" s="1"/>
  <c r="Q239" i="54" s="1"/>
  <c r="Q240" i="54" s="1"/>
  <c r="Q241" i="54" s="1"/>
  <c r="Q242" i="54" s="1"/>
  <c r="Q243" i="54" s="1"/>
  <c r="Q244" i="54" s="1"/>
  <c r="Q245" i="54" s="1"/>
  <c r="Q246" i="54" s="1"/>
  <c r="Q247" i="54" s="1"/>
  <c r="Q248" i="54" s="1"/>
  <c r="Q249" i="54" s="1"/>
  <c r="Q250" i="54" s="1"/>
  <c r="Q251" i="54" s="1"/>
  <c r="Q252" i="54" s="1"/>
  <c r="Q253" i="54" s="1"/>
  <c r="Q254" i="54" s="1"/>
  <c r="Q255" i="54" s="1"/>
  <c r="Q256" i="54" s="1"/>
  <c r="Q257" i="54" s="1"/>
  <c r="Q258" i="54" s="1"/>
  <c r="Q259" i="54" s="1"/>
  <c r="Q260" i="54" s="1"/>
  <c r="Q261" i="54" s="1"/>
  <c r="Q262" i="54" s="1"/>
  <c r="Q263" i="54" s="1"/>
  <c r="Q264" i="54" s="1"/>
  <c r="Q265" i="54" s="1"/>
  <c r="Q266" i="54" s="1"/>
  <c r="Q267" i="54" s="1"/>
  <c r="Q268" i="54" s="1"/>
  <c r="Q269" i="54" s="1"/>
  <c r="Q270" i="54" s="1"/>
  <c r="Q271" i="54" s="1"/>
  <c r="Q272" i="54" s="1"/>
  <c r="Q273" i="54" s="1"/>
  <c r="Q274" i="54" s="1"/>
  <c r="Q275" i="54" s="1"/>
  <c r="Q276" i="54" s="1"/>
  <c r="Q277" i="54" s="1"/>
  <c r="Q278" i="54" s="1"/>
  <c r="Q279" i="54" s="1"/>
  <c r="Q280" i="54" s="1"/>
  <c r="Q281" i="54" s="1"/>
  <c r="Q282" i="54" s="1"/>
  <c r="Q283" i="54" s="1"/>
  <c r="Q284" i="54" s="1"/>
  <c r="Q285" i="54" s="1"/>
  <c r="Q286" i="54" s="1"/>
  <c r="Q287" i="54" s="1"/>
  <c r="Q288" i="54" s="1"/>
  <c r="Q289" i="54" s="1"/>
  <c r="Q290" i="54" s="1"/>
  <c r="Q291" i="54" s="1"/>
  <c r="Q292" i="54" s="1"/>
  <c r="Q293" i="54" s="1"/>
  <c r="Q294" i="54" s="1"/>
  <c r="Q295" i="54" s="1"/>
  <c r="Q296" i="54" s="1"/>
  <c r="Q297" i="54" s="1"/>
  <c r="Q298" i="54" s="1"/>
  <c r="Q299" i="54" s="1"/>
  <c r="Q300" i="54" s="1"/>
  <c r="Q301" i="54" s="1"/>
  <c r="Q302" i="54" s="1"/>
  <c r="Q303" i="54" s="1"/>
  <c r="Q304" i="54" s="1"/>
  <c r="Q305" i="54" s="1"/>
  <c r="Q306" i="54" s="1"/>
  <c r="Q307" i="54" s="1"/>
  <c r="Q308" i="54" s="1"/>
  <c r="Q309" i="54" s="1"/>
  <c r="Q310" i="54" s="1"/>
  <c r="Q311" i="54" s="1"/>
  <c r="Q312" i="54" s="1"/>
  <c r="Q313" i="54" s="1"/>
  <c r="Q314" i="54" s="1"/>
  <c r="Q315" i="54" s="1"/>
  <c r="Q316" i="54" s="1"/>
  <c r="Q317" i="54" s="1"/>
  <c r="Q318" i="54" s="1"/>
  <c r="Q319" i="54" s="1"/>
  <c r="Q320" i="54" s="1"/>
  <c r="Q321" i="54" s="1"/>
  <c r="Q322" i="54" s="1"/>
  <c r="Q323" i="54" s="1"/>
  <c r="Q324" i="54" s="1"/>
  <c r="Q325" i="54" s="1"/>
  <c r="Q326" i="54" s="1"/>
  <c r="Q327" i="54" s="1"/>
  <c r="Q328" i="54" s="1"/>
  <c r="Q329" i="54" s="1"/>
  <c r="Q330" i="54" s="1"/>
  <c r="Q331" i="54" s="1"/>
  <c r="Q332" i="54" s="1"/>
  <c r="Q333" i="54" s="1"/>
  <c r="Q334" i="54" s="1"/>
  <c r="Q335" i="54" s="1"/>
  <c r="Q336" i="54" s="1"/>
  <c r="Q337" i="54" s="1"/>
  <c r="Q338" i="54" s="1"/>
  <c r="Q339" i="54" s="1"/>
  <c r="Q340" i="54" s="1"/>
  <c r="Q341" i="54" s="1"/>
  <c r="Q342" i="54" s="1"/>
  <c r="Q343" i="54" s="1"/>
  <c r="Q344" i="54" s="1"/>
  <c r="Q345" i="54" s="1"/>
  <c r="Q346" i="54" s="1"/>
  <c r="Q347" i="54" s="1"/>
  <c r="Q348" i="54" s="1"/>
  <c r="Q349" i="54" s="1"/>
  <c r="Q350" i="54" s="1"/>
  <c r="Q351" i="54" s="1"/>
  <c r="Q352" i="54" s="1"/>
  <c r="Q353" i="54" s="1"/>
  <c r="Q354" i="54" s="1"/>
  <c r="Q355" i="54" s="1"/>
  <c r="Q356" i="54" s="1"/>
  <c r="Q357" i="54" s="1"/>
  <c r="Q358" i="54" s="1"/>
  <c r="Q359" i="54" s="1"/>
  <c r="Q360" i="54" s="1"/>
  <c r="Q361" i="54" s="1"/>
  <c r="Q362" i="54" s="1"/>
  <c r="Q363" i="54" s="1"/>
  <c r="Q364" i="54" s="1"/>
  <c r="Q365" i="54" s="1"/>
  <c r="Q366" i="54" s="1"/>
  <c r="Q367" i="54" s="1"/>
  <c r="Q368" i="54" s="1"/>
  <c r="A2" i="54"/>
  <c r="A55" i="53"/>
  <c r="A54" i="53"/>
  <c r="A53" i="53"/>
  <c r="A52" i="53"/>
  <c r="A51" i="53"/>
  <c r="A50" i="53"/>
  <c r="A49" i="53"/>
  <c r="A48" i="53"/>
  <c r="A47" i="53"/>
  <c r="A46" i="53"/>
  <c r="A45" i="53"/>
  <c r="A44" i="53"/>
  <c r="A43" i="53"/>
  <c r="A42" i="53"/>
  <c r="A41" i="53"/>
  <c r="A40" i="53"/>
  <c r="A39" i="53"/>
  <c r="A38" i="53"/>
  <c r="A37" i="53"/>
  <c r="A36" i="53"/>
  <c r="A35" i="53"/>
  <c r="A34" i="53"/>
  <c r="A33" i="53"/>
  <c r="A32" i="53"/>
  <c r="A31" i="53"/>
  <c r="A30" i="53"/>
  <c r="A29" i="53"/>
  <c r="A28" i="53"/>
  <c r="A27" i="53"/>
  <c r="A26" i="53"/>
  <c r="A25" i="53"/>
  <c r="A24" i="53"/>
  <c r="A23" i="53"/>
  <c r="A22" i="53"/>
  <c r="A21" i="53"/>
  <c r="A20" i="53"/>
  <c r="A19" i="53"/>
  <c r="A18" i="53"/>
  <c r="A17" i="53"/>
  <c r="A16" i="53"/>
  <c r="A15" i="53"/>
  <c r="A14" i="53"/>
  <c r="A13" i="53"/>
  <c r="A12" i="53"/>
  <c r="A11" i="53"/>
  <c r="A10" i="53"/>
  <c r="A9" i="53"/>
  <c r="A8" i="53"/>
  <c r="A7" i="53"/>
  <c r="A6" i="53"/>
  <c r="A5" i="53"/>
  <c r="A4" i="53"/>
  <c r="A3" i="53"/>
  <c r="Q2" i="53"/>
  <c r="Q3" i="53" s="1"/>
  <c r="Q4" i="53" s="1"/>
  <c r="Q5" i="53" s="1"/>
  <c r="Q6" i="53" s="1"/>
  <c r="Q7" i="53" s="1"/>
  <c r="Q8" i="53" s="1"/>
  <c r="Q9" i="53" s="1"/>
  <c r="Q10" i="53" s="1"/>
  <c r="Q11" i="53" s="1"/>
  <c r="Q12" i="53" s="1"/>
  <c r="Q13" i="53" s="1"/>
  <c r="Q14" i="53" s="1"/>
  <c r="Q15" i="53" s="1"/>
  <c r="Q16" i="53" s="1"/>
  <c r="Q17" i="53" s="1"/>
  <c r="Q18" i="53" s="1"/>
  <c r="Q19" i="53" s="1"/>
  <c r="Q20" i="53" s="1"/>
  <c r="Q21" i="53" s="1"/>
  <c r="Q22" i="53" s="1"/>
  <c r="Q23" i="53" s="1"/>
  <c r="Q24" i="53" s="1"/>
  <c r="Q25" i="53" s="1"/>
  <c r="Q26" i="53" s="1"/>
  <c r="Q27" i="53" s="1"/>
  <c r="Q28" i="53" s="1"/>
  <c r="Q29" i="53" s="1"/>
  <c r="Q30" i="53" s="1"/>
  <c r="Q31" i="53" s="1"/>
  <c r="Q32" i="53" s="1"/>
  <c r="Q33" i="53" s="1"/>
  <c r="Q34" i="53" s="1"/>
  <c r="Q35" i="53" s="1"/>
  <c r="Q36" i="53" s="1"/>
  <c r="Q37" i="53" s="1"/>
  <c r="Q38" i="53" s="1"/>
  <c r="Q39" i="53" s="1"/>
  <c r="Q40" i="53" s="1"/>
  <c r="Q41" i="53" s="1"/>
  <c r="Q42" i="53" s="1"/>
  <c r="Q43" i="53" s="1"/>
  <c r="Q44" i="53" s="1"/>
  <c r="Q45" i="53" s="1"/>
  <c r="Q46" i="53" s="1"/>
  <c r="Q47" i="53" s="1"/>
  <c r="Q48" i="53" s="1"/>
  <c r="Q49" i="53" s="1"/>
  <c r="Q50" i="53" s="1"/>
  <c r="Q51" i="53" s="1"/>
  <c r="Q52" i="53" s="1"/>
  <c r="Q53" i="53" s="1"/>
  <c r="Q54" i="53" s="1"/>
  <c r="Q55" i="53" s="1"/>
  <c r="A2" i="53"/>
  <c r="A54" i="52"/>
  <c r="A53" i="52"/>
  <c r="A52" i="52"/>
  <c r="A51" i="52"/>
  <c r="A50" i="52"/>
  <c r="A49" i="52"/>
  <c r="A48" i="52"/>
  <c r="A47" i="52"/>
  <c r="A46" i="52"/>
  <c r="A45" i="52"/>
  <c r="A44" i="52"/>
  <c r="A43" i="52"/>
  <c r="A42" i="52"/>
  <c r="A41" i="52"/>
  <c r="A40" i="52"/>
  <c r="A39" i="52"/>
  <c r="A38" i="52"/>
  <c r="A37" i="52"/>
  <c r="A36" i="52"/>
  <c r="A35" i="52"/>
  <c r="A34" i="52"/>
  <c r="A33" i="52"/>
  <c r="A32" i="52"/>
  <c r="A31" i="52"/>
  <c r="A30" i="52"/>
  <c r="A29" i="52"/>
  <c r="A28" i="52"/>
  <c r="A27" i="52"/>
  <c r="A26" i="52"/>
  <c r="A25" i="52"/>
  <c r="A24" i="52"/>
  <c r="A23" i="52"/>
  <c r="A22" i="52"/>
  <c r="A21" i="52"/>
  <c r="A20" i="52"/>
  <c r="A19" i="52"/>
  <c r="A18" i="52"/>
  <c r="A17" i="52"/>
  <c r="A16" i="52"/>
  <c r="A15" i="52"/>
  <c r="A14" i="52"/>
  <c r="A13" i="52"/>
  <c r="A12" i="52"/>
  <c r="A11" i="52"/>
  <c r="A10" i="52"/>
  <c r="A9" i="52"/>
  <c r="A8" i="52"/>
  <c r="A7" i="52"/>
  <c r="A6" i="52"/>
  <c r="A5" i="52"/>
  <c r="A4" i="52"/>
  <c r="A3" i="52"/>
  <c r="Q2" i="52"/>
  <c r="Q3" i="52" s="1"/>
  <c r="Q4" i="52" s="1"/>
  <c r="Q5" i="52" s="1"/>
  <c r="Q6" i="52" s="1"/>
  <c r="Q7" i="52" s="1"/>
  <c r="Q8" i="52" s="1"/>
  <c r="Q9" i="52" s="1"/>
  <c r="Q10" i="52" s="1"/>
  <c r="Q11" i="52" s="1"/>
  <c r="Q12" i="52" s="1"/>
  <c r="Q13" i="52" s="1"/>
  <c r="Q14" i="52" s="1"/>
  <c r="Q15" i="52" s="1"/>
  <c r="Q16" i="52" s="1"/>
  <c r="Q17" i="52" s="1"/>
  <c r="Q18" i="52" s="1"/>
  <c r="Q19" i="52" s="1"/>
  <c r="Q20" i="52" s="1"/>
  <c r="Q21" i="52" s="1"/>
  <c r="Q22" i="52" s="1"/>
  <c r="Q23" i="52" s="1"/>
  <c r="Q24" i="52" s="1"/>
  <c r="Q25" i="52" s="1"/>
  <c r="Q26" i="52" s="1"/>
  <c r="Q27" i="52" s="1"/>
  <c r="Q28" i="52" s="1"/>
  <c r="Q29" i="52" s="1"/>
  <c r="Q30" i="52" s="1"/>
  <c r="Q31" i="52" s="1"/>
  <c r="Q32" i="52" s="1"/>
  <c r="Q33" i="52" s="1"/>
  <c r="Q34" i="52" s="1"/>
  <c r="Q35" i="52" s="1"/>
  <c r="Q36" i="52" s="1"/>
  <c r="Q37" i="52" s="1"/>
  <c r="Q38" i="52" s="1"/>
  <c r="Q39" i="52" s="1"/>
  <c r="Q40" i="52" s="1"/>
  <c r="Q41" i="52" s="1"/>
  <c r="Q42" i="52" s="1"/>
  <c r="Q43" i="52" s="1"/>
  <c r="Q44" i="52" s="1"/>
  <c r="Q45" i="52" s="1"/>
  <c r="Q46" i="52" s="1"/>
  <c r="Q47" i="52" s="1"/>
  <c r="Q48" i="52" s="1"/>
  <c r="Q49" i="52" s="1"/>
  <c r="Q50" i="52" s="1"/>
  <c r="Q51" i="52" s="1"/>
  <c r="Q52" i="52" s="1"/>
  <c r="Q53" i="52" s="1"/>
  <c r="Q54" i="52" s="1"/>
  <c r="A2" i="52"/>
  <c r="A36" i="51"/>
  <c r="A35" i="51"/>
  <c r="A34" i="51"/>
  <c r="A33" i="51"/>
  <c r="A32" i="51"/>
  <c r="A31" i="51"/>
  <c r="A30" i="51"/>
  <c r="A29" i="51"/>
  <c r="A28" i="51"/>
  <c r="A27" i="51"/>
  <c r="A26" i="51"/>
  <c r="A25" i="51"/>
  <c r="A24" i="51"/>
  <c r="A23" i="51"/>
  <c r="A22" i="51"/>
  <c r="A21" i="51"/>
  <c r="A20" i="51"/>
  <c r="A19" i="51"/>
  <c r="A18" i="51"/>
  <c r="A17" i="51"/>
  <c r="A16" i="51"/>
  <c r="A15" i="51"/>
  <c r="A14" i="51"/>
  <c r="A13" i="51"/>
  <c r="A12" i="51"/>
  <c r="A11" i="51"/>
  <c r="A10" i="51"/>
  <c r="A9" i="51"/>
  <c r="A8" i="51"/>
  <c r="A7" i="51"/>
  <c r="A6" i="51"/>
  <c r="A5" i="51"/>
  <c r="A4" i="51"/>
  <c r="A3" i="51"/>
  <c r="Q2" i="51"/>
  <c r="Q3" i="51" s="1"/>
  <c r="Q4" i="51" s="1"/>
  <c r="Q5" i="51" s="1"/>
  <c r="Q6" i="51" s="1"/>
  <c r="Q7" i="51" s="1"/>
  <c r="Q8" i="51" s="1"/>
  <c r="Q9" i="51" s="1"/>
  <c r="Q10" i="51" s="1"/>
  <c r="Q11" i="51" s="1"/>
  <c r="Q12" i="51" s="1"/>
  <c r="Q13" i="51" s="1"/>
  <c r="Q14" i="51" s="1"/>
  <c r="Q15" i="51" s="1"/>
  <c r="Q16" i="51" s="1"/>
  <c r="Q17" i="51" s="1"/>
  <c r="Q18" i="51" s="1"/>
  <c r="Q19" i="51" s="1"/>
  <c r="Q20" i="51" s="1"/>
  <c r="Q21" i="51" s="1"/>
  <c r="Q22" i="51" s="1"/>
  <c r="Q23" i="51" s="1"/>
  <c r="Q24" i="51" s="1"/>
  <c r="Q25" i="51" s="1"/>
  <c r="Q26" i="51" s="1"/>
  <c r="Q27" i="51" s="1"/>
  <c r="Q28" i="51" s="1"/>
  <c r="Q29" i="51" s="1"/>
  <c r="Q30" i="51" s="1"/>
  <c r="Q31" i="51" s="1"/>
  <c r="Q32" i="51" s="1"/>
  <c r="Q33" i="51" s="1"/>
  <c r="Q34" i="51" s="1"/>
  <c r="Q35" i="51" s="1"/>
  <c r="Q36" i="51" s="1"/>
  <c r="A2" i="51"/>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A6" i="50"/>
  <c r="A5" i="50"/>
  <c r="A4" i="50"/>
  <c r="A3" i="50"/>
  <c r="Q2" i="50"/>
  <c r="Q3" i="50" s="1"/>
  <c r="Q4" i="50" s="1"/>
  <c r="Q5" i="50" s="1"/>
  <c r="Q6" i="50" s="1"/>
  <c r="Q7" i="50" s="1"/>
  <c r="Q8" i="50" s="1"/>
  <c r="Q9" i="50" s="1"/>
  <c r="Q10" i="50" s="1"/>
  <c r="Q11" i="50" s="1"/>
  <c r="Q12" i="50" s="1"/>
  <c r="Q13" i="50" s="1"/>
  <c r="Q14" i="50" s="1"/>
  <c r="Q15" i="50" s="1"/>
  <c r="Q16" i="50" s="1"/>
  <c r="Q17" i="50" s="1"/>
  <c r="Q18" i="50" s="1"/>
  <c r="Q19" i="50" s="1"/>
  <c r="Q20" i="50" s="1"/>
  <c r="Q21" i="50" s="1"/>
  <c r="Q22" i="50" s="1"/>
  <c r="Q23" i="50" s="1"/>
  <c r="Q24" i="50" s="1"/>
  <c r="Q25" i="50" s="1"/>
  <c r="Q26" i="50" s="1"/>
  <c r="Q27" i="50" s="1"/>
  <c r="Q28" i="50" s="1"/>
  <c r="Q29" i="50" s="1"/>
  <c r="Q30" i="50" s="1"/>
  <c r="Q31" i="50" s="1"/>
  <c r="Q32" i="50" s="1"/>
  <c r="Q33" i="50" s="1"/>
  <c r="Q34" i="50" s="1"/>
  <c r="Q35" i="50" s="1"/>
  <c r="Q36" i="50" s="1"/>
  <c r="Q37" i="50" s="1"/>
  <c r="A2" i="50"/>
  <c r="A369" i="49"/>
  <c r="A368" i="49"/>
  <c r="A367" i="49"/>
  <c r="A366" i="49"/>
  <c r="A365" i="49"/>
  <c r="A364" i="49"/>
  <c r="A363" i="49"/>
  <c r="A362" i="49"/>
  <c r="A361" i="49"/>
  <c r="A360" i="49"/>
  <c r="A359" i="49"/>
  <c r="A358" i="49"/>
  <c r="A357" i="49"/>
  <c r="A356" i="49"/>
  <c r="A355" i="49"/>
  <c r="A354" i="49"/>
  <c r="A353" i="49"/>
  <c r="A352" i="49"/>
  <c r="A351" i="49"/>
  <c r="A350" i="49"/>
  <c r="A349" i="49"/>
  <c r="A348" i="49"/>
  <c r="A347" i="49"/>
  <c r="A346" i="49"/>
  <c r="A345" i="49"/>
  <c r="A344" i="49"/>
  <c r="A343" i="49"/>
  <c r="A342" i="49"/>
  <c r="A341" i="49"/>
  <c r="A340" i="49"/>
  <c r="A339" i="49"/>
  <c r="A338" i="49"/>
  <c r="A337" i="49"/>
  <c r="A336" i="49"/>
  <c r="A335" i="49"/>
  <c r="A334" i="49"/>
  <c r="A333" i="49"/>
  <c r="A332" i="49"/>
  <c r="A331" i="49"/>
  <c r="A330" i="49"/>
  <c r="A329" i="49"/>
  <c r="A328" i="49"/>
  <c r="A327" i="49"/>
  <c r="A326" i="49"/>
  <c r="A325" i="49"/>
  <c r="A324" i="49"/>
  <c r="A323" i="49"/>
  <c r="A322" i="49"/>
  <c r="A321" i="49"/>
  <c r="A320" i="49"/>
  <c r="A319" i="49"/>
  <c r="A318" i="49"/>
  <c r="A317" i="49"/>
  <c r="A316" i="49"/>
  <c r="A315" i="49"/>
  <c r="A314" i="49"/>
  <c r="A313" i="49"/>
  <c r="A312" i="49"/>
  <c r="A311" i="49"/>
  <c r="A310" i="49"/>
  <c r="A309" i="49"/>
  <c r="A308" i="49"/>
  <c r="A307" i="49"/>
  <c r="A306" i="49"/>
  <c r="A305" i="49"/>
  <c r="A304" i="49"/>
  <c r="A303" i="49"/>
  <c r="A302" i="49"/>
  <c r="A301" i="49"/>
  <c r="A300" i="49"/>
  <c r="A299" i="49"/>
  <c r="A298" i="49"/>
  <c r="A297" i="49"/>
  <c r="A296" i="49"/>
  <c r="A295" i="49"/>
  <c r="A294" i="49"/>
  <c r="A293" i="49"/>
  <c r="A292" i="49"/>
  <c r="A291" i="49"/>
  <c r="A290" i="49"/>
  <c r="A289" i="49"/>
  <c r="A288" i="49"/>
  <c r="A287" i="49"/>
  <c r="A286" i="49"/>
  <c r="A285" i="49"/>
  <c r="A284" i="49"/>
  <c r="A283" i="49"/>
  <c r="A282" i="49"/>
  <c r="A281" i="49"/>
  <c r="A280" i="49"/>
  <c r="A279" i="49"/>
  <c r="A278" i="49"/>
  <c r="A277" i="49"/>
  <c r="A276" i="49"/>
  <c r="A275" i="49"/>
  <c r="A274" i="49"/>
  <c r="A273" i="49"/>
  <c r="A272" i="49"/>
  <c r="A271" i="49"/>
  <c r="A270" i="49"/>
  <c r="A269" i="49"/>
  <c r="A268" i="49"/>
  <c r="A267" i="49"/>
  <c r="A266" i="49"/>
  <c r="A265" i="49"/>
  <c r="A264" i="49"/>
  <c r="A263" i="49"/>
  <c r="A262" i="49"/>
  <c r="A261" i="49"/>
  <c r="A260" i="49"/>
  <c r="A259" i="49"/>
  <c r="A258" i="49"/>
  <c r="A257" i="49"/>
  <c r="A256" i="49"/>
  <c r="A255" i="49"/>
  <c r="A254" i="49"/>
  <c r="A253" i="49"/>
  <c r="A252" i="49"/>
  <c r="A251" i="49"/>
  <c r="A250" i="49"/>
  <c r="A249" i="49"/>
  <c r="A248" i="49"/>
  <c r="A247" i="49"/>
  <c r="A246" i="49"/>
  <c r="A245" i="49"/>
  <c r="A244" i="49"/>
  <c r="A243" i="49"/>
  <c r="A242" i="49"/>
  <c r="A241" i="49"/>
  <c r="A240" i="49"/>
  <c r="A239" i="49"/>
  <c r="A238" i="49"/>
  <c r="A237" i="49"/>
  <c r="A236" i="49"/>
  <c r="A235" i="49"/>
  <c r="A234" i="49"/>
  <c r="A233" i="49"/>
  <c r="A232" i="49"/>
  <c r="A231" i="49"/>
  <c r="A230" i="49"/>
  <c r="A229" i="49"/>
  <c r="A228" i="49"/>
  <c r="A227" i="49"/>
  <c r="A226" i="49"/>
  <c r="A225" i="49"/>
  <c r="A224" i="49"/>
  <c r="A223" i="49"/>
  <c r="A222" i="49"/>
  <c r="A221" i="49"/>
  <c r="A220" i="49"/>
  <c r="A219" i="49"/>
  <c r="A218" i="49"/>
  <c r="A217" i="49"/>
  <c r="A216" i="49"/>
  <c r="A215" i="49"/>
  <c r="A214" i="49"/>
  <c r="A213" i="49"/>
  <c r="A212" i="49"/>
  <c r="A211" i="49"/>
  <c r="A210" i="49"/>
  <c r="A209" i="49"/>
  <c r="A208" i="49"/>
  <c r="A207" i="49"/>
  <c r="A206" i="49"/>
  <c r="A205" i="49"/>
  <c r="A204" i="49"/>
  <c r="A203" i="49"/>
  <c r="A202" i="49"/>
  <c r="A201" i="49"/>
  <c r="A200" i="49"/>
  <c r="A199" i="49"/>
  <c r="A198" i="49"/>
  <c r="A197" i="49"/>
  <c r="A196" i="49"/>
  <c r="A195" i="49"/>
  <c r="A194" i="49"/>
  <c r="A193" i="49"/>
  <c r="A192" i="49"/>
  <c r="A191" i="49"/>
  <c r="A190" i="49"/>
  <c r="A189" i="49"/>
  <c r="A188" i="49"/>
  <c r="A187" i="49"/>
  <c r="A186" i="49"/>
  <c r="A185" i="49"/>
  <c r="A184" i="49"/>
  <c r="A183" i="49"/>
  <c r="A182" i="49"/>
  <c r="A181" i="49"/>
  <c r="A180" i="49"/>
  <c r="A179" i="49"/>
  <c r="A178" i="49"/>
  <c r="A177" i="49"/>
  <c r="A176" i="49"/>
  <c r="A175" i="49"/>
  <c r="A174" i="49"/>
  <c r="A173" i="49"/>
  <c r="A172" i="49"/>
  <c r="A171" i="49"/>
  <c r="A170" i="49"/>
  <c r="A169" i="49"/>
  <c r="A168" i="49"/>
  <c r="A167" i="49"/>
  <c r="A166" i="49"/>
  <c r="A165" i="49"/>
  <c r="A164" i="49"/>
  <c r="A163" i="49"/>
  <c r="A162" i="49"/>
  <c r="A161" i="49"/>
  <c r="A160" i="49"/>
  <c r="A159" i="49"/>
  <c r="A158" i="49"/>
  <c r="A157" i="49"/>
  <c r="A156" i="49"/>
  <c r="A155" i="49"/>
  <c r="A154" i="49"/>
  <c r="A153" i="49"/>
  <c r="A152" i="49"/>
  <c r="A151" i="49"/>
  <c r="A150" i="49"/>
  <c r="A149" i="49"/>
  <c r="A148" i="49"/>
  <c r="A147" i="49"/>
  <c r="A146" i="49"/>
  <c r="A145" i="49"/>
  <c r="A144" i="49"/>
  <c r="A143" i="49"/>
  <c r="A142" i="49"/>
  <c r="A141" i="49"/>
  <c r="A140" i="49"/>
  <c r="A139" i="49"/>
  <c r="A138" i="49"/>
  <c r="A137" i="49"/>
  <c r="A136" i="49"/>
  <c r="A135" i="49"/>
  <c r="A134" i="49"/>
  <c r="A133" i="49"/>
  <c r="A132" i="49"/>
  <c r="A131" i="49"/>
  <c r="A130" i="49"/>
  <c r="A129" i="49"/>
  <c r="A128" i="49"/>
  <c r="A127" i="49"/>
  <c r="A126" i="49"/>
  <c r="A125" i="49"/>
  <c r="A124" i="49"/>
  <c r="A123" i="49"/>
  <c r="A122" i="49"/>
  <c r="A121" i="49"/>
  <c r="A120" i="49"/>
  <c r="A119" i="49"/>
  <c r="A118" i="49"/>
  <c r="A117" i="49"/>
  <c r="A116" i="49"/>
  <c r="A115" i="49"/>
  <c r="A114" i="49"/>
  <c r="A113" i="49"/>
  <c r="A112" i="49"/>
  <c r="A111" i="49"/>
  <c r="A110" i="49"/>
  <c r="A109" i="49"/>
  <c r="A108" i="49"/>
  <c r="A107" i="49"/>
  <c r="A106" i="49"/>
  <c r="A105" i="49"/>
  <c r="A104" i="49"/>
  <c r="A103" i="49"/>
  <c r="A102" i="49"/>
  <c r="A101" i="49"/>
  <c r="A100" i="49"/>
  <c r="A99" i="49"/>
  <c r="A98" i="49"/>
  <c r="A97" i="49"/>
  <c r="A96" i="49"/>
  <c r="A95" i="49"/>
  <c r="A94" i="49"/>
  <c r="A93" i="49"/>
  <c r="A92" i="49"/>
  <c r="A91" i="49"/>
  <c r="A90" i="49"/>
  <c r="A89" i="49"/>
  <c r="A88" i="49"/>
  <c r="A87" i="49"/>
  <c r="A86" i="49"/>
  <c r="A85" i="49"/>
  <c r="A84" i="49"/>
  <c r="A83" i="49"/>
  <c r="A82" i="49"/>
  <c r="A81" i="49"/>
  <c r="A80" i="49"/>
  <c r="A79" i="49"/>
  <c r="A78" i="49"/>
  <c r="A77" i="49"/>
  <c r="A76" i="49"/>
  <c r="A75" i="49"/>
  <c r="A74" i="49"/>
  <c r="A73" i="49"/>
  <c r="A72" i="49"/>
  <c r="A71" i="49"/>
  <c r="A70" i="49"/>
  <c r="A69" i="49"/>
  <c r="A68" i="49"/>
  <c r="A67" i="49"/>
  <c r="A66" i="49"/>
  <c r="A65" i="49"/>
  <c r="A64" i="49"/>
  <c r="A63" i="49"/>
  <c r="A62" i="49"/>
  <c r="A61" i="49"/>
  <c r="A60" i="49"/>
  <c r="A59" i="49"/>
  <c r="A58" i="49"/>
  <c r="A57" i="49"/>
  <c r="A56" i="49"/>
  <c r="A55" i="49"/>
  <c r="A54" i="49"/>
  <c r="A53" i="49"/>
  <c r="A52" i="49"/>
  <c r="A51" i="49"/>
  <c r="A50" i="49"/>
  <c r="A49" i="49"/>
  <c r="A48" i="49"/>
  <c r="A47" i="49"/>
  <c r="A46" i="49"/>
  <c r="A45" i="49"/>
  <c r="A44" i="49"/>
  <c r="A43" i="49"/>
  <c r="A42" i="49"/>
  <c r="A41" i="49"/>
  <c r="A40" i="49"/>
  <c r="A39" i="49"/>
  <c r="A38" i="49"/>
  <c r="A37" i="49"/>
  <c r="A36" i="49"/>
  <c r="A35" i="49"/>
  <c r="A34" i="49"/>
  <c r="A33" i="49"/>
  <c r="A32" i="49"/>
  <c r="A31" i="49"/>
  <c r="A30" i="49"/>
  <c r="A29" i="49"/>
  <c r="A28" i="49"/>
  <c r="A27" i="49"/>
  <c r="A26" i="49"/>
  <c r="A25" i="49"/>
  <c r="A24" i="49"/>
  <c r="A23" i="49"/>
  <c r="A22" i="49"/>
  <c r="A21" i="49"/>
  <c r="A20" i="49"/>
  <c r="A19" i="49"/>
  <c r="A18" i="49"/>
  <c r="A17" i="49"/>
  <c r="A16" i="49"/>
  <c r="A15" i="49"/>
  <c r="A14" i="49"/>
  <c r="A13" i="49"/>
  <c r="A12" i="49"/>
  <c r="A11" i="49"/>
  <c r="A10" i="49"/>
  <c r="A9" i="49"/>
  <c r="A8" i="49"/>
  <c r="A7" i="49"/>
  <c r="A6" i="49"/>
  <c r="A5" i="49"/>
  <c r="A4" i="49"/>
  <c r="A3" i="49"/>
  <c r="Q2" i="49"/>
  <c r="Q3" i="49" s="1"/>
  <c r="Q4" i="49" s="1"/>
  <c r="Q5" i="49" s="1"/>
  <c r="Q6" i="49" s="1"/>
  <c r="Q7" i="49" s="1"/>
  <c r="Q8" i="49" s="1"/>
  <c r="Q9" i="49" s="1"/>
  <c r="Q10" i="49" s="1"/>
  <c r="Q11" i="49" s="1"/>
  <c r="Q12" i="49" s="1"/>
  <c r="Q13" i="49" s="1"/>
  <c r="Q14" i="49" s="1"/>
  <c r="Q15" i="49" s="1"/>
  <c r="Q16" i="49" s="1"/>
  <c r="Q17" i="49" s="1"/>
  <c r="Q18" i="49" s="1"/>
  <c r="Q19" i="49" s="1"/>
  <c r="Q20" i="49" s="1"/>
  <c r="Q21" i="49" s="1"/>
  <c r="Q22" i="49" s="1"/>
  <c r="Q23" i="49" s="1"/>
  <c r="Q24" i="49" s="1"/>
  <c r="Q25" i="49" s="1"/>
  <c r="Q26" i="49" s="1"/>
  <c r="Q27" i="49" s="1"/>
  <c r="Q28" i="49" s="1"/>
  <c r="Q29" i="49" s="1"/>
  <c r="Q30" i="49" s="1"/>
  <c r="Q31" i="49" s="1"/>
  <c r="Q32" i="49" s="1"/>
  <c r="Q33" i="49" s="1"/>
  <c r="Q34" i="49" s="1"/>
  <c r="Q35" i="49" s="1"/>
  <c r="Q36" i="49" s="1"/>
  <c r="Q37" i="49" s="1"/>
  <c r="Q38" i="49" s="1"/>
  <c r="Q39" i="49" s="1"/>
  <c r="Q40" i="49" s="1"/>
  <c r="Q41" i="49" s="1"/>
  <c r="Q42" i="49" s="1"/>
  <c r="Q43" i="49" s="1"/>
  <c r="Q44" i="49" s="1"/>
  <c r="Q45" i="49" s="1"/>
  <c r="Q46" i="49" s="1"/>
  <c r="Q47" i="49" s="1"/>
  <c r="Q48" i="49" s="1"/>
  <c r="Q49" i="49" s="1"/>
  <c r="Q50" i="49" s="1"/>
  <c r="Q51" i="49" s="1"/>
  <c r="Q52" i="49" s="1"/>
  <c r="Q53" i="49" s="1"/>
  <c r="Q54" i="49" s="1"/>
  <c r="Q55" i="49" s="1"/>
  <c r="Q56" i="49" s="1"/>
  <c r="Q57" i="49" s="1"/>
  <c r="Q58" i="49" s="1"/>
  <c r="Q59" i="49" s="1"/>
  <c r="Q60" i="49" s="1"/>
  <c r="Q61" i="49" s="1"/>
  <c r="Q62" i="49" s="1"/>
  <c r="Q63" i="49" s="1"/>
  <c r="Q64" i="49" s="1"/>
  <c r="Q65" i="49" s="1"/>
  <c r="Q66" i="49" s="1"/>
  <c r="Q67" i="49" s="1"/>
  <c r="Q68" i="49" s="1"/>
  <c r="Q69" i="49" s="1"/>
  <c r="Q70" i="49" s="1"/>
  <c r="Q71" i="49" s="1"/>
  <c r="Q72" i="49" s="1"/>
  <c r="Q73" i="49" s="1"/>
  <c r="Q74" i="49" s="1"/>
  <c r="Q75" i="49" s="1"/>
  <c r="Q76" i="49" s="1"/>
  <c r="Q77" i="49" s="1"/>
  <c r="Q78" i="49" s="1"/>
  <c r="Q79" i="49" s="1"/>
  <c r="Q80" i="49" s="1"/>
  <c r="Q81" i="49" s="1"/>
  <c r="Q82" i="49" s="1"/>
  <c r="Q83" i="49" s="1"/>
  <c r="Q84" i="49" s="1"/>
  <c r="Q85" i="49" s="1"/>
  <c r="Q86" i="49" s="1"/>
  <c r="Q87" i="49" s="1"/>
  <c r="Q88" i="49" s="1"/>
  <c r="Q89" i="49" s="1"/>
  <c r="Q90" i="49" s="1"/>
  <c r="Q91" i="49" s="1"/>
  <c r="Q92" i="49" s="1"/>
  <c r="Q93" i="49" s="1"/>
  <c r="Q94" i="49" s="1"/>
  <c r="Q95" i="49" s="1"/>
  <c r="Q96" i="49" s="1"/>
  <c r="Q97" i="49" s="1"/>
  <c r="Q98" i="49" s="1"/>
  <c r="Q99" i="49" s="1"/>
  <c r="Q100" i="49" s="1"/>
  <c r="Q101" i="49" s="1"/>
  <c r="Q102" i="49" s="1"/>
  <c r="Q103" i="49" s="1"/>
  <c r="Q104" i="49" s="1"/>
  <c r="Q105" i="49" s="1"/>
  <c r="Q106" i="49" s="1"/>
  <c r="Q107" i="49" s="1"/>
  <c r="Q108" i="49" s="1"/>
  <c r="Q109" i="49" s="1"/>
  <c r="Q110" i="49" s="1"/>
  <c r="Q111" i="49" s="1"/>
  <c r="Q112" i="49" s="1"/>
  <c r="Q113" i="49" s="1"/>
  <c r="Q114" i="49" s="1"/>
  <c r="Q115" i="49" s="1"/>
  <c r="Q116" i="49" s="1"/>
  <c r="Q117" i="49" s="1"/>
  <c r="Q118" i="49" s="1"/>
  <c r="Q119" i="49" s="1"/>
  <c r="Q120" i="49" s="1"/>
  <c r="Q121" i="49" s="1"/>
  <c r="Q122" i="49" s="1"/>
  <c r="Q123" i="49" s="1"/>
  <c r="Q124" i="49" s="1"/>
  <c r="Q125" i="49" s="1"/>
  <c r="Q126" i="49" s="1"/>
  <c r="Q127" i="49" s="1"/>
  <c r="Q128" i="49" s="1"/>
  <c r="Q129" i="49" s="1"/>
  <c r="Q130" i="49" s="1"/>
  <c r="Q131" i="49" s="1"/>
  <c r="Q132" i="49" s="1"/>
  <c r="Q133" i="49" s="1"/>
  <c r="Q134" i="49" s="1"/>
  <c r="Q135" i="49" s="1"/>
  <c r="Q136" i="49" s="1"/>
  <c r="Q137" i="49" s="1"/>
  <c r="Q138" i="49" s="1"/>
  <c r="Q139" i="49" s="1"/>
  <c r="Q140" i="49" s="1"/>
  <c r="Q141" i="49" s="1"/>
  <c r="Q142" i="49" s="1"/>
  <c r="Q143" i="49" s="1"/>
  <c r="Q144" i="49" s="1"/>
  <c r="Q145" i="49" s="1"/>
  <c r="Q146" i="49" s="1"/>
  <c r="Q147" i="49" s="1"/>
  <c r="Q148" i="49" s="1"/>
  <c r="Q149" i="49" s="1"/>
  <c r="Q150" i="49" s="1"/>
  <c r="Q151" i="49" s="1"/>
  <c r="Q152" i="49" s="1"/>
  <c r="Q153" i="49" s="1"/>
  <c r="Q154" i="49" s="1"/>
  <c r="Q155" i="49" s="1"/>
  <c r="Q156" i="49" s="1"/>
  <c r="Q157" i="49" s="1"/>
  <c r="Q158" i="49" s="1"/>
  <c r="Q159" i="49" s="1"/>
  <c r="Q160" i="49" s="1"/>
  <c r="Q161" i="49" s="1"/>
  <c r="Q162" i="49" s="1"/>
  <c r="Q163" i="49" s="1"/>
  <c r="Q164" i="49" s="1"/>
  <c r="Q165" i="49" s="1"/>
  <c r="Q166" i="49" s="1"/>
  <c r="Q167" i="49" s="1"/>
  <c r="Q168" i="49" s="1"/>
  <c r="Q169" i="49" s="1"/>
  <c r="Q170" i="49" s="1"/>
  <c r="Q171" i="49" s="1"/>
  <c r="Q172" i="49" s="1"/>
  <c r="Q173" i="49" s="1"/>
  <c r="Q174" i="49" s="1"/>
  <c r="Q175" i="49" s="1"/>
  <c r="Q176" i="49" s="1"/>
  <c r="Q177" i="49" s="1"/>
  <c r="Q178" i="49" s="1"/>
  <c r="Q179" i="49" s="1"/>
  <c r="Q180" i="49" s="1"/>
  <c r="Q181" i="49" s="1"/>
  <c r="Q182" i="49" s="1"/>
  <c r="Q183" i="49" s="1"/>
  <c r="Q184" i="49" s="1"/>
  <c r="Q185" i="49" s="1"/>
  <c r="Q186" i="49" s="1"/>
  <c r="Q187" i="49" s="1"/>
  <c r="Q188" i="49" s="1"/>
  <c r="Q189" i="49" s="1"/>
  <c r="Q190" i="49" s="1"/>
  <c r="Q191" i="49" s="1"/>
  <c r="Q192" i="49" s="1"/>
  <c r="Q193" i="49" s="1"/>
  <c r="Q194" i="49" s="1"/>
  <c r="Q195" i="49" s="1"/>
  <c r="Q196" i="49" s="1"/>
  <c r="Q197" i="49" s="1"/>
  <c r="Q198" i="49" s="1"/>
  <c r="Q199" i="49" s="1"/>
  <c r="Q200" i="49" s="1"/>
  <c r="Q201" i="49" s="1"/>
  <c r="Q202" i="49" s="1"/>
  <c r="Q203" i="49" s="1"/>
  <c r="Q204" i="49" s="1"/>
  <c r="Q205" i="49" s="1"/>
  <c r="Q206" i="49" s="1"/>
  <c r="Q207" i="49" s="1"/>
  <c r="Q208" i="49" s="1"/>
  <c r="Q209" i="49" s="1"/>
  <c r="Q210" i="49" s="1"/>
  <c r="Q211" i="49" s="1"/>
  <c r="Q212" i="49" s="1"/>
  <c r="Q213" i="49" s="1"/>
  <c r="Q214" i="49" s="1"/>
  <c r="Q215" i="49" s="1"/>
  <c r="Q216" i="49" s="1"/>
  <c r="Q217" i="49" s="1"/>
  <c r="Q218" i="49" s="1"/>
  <c r="Q219" i="49" s="1"/>
  <c r="Q220" i="49" s="1"/>
  <c r="Q221" i="49" s="1"/>
  <c r="Q222" i="49" s="1"/>
  <c r="Q223" i="49" s="1"/>
  <c r="Q224" i="49" s="1"/>
  <c r="Q225" i="49" s="1"/>
  <c r="Q226" i="49" s="1"/>
  <c r="Q227" i="49" s="1"/>
  <c r="Q228" i="49" s="1"/>
  <c r="Q229" i="49" s="1"/>
  <c r="Q230" i="49" s="1"/>
  <c r="Q231" i="49" s="1"/>
  <c r="Q232" i="49" s="1"/>
  <c r="Q233" i="49" s="1"/>
  <c r="Q234" i="49" s="1"/>
  <c r="Q235" i="49" s="1"/>
  <c r="Q236" i="49" s="1"/>
  <c r="Q237" i="49" s="1"/>
  <c r="Q238" i="49" s="1"/>
  <c r="Q239" i="49" s="1"/>
  <c r="Q240" i="49" s="1"/>
  <c r="Q241" i="49" s="1"/>
  <c r="Q242" i="49" s="1"/>
  <c r="Q243" i="49" s="1"/>
  <c r="Q244" i="49" s="1"/>
  <c r="Q245" i="49" s="1"/>
  <c r="Q246" i="49" s="1"/>
  <c r="Q247" i="49" s="1"/>
  <c r="Q248" i="49" s="1"/>
  <c r="Q249" i="49" s="1"/>
  <c r="Q250" i="49" s="1"/>
  <c r="Q251" i="49" s="1"/>
  <c r="Q252" i="49" s="1"/>
  <c r="Q253" i="49" s="1"/>
  <c r="Q254" i="49" s="1"/>
  <c r="Q255" i="49" s="1"/>
  <c r="Q256" i="49" s="1"/>
  <c r="Q257" i="49" s="1"/>
  <c r="Q258" i="49" s="1"/>
  <c r="Q259" i="49" s="1"/>
  <c r="Q260" i="49" s="1"/>
  <c r="Q261" i="49" s="1"/>
  <c r="Q262" i="49" s="1"/>
  <c r="Q263" i="49" s="1"/>
  <c r="Q264" i="49" s="1"/>
  <c r="Q265" i="49" s="1"/>
  <c r="Q266" i="49" s="1"/>
  <c r="Q267" i="49" s="1"/>
  <c r="Q268" i="49" s="1"/>
  <c r="Q269" i="49" s="1"/>
  <c r="Q270" i="49" s="1"/>
  <c r="Q271" i="49" s="1"/>
  <c r="Q272" i="49" s="1"/>
  <c r="Q273" i="49" s="1"/>
  <c r="Q274" i="49" s="1"/>
  <c r="Q275" i="49" s="1"/>
  <c r="Q276" i="49" s="1"/>
  <c r="Q277" i="49" s="1"/>
  <c r="Q278" i="49" s="1"/>
  <c r="Q279" i="49" s="1"/>
  <c r="Q280" i="49" s="1"/>
  <c r="Q281" i="49" s="1"/>
  <c r="Q282" i="49" s="1"/>
  <c r="Q283" i="49" s="1"/>
  <c r="Q284" i="49" s="1"/>
  <c r="Q285" i="49" s="1"/>
  <c r="Q286" i="49" s="1"/>
  <c r="Q287" i="49" s="1"/>
  <c r="Q288" i="49" s="1"/>
  <c r="Q289" i="49" s="1"/>
  <c r="Q290" i="49" s="1"/>
  <c r="Q291" i="49" s="1"/>
  <c r="Q292" i="49" s="1"/>
  <c r="Q293" i="49" s="1"/>
  <c r="Q294" i="49" s="1"/>
  <c r="Q295" i="49" s="1"/>
  <c r="Q296" i="49" s="1"/>
  <c r="Q297" i="49" s="1"/>
  <c r="Q298" i="49" s="1"/>
  <c r="Q299" i="49" s="1"/>
  <c r="Q300" i="49" s="1"/>
  <c r="Q301" i="49" s="1"/>
  <c r="Q302" i="49" s="1"/>
  <c r="Q303" i="49" s="1"/>
  <c r="Q304" i="49" s="1"/>
  <c r="Q305" i="49" s="1"/>
  <c r="Q306" i="49" s="1"/>
  <c r="Q307" i="49" s="1"/>
  <c r="Q308" i="49" s="1"/>
  <c r="Q309" i="49" s="1"/>
  <c r="Q310" i="49" s="1"/>
  <c r="Q311" i="49" s="1"/>
  <c r="Q312" i="49" s="1"/>
  <c r="Q313" i="49" s="1"/>
  <c r="Q314" i="49" s="1"/>
  <c r="Q315" i="49" s="1"/>
  <c r="Q316" i="49" s="1"/>
  <c r="Q317" i="49" s="1"/>
  <c r="Q318" i="49" s="1"/>
  <c r="Q319" i="49" s="1"/>
  <c r="Q320" i="49" s="1"/>
  <c r="Q321" i="49" s="1"/>
  <c r="Q322" i="49" s="1"/>
  <c r="Q323" i="49" s="1"/>
  <c r="Q324" i="49" s="1"/>
  <c r="Q325" i="49" s="1"/>
  <c r="Q326" i="49" s="1"/>
  <c r="Q327" i="49" s="1"/>
  <c r="Q328" i="49" s="1"/>
  <c r="Q329" i="49" s="1"/>
  <c r="Q330" i="49" s="1"/>
  <c r="Q331" i="49" s="1"/>
  <c r="Q332" i="49" s="1"/>
  <c r="Q333" i="49" s="1"/>
  <c r="Q334" i="49" s="1"/>
  <c r="Q335" i="49" s="1"/>
  <c r="Q336" i="49" s="1"/>
  <c r="Q337" i="49" s="1"/>
  <c r="Q338" i="49" s="1"/>
  <c r="Q339" i="49" s="1"/>
  <c r="Q340" i="49" s="1"/>
  <c r="Q341" i="49" s="1"/>
  <c r="Q342" i="49" s="1"/>
  <c r="Q343" i="49" s="1"/>
  <c r="Q344" i="49" s="1"/>
  <c r="Q345" i="49" s="1"/>
  <c r="Q346" i="49" s="1"/>
  <c r="Q347" i="49" s="1"/>
  <c r="Q348" i="49" s="1"/>
  <c r="Q349" i="49" s="1"/>
  <c r="Q350" i="49" s="1"/>
  <c r="Q351" i="49" s="1"/>
  <c r="Q352" i="49" s="1"/>
  <c r="Q353" i="49" s="1"/>
  <c r="Q354" i="49" s="1"/>
  <c r="Q355" i="49" s="1"/>
  <c r="Q356" i="49" s="1"/>
  <c r="Q357" i="49" s="1"/>
  <c r="Q358" i="49" s="1"/>
  <c r="Q359" i="49" s="1"/>
  <c r="Q360" i="49" s="1"/>
  <c r="Q361" i="49" s="1"/>
  <c r="Q362" i="49" s="1"/>
  <c r="Q363" i="49" s="1"/>
  <c r="Q364" i="49" s="1"/>
  <c r="Q365" i="49" s="1"/>
  <c r="Q366" i="49" s="1"/>
  <c r="Q367" i="49" s="1"/>
  <c r="Q368" i="49" s="1"/>
  <c r="Q369" i="49" s="1"/>
  <c r="A2" i="49"/>
  <c r="Q17" i="48"/>
  <c r="Q18" i="48" s="1"/>
  <c r="Q19" i="48" s="1"/>
  <c r="Q20" i="48" s="1"/>
  <c r="Q21" i="48" s="1"/>
  <c r="Q22" i="48" s="1"/>
  <c r="Q23" i="48" s="1"/>
  <c r="Q24" i="48" s="1"/>
  <c r="Q25" i="48" s="1"/>
  <c r="Q26" i="48" s="1"/>
  <c r="Q27" i="48" s="1"/>
  <c r="Q28" i="48" s="1"/>
  <c r="Q29" i="48" s="1"/>
  <c r="Q30" i="48" s="1"/>
  <c r="Q31" i="48" s="1"/>
  <c r="Q32" i="48" s="1"/>
  <c r="Q33" i="48" s="1"/>
  <c r="Q34" i="48" s="1"/>
  <c r="Q16" i="48"/>
  <c r="Q4" i="45"/>
  <c r="Q5" i="45" s="1"/>
  <c r="Q6" i="45" s="1"/>
  <c r="Q7" i="45" s="1"/>
  <c r="Q8" i="45" s="1"/>
  <c r="Q9" i="45" s="1"/>
  <c r="Q10" i="45" s="1"/>
  <c r="Q11" i="45" s="1"/>
  <c r="Q12" i="45" s="1"/>
  <c r="Q13" i="45" s="1"/>
  <c r="Q14" i="45" s="1"/>
  <c r="Q15" i="45" s="1"/>
  <c r="Q16" i="45" s="1"/>
  <c r="Q17" i="45" s="1"/>
  <c r="Q18" i="45" s="1"/>
  <c r="Q19" i="45" s="1"/>
  <c r="Q20" i="45" s="1"/>
  <c r="Q21" i="45" s="1"/>
  <c r="Q22" i="45" s="1"/>
  <c r="Q23" i="45" s="1"/>
  <c r="Q24" i="45" s="1"/>
  <c r="Q25" i="45" s="1"/>
  <c r="Q26" i="45" s="1"/>
  <c r="Q27" i="45" s="1"/>
  <c r="Q28" i="45" s="1"/>
  <c r="Q29" i="45" s="1"/>
  <c r="Q30" i="45" s="1"/>
  <c r="Q31" i="45" s="1"/>
  <c r="Q32" i="45" s="1"/>
  <c r="Q33" i="45" s="1"/>
  <c r="Q34" i="45" s="1"/>
  <c r="Q35" i="45" s="1"/>
  <c r="Q3" i="45"/>
  <c r="Q4" i="46"/>
  <c r="Q5" i="46" s="1"/>
  <c r="Q6" i="46" s="1"/>
  <c r="Q7" i="46" s="1"/>
  <c r="Q8" i="46" s="1"/>
  <c r="Q9" i="46" s="1"/>
  <c r="Q10" i="46" s="1"/>
  <c r="Q11" i="46" s="1"/>
  <c r="Q12" i="46" s="1"/>
  <c r="Q13" i="46" s="1"/>
  <c r="Q14" i="46" s="1"/>
  <c r="Q15" i="46" s="1"/>
  <c r="Q16" i="46" s="1"/>
  <c r="Q17" i="46" s="1"/>
  <c r="Q18" i="46" s="1"/>
  <c r="Q19" i="46" s="1"/>
  <c r="Q20" i="46" s="1"/>
  <c r="Q21" i="46" s="1"/>
  <c r="Q22" i="46" s="1"/>
  <c r="Q23" i="46" s="1"/>
  <c r="Q24" i="46" s="1"/>
  <c r="Q25" i="46" s="1"/>
  <c r="Q26" i="46" s="1"/>
  <c r="Q27" i="46" s="1"/>
  <c r="Q28" i="46" s="1"/>
  <c r="Q29" i="46" s="1"/>
  <c r="Q30" i="46" s="1"/>
  <c r="Q31" i="46" s="1"/>
  <c r="Q32" i="46" s="1"/>
  <c r="Q33" i="46" s="1"/>
  <c r="Q34" i="46" s="1"/>
  <c r="Q35" i="46" s="1"/>
  <c r="Q36" i="46" s="1"/>
  <c r="Q37" i="46" s="1"/>
  <c r="Q38" i="46" s="1"/>
  <c r="Q39" i="46" s="1"/>
  <c r="Q40" i="46" s="1"/>
  <c r="Q41" i="46" s="1"/>
  <c r="Q42" i="46" s="1"/>
  <c r="Q3" i="46"/>
  <c r="Q17" i="47"/>
  <c r="Q18" i="47" s="1"/>
  <c r="Q19" i="47" s="1"/>
  <c r="Q20" i="47" s="1"/>
  <c r="Q21" i="47" s="1"/>
  <c r="Q22" i="47" s="1"/>
  <c r="Q23" i="47" s="1"/>
  <c r="Q24" i="47" s="1"/>
  <c r="Q25" i="47" s="1"/>
  <c r="Q26" i="47" s="1"/>
  <c r="Q27" i="47" s="1"/>
  <c r="Q28" i="47" s="1"/>
  <c r="Q29" i="47" s="1"/>
  <c r="Q30" i="47" s="1"/>
  <c r="Q31" i="47" s="1"/>
  <c r="Q32" i="47" s="1"/>
  <c r="Q33" i="47" s="1"/>
  <c r="Q34" i="47" s="1"/>
  <c r="Q16" i="47"/>
  <c r="A34" i="48" l="1"/>
  <c r="A33" i="48"/>
  <c r="A32" i="48"/>
  <c r="A31" i="48"/>
  <c r="A30" i="48"/>
  <c r="A29" i="48"/>
  <c r="A28" i="48"/>
  <c r="A27" i="48"/>
  <c r="A26" i="48"/>
  <c r="A25" i="48"/>
  <c r="A24" i="48"/>
  <c r="A23" i="48"/>
  <c r="A22" i="48"/>
  <c r="A21" i="48"/>
  <c r="A20" i="48"/>
  <c r="A19" i="48"/>
  <c r="A18" i="48"/>
  <c r="A17" i="48"/>
  <c r="A16" i="48"/>
  <c r="A15" i="48"/>
  <c r="A14" i="48"/>
  <c r="A13" i="48"/>
  <c r="A12" i="48"/>
  <c r="A11" i="48"/>
  <c r="A10" i="48"/>
  <c r="A9" i="48"/>
  <c r="A8" i="48"/>
  <c r="A7" i="48"/>
  <c r="A6" i="48"/>
  <c r="A5" i="48"/>
  <c r="A4" i="48"/>
  <c r="A3" i="48"/>
  <c r="Q2" i="48"/>
  <c r="Q3" i="48" s="1"/>
  <c r="Q4" i="48" s="1"/>
  <c r="Q5" i="48" s="1"/>
  <c r="Q6" i="48" s="1"/>
  <c r="Q7" i="48" s="1"/>
  <c r="Q8" i="48" s="1"/>
  <c r="Q9" i="48" s="1"/>
  <c r="Q10" i="48" s="1"/>
  <c r="Q11" i="48" s="1"/>
  <c r="Q12" i="48" s="1"/>
  <c r="Q13" i="48" s="1"/>
  <c r="Q14" i="48" s="1"/>
  <c r="Q15" i="48" s="1"/>
  <c r="A2" i="48"/>
  <c r="A34" i="47"/>
  <c r="A33" i="47"/>
  <c r="A32" i="47"/>
  <c r="A31" i="47"/>
  <c r="A30" i="47"/>
  <c r="A29" i="47"/>
  <c r="A28" i="47"/>
  <c r="A27" i="47"/>
  <c r="A26" i="47"/>
  <c r="A25" i="47"/>
  <c r="A24" i="47"/>
  <c r="A23" i="47"/>
  <c r="A22" i="47"/>
  <c r="A21" i="47"/>
  <c r="A20" i="47"/>
  <c r="A19" i="47"/>
  <c r="A18" i="47"/>
  <c r="A17" i="47"/>
  <c r="A16" i="47"/>
  <c r="A15" i="47"/>
  <c r="A14" i="47"/>
  <c r="A13" i="47"/>
  <c r="A12" i="47"/>
  <c r="A11" i="47"/>
  <c r="A10" i="47"/>
  <c r="A9" i="47"/>
  <c r="A8" i="47"/>
  <c r="A7" i="47"/>
  <c r="A6" i="47"/>
  <c r="A5" i="47"/>
  <c r="A4" i="47"/>
  <c r="A3" i="47"/>
  <c r="Q2" i="47"/>
  <c r="Q3" i="47" s="1"/>
  <c r="Q4" i="47" s="1"/>
  <c r="Q5" i="47" s="1"/>
  <c r="Q6" i="47" s="1"/>
  <c r="Q7" i="47" s="1"/>
  <c r="Q8" i="47" s="1"/>
  <c r="Q9" i="47" s="1"/>
  <c r="Q10" i="47" s="1"/>
  <c r="Q11" i="47" s="1"/>
  <c r="Q12" i="47" s="1"/>
  <c r="Q13" i="47" s="1"/>
  <c r="Q14" i="47" s="1"/>
  <c r="Q15" i="47" s="1"/>
  <c r="A2" i="47"/>
  <c r="A42" i="46"/>
  <c r="A41" i="46"/>
  <c r="A40" i="46"/>
  <c r="A39" i="46"/>
  <c r="A38" i="46"/>
  <c r="A37" i="46"/>
  <c r="A36" i="46"/>
  <c r="A35" i="46"/>
  <c r="A34" i="46"/>
  <c r="A33" i="46"/>
  <c r="A32" i="46"/>
  <c r="A31" i="46"/>
  <c r="A30" i="46"/>
  <c r="A29" i="46"/>
  <c r="A28" i="46"/>
  <c r="A27" i="46"/>
  <c r="A26" i="46"/>
  <c r="A25" i="46"/>
  <c r="A24" i="46"/>
  <c r="A23" i="46"/>
  <c r="A22" i="46"/>
  <c r="A21" i="46"/>
  <c r="A20" i="46"/>
  <c r="A19" i="46"/>
  <c r="A18" i="46"/>
  <c r="A17" i="46"/>
  <c r="A16" i="46"/>
  <c r="A15" i="46"/>
  <c r="A14" i="46"/>
  <c r="A13" i="46"/>
  <c r="A12" i="46"/>
  <c r="A11" i="46"/>
  <c r="A10" i="46"/>
  <c r="A9" i="46"/>
  <c r="A8" i="46"/>
  <c r="A7" i="46"/>
  <c r="A6" i="46"/>
  <c r="A5" i="46"/>
  <c r="A4" i="46"/>
  <c r="A3" i="46"/>
  <c r="Q2" i="46"/>
  <c r="A2" i="46"/>
  <c r="A35" i="45"/>
  <c r="A34" i="45"/>
  <c r="A33" i="45"/>
  <c r="A32" i="45"/>
  <c r="A31" i="45"/>
  <c r="A30" i="45"/>
  <c r="A29" i="45"/>
  <c r="A28" i="45"/>
  <c r="A27" i="45"/>
  <c r="A26" i="45"/>
  <c r="A25" i="45"/>
  <c r="A24" i="45"/>
  <c r="A23" i="45"/>
  <c r="A22" i="45"/>
  <c r="A21" i="45"/>
  <c r="A20" i="45"/>
  <c r="A19" i="45"/>
  <c r="A18" i="45"/>
  <c r="A17" i="45"/>
  <c r="A16" i="45"/>
  <c r="A15" i="45"/>
  <c r="A14" i="45"/>
  <c r="A13" i="45"/>
  <c r="A12" i="45"/>
  <c r="A11" i="45"/>
  <c r="A10" i="45"/>
  <c r="A9" i="45"/>
  <c r="A8" i="45"/>
  <c r="A7" i="45"/>
  <c r="A6" i="45"/>
  <c r="A5" i="45"/>
  <c r="A4" i="45"/>
  <c r="A3" i="45"/>
  <c r="Q2" i="45"/>
  <c r="A2" i="45"/>
  <c r="A11" i="13" l="1"/>
  <c r="A346" i="8" l="1"/>
  <c r="A345" i="8"/>
  <c r="A344" i="8"/>
  <c r="A343" i="8"/>
  <c r="A342" i="8"/>
  <c r="A341" i="8"/>
  <c r="A340" i="8"/>
  <c r="A339" i="8"/>
  <c r="A338" i="8"/>
  <c r="A337" i="8"/>
  <c r="A336" i="8"/>
  <c r="A335" i="8"/>
  <c r="A334" i="8"/>
  <c r="A333" i="8"/>
  <c r="A332" i="8"/>
  <c r="A331" i="8"/>
  <c r="A330" i="8"/>
  <c r="A329" i="8"/>
  <c r="A328" i="8"/>
  <c r="A327" i="8"/>
  <c r="A326" i="8"/>
  <c r="A325" i="8"/>
  <c r="A324" i="8"/>
  <c r="A323" i="8"/>
  <c r="A322" i="8"/>
  <c r="A321" i="8"/>
  <c r="A320" i="8"/>
  <c r="A319" i="8"/>
  <c r="A318" i="8"/>
  <c r="A317" i="8"/>
  <c r="A316" i="8"/>
  <c r="A315" i="8"/>
  <c r="A314" i="8"/>
  <c r="A313" i="8"/>
  <c r="A312" i="8"/>
  <c r="A311" i="8"/>
  <c r="A310" i="8"/>
  <c r="A309" i="8"/>
  <c r="A308" i="8"/>
  <c r="A307" i="8"/>
  <c r="A306" i="8"/>
  <c r="A305" i="8"/>
  <c r="A304" i="8"/>
  <c r="A303" i="8"/>
  <c r="A302" i="8"/>
  <c r="A301" i="8"/>
  <c r="A300" i="8"/>
  <c r="A299" i="8"/>
  <c r="A298" i="8"/>
  <c r="A297" i="8"/>
  <c r="A296" i="8"/>
  <c r="A295" i="8"/>
  <c r="A294" i="8"/>
  <c r="A293" i="8"/>
  <c r="A292" i="8"/>
  <c r="A291" i="8"/>
  <c r="A290" i="8"/>
  <c r="A289" i="8"/>
  <c r="A288" i="8"/>
  <c r="A287" i="8"/>
  <c r="A286" i="8"/>
  <c r="A285" i="8"/>
  <c r="A284" i="8"/>
  <c r="A283" i="8"/>
  <c r="A282" i="8"/>
  <c r="A281" i="8"/>
  <c r="A280" i="8"/>
  <c r="A279" i="8"/>
  <c r="A278" i="8"/>
  <c r="A277" i="8"/>
  <c r="A276" i="8"/>
  <c r="A275" i="8"/>
  <c r="A274" i="8"/>
  <c r="A273" i="8"/>
  <c r="A272" i="8"/>
  <c r="A271" i="8"/>
  <c r="A270" i="8"/>
  <c r="A269" i="8"/>
  <c r="A268" i="8"/>
  <c r="A267" i="8"/>
  <c r="A266" i="8"/>
  <c r="A265" i="8"/>
  <c r="A264" i="8"/>
  <c r="A263" i="8"/>
  <c r="A262" i="8"/>
  <c r="A261" i="8"/>
  <c r="A260" i="8"/>
  <c r="A259" i="8"/>
  <c r="A258" i="8"/>
  <c r="A257" i="8"/>
  <c r="A256" i="8"/>
  <c r="A255" i="8"/>
  <c r="A254" i="8"/>
  <c r="A253" i="8"/>
  <c r="A252" i="8"/>
  <c r="A251" i="8"/>
  <c r="A250" i="8"/>
  <c r="A249" i="8"/>
  <c r="A248" i="8"/>
  <c r="A247" i="8"/>
  <c r="A246" i="8"/>
  <c r="A245" i="8"/>
  <c r="A244" i="8"/>
  <c r="A243" i="8"/>
  <c r="A242" i="8"/>
  <c r="A241" i="8"/>
  <c r="A240" i="8"/>
  <c r="A239" i="8"/>
  <c r="A238" i="8"/>
  <c r="A237" i="8"/>
  <c r="A236" i="8"/>
  <c r="A235" i="8"/>
  <c r="A234" i="8"/>
  <c r="A233" i="8"/>
  <c r="A232" i="8"/>
  <c r="A231" i="8"/>
  <c r="A230" i="8"/>
  <c r="A229" i="8"/>
  <c r="A228" i="8"/>
  <c r="A227" i="8"/>
  <c r="A226" i="8"/>
  <c r="A225" i="8"/>
  <c r="A224" i="8"/>
  <c r="A223" i="8"/>
  <c r="A222" i="8"/>
  <c r="A221" i="8"/>
  <c r="A220" i="8"/>
  <c r="A219" i="8"/>
  <c r="A218" i="8"/>
  <c r="A217" i="8"/>
  <c r="A216" i="8"/>
  <c r="A215" i="8"/>
  <c r="A214" i="8"/>
  <c r="A213" i="8"/>
  <c r="A212" i="8"/>
  <c r="A211" i="8"/>
  <c r="A210" i="8"/>
  <c r="A209" i="8"/>
  <c r="A208" i="8"/>
  <c r="A207" i="8"/>
  <c r="A206" i="8"/>
  <c r="A205" i="8"/>
  <c r="A204" i="8"/>
  <c r="A203" i="8"/>
  <c r="A202" i="8"/>
  <c r="A201" i="8"/>
  <c r="A200" i="8"/>
  <c r="A199" i="8"/>
  <c r="A198" i="8"/>
  <c r="A197" i="8"/>
  <c r="A196" i="8"/>
  <c r="A195" i="8"/>
  <c r="A194" i="8"/>
  <c r="A193" i="8"/>
  <c r="A192" i="8"/>
  <c r="A191" i="8"/>
  <c r="A190" i="8"/>
  <c r="A189" i="8"/>
  <c r="A188" i="8"/>
  <c r="A187" i="8"/>
  <c r="A186" i="8"/>
  <c r="A185" i="8"/>
  <c r="A184" i="8"/>
  <c r="A183" i="8"/>
  <c r="A182" i="8"/>
  <c r="A181" i="8"/>
  <c r="A180" i="8"/>
  <c r="A179" i="8"/>
  <c r="A178" i="8"/>
  <c r="A177" i="8"/>
  <c r="A176" i="8"/>
  <c r="A175" i="8"/>
  <c r="A174" i="8"/>
  <c r="A173" i="8"/>
  <c r="A172" i="8"/>
  <c r="A171" i="8"/>
  <c r="A170" i="8"/>
  <c r="A169" i="8"/>
  <c r="A168" i="8"/>
  <c r="A167" i="8"/>
  <c r="A166" i="8"/>
  <c r="A165" i="8"/>
  <c r="A164" i="8"/>
  <c r="A163" i="8"/>
  <c r="A162" i="8"/>
  <c r="A161" i="8"/>
  <c r="A160" i="8"/>
  <c r="A159" i="8"/>
  <c r="A158" i="8"/>
  <c r="A157" i="8"/>
  <c r="A156" i="8"/>
  <c r="A155" i="8"/>
  <c r="A154" i="8"/>
  <c r="A153" i="8"/>
  <c r="A152" i="8"/>
  <c r="A151" i="8"/>
  <c r="A150" i="8"/>
  <c r="A149" i="8"/>
  <c r="A148" i="8"/>
  <c r="A147" i="8"/>
  <c r="A146" i="8"/>
  <c r="A145" i="8"/>
  <c r="A144" i="8"/>
  <c r="A143" i="8"/>
  <c r="A142" i="8"/>
  <c r="A141" i="8"/>
  <c r="A140" i="8"/>
  <c r="A139" i="8"/>
  <c r="A138" i="8"/>
  <c r="A137" i="8"/>
  <c r="A136" i="8"/>
  <c r="A135" i="8"/>
  <c r="A134" i="8"/>
  <c r="A133" i="8"/>
  <c r="A132" i="8"/>
  <c r="A131" i="8"/>
  <c r="A130" i="8"/>
  <c r="A129" i="8"/>
  <c r="A128" i="8"/>
  <c r="A127" i="8"/>
  <c r="A126" i="8"/>
  <c r="A125" i="8"/>
  <c r="A124" i="8"/>
  <c r="A123" i="8"/>
  <c r="A122" i="8"/>
  <c r="A121" i="8"/>
  <c r="A120" i="8"/>
  <c r="A119" i="8"/>
  <c r="A118" i="8"/>
  <c r="A117" i="8"/>
  <c r="A116" i="8"/>
  <c r="A115" i="8"/>
  <c r="A114" i="8"/>
  <c r="A113" i="8"/>
  <c r="A112" i="8"/>
  <c r="A111" i="8"/>
  <c r="A110" i="8"/>
  <c r="A109" i="8"/>
  <c r="A108" i="8"/>
  <c r="A107" i="8"/>
  <c r="A106" i="8"/>
  <c r="A105" i="8"/>
  <c r="A104" i="8"/>
  <c r="A103" i="8"/>
  <c r="A102" i="8"/>
  <c r="A101" i="8"/>
  <c r="A100" i="8"/>
  <c r="A99" i="8"/>
  <c r="A98" i="8"/>
  <c r="A97" i="8"/>
  <c r="A96" i="8"/>
  <c r="A95" i="8"/>
  <c r="A94" i="8"/>
  <c r="A93" i="8"/>
  <c r="A92" i="8"/>
  <c r="A91" i="8"/>
  <c r="A90" i="8"/>
  <c r="A89" i="8"/>
  <c r="A88" i="8"/>
  <c r="A87" i="8"/>
  <c r="A86" i="8"/>
  <c r="A85" i="8"/>
  <c r="A84" i="8"/>
  <c r="A83" i="8"/>
  <c r="A82" i="8"/>
  <c r="A81" i="8"/>
  <c r="A80" i="8"/>
  <c r="A79" i="8"/>
  <c r="A78" i="8"/>
  <c r="A77" i="8"/>
  <c r="A76" i="8"/>
  <c r="A75" i="8"/>
  <c r="A74" i="8"/>
  <c r="A73" i="8"/>
  <c r="A72" i="8"/>
  <c r="A71" i="8"/>
  <c r="A70" i="8"/>
  <c r="A69" i="8"/>
  <c r="A68" i="8"/>
  <c r="A67" i="8"/>
  <c r="A66" i="8"/>
  <c r="A65" i="8"/>
  <c r="A64" i="8"/>
  <c r="A63" i="8"/>
  <c r="A62" i="8"/>
  <c r="A61" i="8"/>
  <c r="A60" i="8"/>
  <c r="A59" i="8"/>
  <c r="A58" i="8"/>
  <c r="A57" i="8"/>
  <c r="A56" i="8"/>
  <c r="A55" i="8"/>
  <c r="A54" i="8"/>
  <c r="A53" i="8"/>
  <c r="A52" i="8"/>
  <c r="A51" i="8"/>
  <c r="A50" i="8"/>
  <c r="A49" i="8"/>
  <c r="A48" i="8"/>
  <c r="A47" i="8"/>
  <c r="A46" i="8"/>
  <c r="A45" i="8"/>
  <c r="A44" i="8"/>
  <c r="A43" i="8"/>
  <c r="A42" i="8"/>
  <c r="A41" i="8"/>
  <c r="A40" i="8"/>
  <c r="A39" i="8"/>
  <c r="A38" i="8"/>
  <c r="A37" i="8"/>
  <c r="A36" i="8"/>
  <c r="A35" i="8"/>
  <c r="A34" i="8"/>
  <c r="A33" i="8"/>
  <c r="A32" i="8"/>
  <c r="A31" i="8"/>
  <c r="A30" i="8"/>
  <c r="A29" i="8"/>
  <c r="A28" i="8"/>
  <c r="A27" i="8"/>
  <c r="A26" i="8"/>
  <c r="A25" i="8"/>
  <c r="A24" i="8"/>
  <c r="A23" i="8"/>
  <c r="A22" i="8"/>
  <c r="A21" i="8"/>
  <c r="A20" i="8"/>
  <c r="A19" i="8"/>
  <c r="A18" i="8"/>
  <c r="A17" i="8"/>
  <c r="A16" i="8"/>
  <c r="A15" i="8"/>
  <c r="A14" i="8"/>
  <c r="A13" i="8"/>
  <c r="A12" i="8"/>
  <c r="A11" i="8"/>
  <c r="A10" i="8"/>
  <c r="A9" i="8"/>
  <c r="A8" i="8"/>
  <c r="A7" i="8"/>
  <c r="A6" i="8"/>
  <c r="A5" i="8"/>
  <c r="A4" i="8"/>
  <c r="A3" i="8"/>
  <c r="X2" i="8"/>
  <c r="X3" i="8" s="1"/>
  <c r="X4" i="8" s="1"/>
  <c r="X5" i="8" s="1"/>
  <c r="X6" i="8" s="1"/>
  <c r="X7" i="8" s="1"/>
  <c r="X8" i="8" s="1"/>
  <c r="X9" i="8" s="1"/>
  <c r="X10" i="8" s="1"/>
  <c r="X11" i="8" s="1"/>
  <c r="X12" i="8" s="1"/>
  <c r="X13" i="8" s="1"/>
  <c r="X14" i="8" s="1"/>
  <c r="X15" i="8" s="1"/>
  <c r="X16" i="8" s="1"/>
  <c r="X17" i="8" s="1"/>
  <c r="X18" i="8" s="1"/>
  <c r="X19" i="8" s="1"/>
  <c r="X20" i="8" s="1"/>
  <c r="X21" i="8" s="1"/>
  <c r="X22" i="8" s="1"/>
  <c r="X23" i="8" s="1"/>
  <c r="X24" i="8" s="1"/>
  <c r="X25" i="8" s="1"/>
  <c r="X26" i="8" s="1"/>
  <c r="X27" i="8" s="1"/>
  <c r="X28" i="8" s="1"/>
  <c r="X29" i="8" s="1"/>
  <c r="X30" i="8" s="1"/>
  <c r="X31" i="8" s="1"/>
  <c r="X32" i="8" s="1"/>
  <c r="X33" i="8" s="1"/>
  <c r="X34" i="8" s="1"/>
  <c r="X35" i="8" s="1"/>
  <c r="X36" i="8" s="1"/>
  <c r="X37" i="8" s="1"/>
  <c r="X38" i="8" s="1"/>
  <c r="X39" i="8" s="1"/>
  <c r="X40" i="8" s="1"/>
  <c r="X41" i="8" s="1"/>
  <c r="X42" i="8" s="1"/>
  <c r="X43" i="8" s="1"/>
  <c r="X44" i="8" s="1"/>
  <c r="X45" i="8" s="1"/>
  <c r="X46" i="8" s="1"/>
  <c r="X47" i="8" s="1"/>
  <c r="X48" i="8" s="1"/>
  <c r="X49" i="8" s="1"/>
  <c r="X50" i="8" s="1"/>
  <c r="X51" i="8" s="1"/>
  <c r="X52" i="8" s="1"/>
  <c r="X53" i="8" s="1"/>
  <c r="X54" i="8" s="1"/>
  <c r="X55" i="8" s="1"/>
  <c r="X56" i="8" s="1"/>
  <c r="X57" i="8" s="1"/>
  <c r="X58" i="8" s="1"/>
  <c r="X59" i="8" s="1"/>
  <c r="X60" i="8" s="1"/>
  <c r="X61" i="8" s="1"/>
  <c r="X62" i="8" s="1"/>
  <c r="X63" i="8" s="1"/>
  <c r="X64" i="8" s="1"/>
  <c r="X65" i="8" s="1"/>
  <c r="X66" i="8" s="1"/>
  <c r="X67" i="8" s="1"/>
  <c r="X68" i="8" s="1"/>
  <c r="X69" i="8" s="1"/>
  <c r="X70" i="8" s="1"/>
  <c r="X71" i="8" s="1"/>
  <c r="X72" i="8" s="1"/>
  <c r="X73" i="8" s="1"/>
  <c r="X74" i="8" s="1"/>
  <c r="X75" i="8" s="1"/>
  <c r="X76" i="8" s="1"/>
  <c r="X77" i="8" s="1"/>
  <c r="X78" i="8" s="1"/>
  <c r="X79" i="8" s="1"/>
  <c r="X80" i="8" s="1"/>
  <c r="X81" i="8" s="1"/>
  <c r="X82" i="8" s="1"/>
  <c r="X83" i="8" s="1"/>
  <c r="X84" i="8" s="1"/>
  <c r="X85" i="8" s="1"/>
  <c r="X86" i="8" s="1"/>
  <c r="X87" i="8" s="1"/>
  <c r="X88" i="8" s="1"/>
  <c r="X89" i="8" s="1"/>
  <c r="X90" i="8" s="1"/>
  <c r="X91" i="8" s="1"/>
  <c r="X92" i="8" s="1"/>
  <c r="X93" i="8" s="1"/>
  <c r="X94" i="8" s="1"/>
  <c r="X95" i="8" s="1"/>
  <c r="X96" i="8" s="1"/>
  <c r="X97" i="8" s="1"/>
  <c r="X98" i="8" s="1"/>
  <c r="X99" i="8" s="1"/>
  <c r="X100" i="8" s="1"/>
  <c r="X101" i="8" s="1"/>
  <c r="X102" i="8" s="1"/>
  <c r="X103" i="8" s="1"/>
  <c r="X104" i="8" s="1"/>
  <c r="X105" i="8" s="1"/>
  <c r="X106" i="8" s="1"/>
  <c r="X107" i="8" s="1"/>
  <c r="X108" i="8" s="1"/>
  <c r="X109" i="8" s="1"/>
  <c r="X110" i="8" s="1"/>
  <c r="X111" i="8" s="1"/>
  <c r="X112" i="8" s="1"/>
  <c r="X113" i="8" s="1"/>
  <c r="X114" i="8" s="1"/>
  <c r="X115" i="8" s="1"/>
  <c r="X116" i="8" s="1"/>
  <c r="X117" i="8" s="1"/>
  <c r="X118" i="8" s="1"/>
  <c r="X119" i="8" s="1"/>
  <c r="X120" i="8" s="1"/>
  <c r="X121" i="8" s="1"/>
  <c r="X122" i="8" s="1"/>
  <c r="X123" i="8" s="1"/>
  <c r="X124" i="8" s="1"/>
  <c r="X125" i="8" s="1"/>
  <c r="X126" i="8" s="1"/>
  <c r="X127" i="8" s="1"/>
  <c r="X128" i="8" s="1"/>
  <c r="X129" i="8" s="1"/>
  <c r="X130" i="8" s="1"/>
  <c r="X131" i="8" s="1"/>
  <c r="X132" i="8" s="1"/>
  <c r="X133" i="8" s="1"/>
  <c r="X134" i="8" s="1"/>
  <c r="X135" i="8" s="1"/>
  <c r="X136" i="8" s="1"/>
  <c r="X137" i="8" s="1"/>
  <c r="X138" i="8" s="1"/>
  <c r="X139" i="8" s="1"/>
  <c r="X140" i="8" s="1"/>
  <c r="X141" i="8" s="1"/>
  <c r="X142" i="8" s="1"/>
  <c r="X143" i="8" s="1"/>
  <c r="X144" i="8" s="1"/>
  <c r="X145" i="8" s="1"/>
  <c r="X146" i="8" s="1"/>
  <c r="X147" i="8" s="1"/>
  <c r="X148" i="8" s="1"/>
  <c r="X149" i="8" s="1"/>
  <c r="X150" i="8" s="1"/>
  <c r="X151" i="8" s="1"/>
  <c r="X152" i="8" s="1"/>
  <c r="X153" i="8" s="1"/>
  <c r="X154" i="8" s="1"/>
  <c r="X155" i="8" s="1"/>
  <c r="X156" i="8" s="1"/>
  <c r="X157" i="8" s="1"/>
  <c r="X158" i="8" s="1"/>
  <c r="X159" i="8" s="1"/>
  <c r="X160" i="8" s="1"/>
  <c r="X161" i="8" s="1"/>
  <c r="X162" i="8" s="1"/>
  <c r="X163" i="8" s="1"/>
  <c r="X164" i="8" s="1"/>
  <c r="X165" i="8" s="1"/>
  <c r="X166" i="8" s="1"/>
  <c r="X167" i="8" s="1"/>
  <c r="X168" i="8" s="1"/>
  <c r="X169" i="8" s="1"/>
  <c r="X170" i="8" s="1"/>
  <c r="X171" i="8" s="1"/>
  <c r="X172" i="8" s="1"/>
  <c r="X173" i="8" s="1"/>
  <c r="X174" i="8" s="1"/>
  <c r="X175" i="8" s="1"/>
  <c r="X176" i="8" s="1"/>
  <c r="X177" i="8" s="1"/>
  <c r="X178" i="8" s="1"/>
  <c r="X179" i="8" s="1"/>
  <c r="X180" i="8" s="1"/>
  <c r="X181" i="8" s="1"/>
  <c r="X182" i="8" s="1"/>
  <c r="X183" i="8" s="1"/>
  <c r="X184" i="8" s="1"/>
  <c r="X185" i="8" s="1"/>
  <c r="X186" i="8" s="1"/>
  <c r="X187" i="8" s="1"/>
  <c r="X188" i="8" s="1"/>
  <c r="X189" i="8" s="1"/>
  <c r="X190" i="8" s="1"/>
  <c r="X191" i="8" s="1"/>
  <c r="X192" i="8" s="1"/>
  <c r="X193" i="8" s="1"/>
  <c r="X194" i="8" s="1"/>
  <c r="X195" i="8" s="1"/>
  <c r="X196" i="8" s="1"/>
  <c r="X197" i="8" s="1"/>
  <c r="X198" i="8" s="1"/>
  <c r="X199" i="8" s="1"/>
  <c r="X200" i="8" s="1"/>
  <c r="X201" i="8" s="1"/>
  <c r="X202" i="8" s="1"/>
  <c r="X203" i="8" s="1"/>
  <c r="X204" i="8" s="1"/>
  <c r="X205" i="8" s="1"/>
  <c r="X206" i="8" s="1"/>
  <c r="X207" i="8" s="1"/>
  <c r="X208" i="8" s="1"/>
  <c r="X209" i="8" s="1"/>
  <c r="X210" i="8" s="1"/>
  <c r="X211" i="8" s="1"/>
  <c r="X212" i="8" s="1"/>
  <c r="X213" i="8" s="1"/>
  <c r="X214" i="8" s="1"/>
  <c r="X215" i="8" s="1"/>
  <c r="X216" i="8" s="1"/>
  <c r="X217" i="8" s="1"/>
  <c r="X218" i="8" s="1"/>
  <c r="X219" i="8" s="1"/>
  <c r="X220" i="8" s="1"/>
  <c r="X221" i="8" s="1"/>
  <c r="X222" i="8" s="1"/>
  <c r="X223" i="8" s="1"/>
  <c r="X224" i="8" s="1"/>
  <c r="X225" i="8" s="1"/>
  <c r="X226" i="8" s="1"/>
  <c r="X227" i="8" s="1"/>
  <c r="X228" i="8" s="1"/>
  <c r="X229" i="8" s="1"/>
  <c r="X230" i="8" s="1"/>
  <c r="X231" i="8" s="1"/>
  <c r="X232" i="8" s="1"/>
  <c r="X233" i="8" s="1"/>
  <c r="X234" i="8" s="1"/>
  <c r="X235" i="8" s="1"/>
  <c r="X236" i="8" s="1"/>
  <c r="X237" i="8" s="1"/>
  <c r="X238" i="8" s="1"/>
  <c r="X239" i="8" s="1"/>
  <c r="X240" i="8" s="1"/>
  <c r="X241" i="8" s="1"/>
  <c r="X242" i="8" s="1"/>
  <c r="X243" i="8" s="1"/>
  <c r="X244" i="8" s="1"/>
  <c r="X245" i="8" s="1"/>
  <c r="X246" i="8" s="1"/>
  <c r="X247" i="8" s="1"/>
  <c r="X248" i="8" s="1"/>
  <c r="X249" i="8" s="1"/>
  <c r="X250" i="8" s="1"/>
  <c r="X251" i="8" s="1"/>
  <c r="X252" i="8" s="1"/>
  <c r="X253" i="8" s="1"/>
  <c r="X254" i="8" s="1"/>
  <c r="X255" i="8" s="1"/>
  <c r="X256" i="8" s="1"/>
  <c r="X257" i="8" s="1"/>
  <c r="X258" i="8" s="1"/>
  <c r="X259" i="8" s="1"/>
  <c r="X260" i="8" s="1"/>
  <c r="X261" i="8" s="1"/>
  <c r="X262" i="8" s="1"/>
  <c r="X263" i="8" s="1"/>
  <c r="X264" i="8" s="1"/>
  <c r="X265" i="8" s="1"/>
  <c r="X266" i="8" s="1"/>
  <c r="X267" i="8" s="1"/>
  <c r="X268" i="8" s="1"/>
  <c r="X269" i="8" s="1"/>
  <c r="X270" i="8" s="1"/>
  <c r="X271" i="8" s="1"/>
  <c r="X272" i="8" s="1"/>
  <c r="X273" i="8" s="1"/>
  <c r="X274" i="8" s="1"/>
  <c r="X275" i="8" s="1"/>
  <c r="X276" i="8" s="1"/>
  <c r="X277" i="8" s="1"/>
  <c r="X278" i="8" s="1"/>
  <c r="X279" i="8" s="1"/>
  <c r="X280" i="8" s="1"/>
  <c r="X281" i="8" s="1"/>
  <c r="X282" i="8" s="1"/>
  <c r="X283" i="8" s="1"/>
  <c r="X284" i="8" s="1"/>
  <c r="X285" i="8" s="1"/>
  <c r="X286" i="8" s="1"/>
  <c r="X287" i="8" s="1"/>
  <c r="X288" i="8" s="1"/>
  <c r="X289" i="8" s="1"/>
  <c r="X290" i="8" s="1"/>
  <c r="X291" i="8" s="1"/>
  <c r="X292" i="8" s="1"/>
  <c r="X293" i="8" s="1"/>
  <c r="X294" i="8" s="1"/>
  <c r="X295" i="8" s="1"/>
  <c r="X296" i="8" s="1"/>
  <c r="X297" i="8" s="1"/>
  <c r="X298" i="8" s="1"/>
  <c r="X299" i="8" s="1"/>
  <c r="X300" i="8" s="1"/>
  <c r="X301" i="8" s="1"/>
  <c r="X302" i="8" s="1"/>
  <c r="X303" i="8" s="1"/>
  <c r="X304" i="8" s="1"/>
  <c r="X305" i="8" s="1"/>
  <c r="X306" i="8" s="1"/>
  <c r="X307" i="8" s="1"/>
  <c r="X308" i="8" s="1"/>
  <c r="X309" i="8" s="1"/>
  <c r="X310" i="8" s="1"/>
  <c r="X311" i="8" s="1"/>
  <c r="X312" i="8" s="1"/>
  <c r="X313" i="8" s="1"/>
  <c r="X314" i="8" s="1"/>
  <c r="X315" i="8" s="1"/>
  <c r="X316" i="8" s="1"/>
  <c r="X317" i="8" s="1"/>
  <c r="X318" i="8" s="1"/>
  <c r="X319" i="8" s="1"/>
  <c r="X320" i="8" s="1"/>
  <c r="X321" i="8" s="1"/>
  <c r="X322" i="8" s="1"/>
  <c r="X323" i="8" s="1"/>
  <c r="X324" i="8" s="1"/>
  <c r="X325" i="8" s="1"/>
  <c r="X326" i="8" s="1"/>
  <c r="X327" i="8" s="1"/>
  <c r="X328" i="8" s="1"/>
  <c r="X329" i="8" s="1"/>
  <c r="X330" i="8" s="1"/>
  <c r="X331" i="8" s="1"/>
  <c r="X332" i="8" s="1"/>
  <c r="X333" i="8" s="1"/>
  <c r="X334" i="8" s="1"/>
  <c r="X335" i="8" s="1"/>
  <c r="X336" i="8" s="1"/>
  <c r="X337" i="8" s="1"/>
  <c r="X338" i="8" s="1"/>
  <c r="X339" i="8" s="1"/>
  <c r="X340" i="8" s="1"/>
  <c r="X341" i="8" s="1"/>
  <c r="X342" i="8" s="1"/>
  <c r="X343" i="8" s="1"/>
  <c r="X344" i="8" s="1"/>
  <c r="X345" i="8" s="1"/>
  <c r="X346" i="8" s="1"/>
  <c r="A2" i="8"/>
  <c r="Q2" i="2" l="1"/>
  <c r="Q3" i="2" s="1"/>
  <c r="Q4" i="2" s="1"/>
  <c r="A23" i="13"/>
  <c r="A22" i="13"/>
  <c r="A21" i="13"/>
  <c r="A20" i="13"/>
  <c r="A19" i="13"/>
  <c r="A18" i="13"/>
  <c r="A17" i="13"/>
  <c r="A16" i="13"/>
  <c r="A15" i="13"/>
  <c r="A14" i="13"/>
  <c r="A13" i="13"/>
  <c r="A12" i="13"/>
  <c r="A10" i="13"/>
  <c r="A9" i="13"/>
  <c r="A8" i="13"/>
  <c r="A7" i="13"/>
  <c r="A6" i="13"/>
  <c r="A5" i="13"/>
  <c r="A4" i="13"/>
  <c r="A3" i="13"/>
  <c r="Q2" i="13"/>
  <c r="Q3" i="13" s="1"/>
  <c r="A2" i="13"/>
  <c r="A98" i="12"/>
  <c r="A97" i="12"/>
  <c r="A96" i="12"/>
  <c r="A95" i="12"/>
  <c r="A94" i="12"/>
  <c r="A93" i="12"/>
  <c r="A92" i="12"/>
  <c r="A91" i="12"/>
  <c r="A90" i="12"/>
  <c r="A89" i="12"/>
  <c r="A88" i="12"/>
  <c r="A87" i="12"/>
  <c r="A86" i="12"/>
  <c r="A85" i="12"/>
  <c r="A84" i="12"/>
  <c r="A83" i="12"/>
  <c r="A82" i="12"/>
  <c r="A81" i="12"/>
  <c r="A80" i="12"/>
  <c r="A79" i="12"/>
  <c r="A78" i="12"/>
  <c r="A77" i="12"/>
  <c r="A76" i="12"/>
  <c r="A75" i="12"/>
  <c r="A74" i="12"/>
  <c r="A73" i="12"/>
  <c r="A72" i="12"/>
  <c r="A71" i="12"/>
  <c r="A70" i="12"/>
  <c r="A69" i="12"/>
  <c r="A68" i="12"/>
  <c r="A67" i="12"/>
  <c r="A66" i="12"/>
  <c r="A65" i="12"/>
  <c r="A64" i="12"/>
  <c r="A63" i="12"/>
  <c r="A62" i="12"/>
  <c r="A61" i="12"/>
  <c r="A60" i="12"/>
  <c r="A59" i="12"/>
  <c r="A58" i="12"/>
  <c r="A57" i="12"/>
  <c r="A56" i="12"/>
  <c r="A55" i="12"/>
  <c r="A54" i="12"/>
  <c r="A53" i="12"/>
  <c r="A52" i="12"/>
  <c r="A51" i="12"/>
  <c r="A50" i="12"/>
  <c r="A49" i="12"/>
  <c r="A48" i="12"/>
  <c r="A47" i="12"/>
  <c r="A46" i="12"/>
  <c r="A45" i="12"/>
  <c r="A44" i="12"/>
  <c r="A43" i="12"/>
  <c r="A42" i="12"/>
  <c r="A41" i="12"/>
  <c r="A40" i="12"/>
  <c r="A39" i="12"/>
  <c r="A38" i="12"/>
  <c r="A37" i="12"/>
  <c r="A36" i="12"/>
  <c r="A35" i="12"/>
  <c r="A34" i="12"/>
  <c r="A33" i="12"/>
  <c r="A32" i="12"/>
  <c r="A31" i="12"/>
  <c r="A30" i="12"/>
  <c r="A29" i="12"/>
  <c r="A28" i="12"/>
  <c r="A27" i="12"/>
  <c r="A26" i="12"/>
  <c r="A25" i="12"/>
  <c r="A24" i="12"/>
  <c r="A23" i="12"/>
  <c r="A22" i="12"/>
  <c r="A21" i="12"/>
  <c r="A20" i="12"/>
  <c r="A19" i="12"/>
  <c r="A18" i="12"/>
  <c r="A17" i="12"/>
  <c r="A16" i="12"/>
  <c r="A15" i="12"/>
  <c r="A14" i="12"/>
  <c r="A13" i="12"/>
  <c r="A12" i="12"/>
  <c r="A11" i="12"/>
  <c r="A10" i="12"/>
  <c r="A9" i="12"/>
  <c r="A8" i="12"/>
  <c r="A7" i="12"/>
  <c r="A6" i="12"/>
  <c r="A5" i="12"/>
  <c r="A4" i="12"/>
  <c r="A3" i="12"/>
  <c r="Q2" i="12"/>
  <c r="Q3" i="12" s="1"/>
  <c r="Q4" i="12" s="1"/>
  <c r="Q5" i="12" s="1"/>
  <c r="Q6" i="12" s="1"/>
  <c r="Q7" i="12" s="1"/>
  <c r="Q8" i="12" s="1"/>
  <c r="Q9" i="12" s="1"/>
  <c r="Q10" i="12" s="1"/>
  <c r="Q11" i="12" s="1"/>
  <c r="Q12" i="12" s="1"/>
  <c r="Q13" i="12" s="1"/>
  <c r="Q14" i="12" s="1"/>
  <c r="Q15" i="12" s="1"/>
  <c r="Q16" i="12" s="1"/>
  <c r="Q17" i="12" s="1"/>
  <c r="Q18" i="12" s="1"/>
  <c r="Q19" i="12" s="1"/>
  <c r="Q20" i="12" s="1"/>
  <c r="Q21" i="12" s="1"/>
  <c r="Q22" i="12" s="1"/>
  <c r="Q23" i="12" s="1"/>
  <c r="Q24" i="12" s="1"/>
  <c r="Q25" i="12" s="1"/>
  <c r="Q26" i="12" s="1"/>
  <c r="Q27" i="12" s="1"/>
  <c r="Q28" i="12" s="1"/>
  <c r="Q29" i="12" s="1"/>
  <c r="Q30" i="12" s="1"/>
  <c r="Q31" i="12" s="1"/>
  <c r="Q32" i="12" s="1"/>
  <c r="Q33" i="12" s="1"/>
  <c r="Q34" i="12" s="1"/>
  <c r="Q35" i="12" s="1"/>
  <c r="Q36" i="12" s="1"/>
  <c r="Q37" i="12" s="1"/>
  <c r="Q38" i="12" s="1"/>
  <c r="Q39" i="12" s="1"/>
  <c r="Q40" i="12" s="1"/>
  <c r="Q41" i="12" s="1"/>
  <c r="Q42" i="12" s="1"/>
  <c r="Q43" i="12" s="1"/>
  <c r="Q44" i="12" s="1"/>
  <c r="Q45" i="12" s="1"/>
  <c r="Q46" i="12" s="1"/>
  <c r="Q47" i="12" s="1"/>
  <c r="Q48" i="12" s="1"/>
  <c r="Q49" i="12" s="1"/>
  <c r="Q50" i="12" s="1"/>
  <c r="Q51" i="12" s="1"/>
  <c r="Q52" i="12" s="1"/>
  <c r="Q53" i="12" s="1"/>
  <c r="Q54" i="12" s="1"/>
  <c r="Q55" i="12" s="1"/>
  <c r="Q56" i="12" s="1"/>
  <c r="Q57" i="12" s="1"/>
  <c r="Q58" i="12" s="1"/>
  <c r="Q59" i="12" s="1"/>
  <c r="Q60" i="12" s="1"/>
  <c r="Q61" i="12" s="1"/>
  <c r="Q62" i="12" s="1"/>
  <c r="Q63" i="12" s="1"/>
  <c r="Q64" i="12" s="1"/>
  <c r="Q65" i="12" s="1"/>
  <c r="Q66" i="12" s="1"/>
  <c r="Q67" i="12" s="1"/>
  <c r="Q68" i="12" s="1"/>
  <c r="Q69" i="12" s="1"/>
  <c r="Q70" i="12" s="1"/>
  <c r="Q71" i="12" s="1"/>
  <c r="Q72" i="12" s="1"/>
  <c r="Q73" i="12" s="1"/>
  <c r="Q74" i="12" s="1"/>
  <c r="Q75" i="12" s="1"/>
  <c r="Q76" i="12" s="1"/>
  <c r="Q77" i="12" s="1"/>
  <c r="Q78" i="12" s="1"/>
  <c r="Q79" i="12" s="1"/>
  <c r="Q80" i="12" s="1"/>
  <c r="Q81" i="12" s="1"/>
  <c r="Q82" i="12" s="1"/>
  <c r="Q83" i="12" s="1"/>
  <c r="Q84" i="12" s="1"/>
  <c r="Q85" i="12" s="1"/>
  <c r="Q86" i="12" s="1"/>
  <c r="Q87" i="12" s="1"/>
  <c r="Q88" i="12" s="1"/>
  <c r="Q89" i="12" s="1"/>
  <c r="Q90" i="12" s="1"/>
  <c r="Q91" i="12" s="1"/>
  <c r="Q92" i="12" s="1"/>
  <c r="Q93" i="12" s="1"/>
  <c r="Q94" i="12" s="1"/>
  <c r="Q95" i="12" s="1"/>
  <c r="Q96" i="12" s="1"/>
  <c r="Q97" i="12" s="1"/>
  <c r="Q98" i="12" s="1"/>
  <c r="A2" i="12"/>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4" i="11"/>
  <c r="A3" i="11"/>
  <c r="Q2" i="11"/>
  <c r="Q3" i="11" s="1"/>
  <c r="Q4" i="11" s="1"/>
  <c r="Q5" i="11" s="1"/>
  <c r="Q6" i="11" s="1"/>
  <c r="Q7" i="11" s="1"/>
  <c r="Q8" i="11" s="1"/>
  <c r="Q9" i="11" s="1"/>
  <c r="Q10" i="11" s="1"/>
  <c r="Q11" i="11" s="1"/>
  <c r="Q12" i="11" s="1"/>
  <c r="Q13" i="11" s="1"/>
  <c r="Q14" i="11" s="1"/>
  <c r="Q15" i="11" s="1"/>
  <c r="Q16" i="11" s="1"/>
  <c r="Q17" i="11" s="1"/>
  <c r="Q18" i="11" s="1"/>
  <c r="Q19" i="11" s="1"/>
  <c r="Q20" i="11" s="1"/>
  <c r="Q21" i="11" s="1"/>
  <c r="Q22" i="11" s="1"/>
  <c r="Q23" i="11" s="1"/>
  <c r="Q24" i="11" s="1"/>
  <c r="Q25" i="11" s="1"/>
  <c r="Q26" i="11" s="1"/>
  <c r="Q27" i="11" s="1"/>
  <c r="Q28" i="11" s="1"/>
  <c r="Q29" i="11" s="1"/>
  <c r="Q30" i="11" s="1"/>
  <c r="Q31" i="11" s="1"/>
  <c r="Q32" i="11" s="1"/>
  <c r="Q33" i="11" s="1"/>
  <c r="Q34" i="11" s="1"/>
  <c r="Q35" i="11" s="1"/>
  <c r="Q36" i="11" s="1"/>
  <c r="Q37" i="11" s="1"/>
  <c r="Q38" i="11" s="1"/>
  <c r="Q39" i="11" s="1"/>
  <c r="Q40" i="11" s="1"/>
  <c r="Q41" i="11" s="1"/>
  <c r="Q42" i="11" s="1"/>
  <c r="Q43" i="11" s="1"/>
  <c r="Q44" i="11" s="1"/>
  <c r="Q45" i="11" s="1"/>
  <c r="Q46" i="11" s="1"/>
  <c r="Q47" i="11" s="1"/>
  <c r="Q48" i="11" s="1"/>
  <c r="Q49" i="11" s="1"/>
  <c r="Q50" i="11" s="1"/>
  <c r="Q51" i="11" s="1"/>
  <c r="Q52" i="11" s="1"/>
  <c r="Q53" i="11" s="1"/>
  <c r="Q54" i="11" s="1"/>
  <c r="A2" i="11"/>
  <c r="A547" i="10"/>
  <c r="A546" i="10"/>
  <c r="A545" i="10"/>
  <c r="A544" i="10"/>
  <c r="A543" i="10"/>
  <c r="A542" i="10"/>
  <c r="A541" i="10"/>
  <c r="A540" i="10"/>
  <c r="A539" i="10"/>
  <c r="A538" i="10"/>
  <c r="A537" i="10"/>
  <c r="A536" i="10"/>
  <c r="A535" i="10"/>
  <c r="A534" i="10"/>
  <c r="A533" i="10"/>
  <c r="A532" i="10"/>
  <c r="A531" i="10"/>
  <c r="A530" i="10"/>
  <c r="A529" i="10"/>
  <c r="A528" i="10"/>
  <c r="A527" i="10"/>
  <c r="A526" i="10"/>
  <c r="A525" i="10"/>
  <c r="A524" i="10"/>
  <c r="A523" i="10"/>
  <c r="A522" i="10"/>
  <c r="A521" i="10"/>
  <c r="A520" i="10"/>
  <c r="A519" i="10"/>
  <c r="A518" i="10"/>
  <c r="A517" i="10"/>
  <c r="A516" i="10"/>
  <c r="A515" i="10"/>
  <c r="A514" i="10"/>
  <c r="A513" i="10"/>
  <c r="A512" i="10"/>
  <c r="A511" i="10"/>
  <c r="A510" i="10"/>
  <c r="A509" i="10"/>
  <c r="A508" i="10"/>
  <c r="A507" i="10"/>
  <c r="A506" i="10"/>
  <c r="A505" i="10"/>
  <c r="A504" i="10"/>
  <c r="A503" i="10"/>
  <c r="A502" i="10"/>
  <c r="A501" i="10"/>
  <c r="A500" i="10"/>
  <c r="A499" i="10"/>
  <c r="A498" i="10"/>
  <c r="A497" i="10"/>
  <c r="A496" i="10"/>
  <c r="A495" i="10"/>
  <c r="A494" i="10"/>
  <c r="A493" i="10"/>
  <c r="A492" i="10"/>
  <c r="A491" i="10"/>
  <c r="A490" i="10"/>
  <c r="A489" i="10"/>
  <c r="A488" i="10"/>
  <c r="A487" i="10"/>
  <c r="A486" i="10"/>
  <c r="A485" i="10"/>
  <c r="A484" i="10"/>
  <c r="A483" i="10"/>
  <c r="A482" i="10"/>
  <c r="A481" i="10"/>
  <c r="A480" i="10"/>
  <c r="A479" i="10"/>
  <c r="A478" i="10"/>
  <c r="A477" i="10"/>
  <c r="A476" i="10"/>
  <c r="A475" i="10"/>
  <c r="A474" i="10"/>
  <c r="A473" i="10"/>
  <c r="A472" i="10"/>
  <c r="A471" i="10"/>
  <c r="A470" i="10"/>
  <c r="A469" i="10"/>
  <c r="A468" i="10"/>
  <c r="A467" i="10"/>
  <c r="A466" i="10"/>
  <c r="A465" i="10"/>
  <c r="A464" i="10"/>
  <c r="A463" i="10"/>
  <c r="A462" i="10"/>
  <c r="A461" i="10"/>
  <c r="A460" i="10"/>
  <c r="A459" i="10"/>
  <c r="A458" i="10"/>
  <c r="A457" i="10"/>
  <c r="A456" i="10"/>
  <c r="A455" i="10"/>
  <c r="A454" i="10"/>
  <c r="A453" i="10"/>
  <c r="A452" i="10"/>
  <c r="A451" i="10"/>
  <c r="A450" i="10"/>
  <c r="A449" i="10"/>
  <c r="A448" i="10"/>
  <c r="A447" i="10"/>
  <c r="A446" i="10"/>
  <c r="A445" i="10"/>
  <c r="A444" i="10"/>
  <c r="A443" i="10"/>
  <c r="A442" i="10"/>
  <c r="A441" i="10"/>
  <c r="A440" i="10"/>
  <c r="A439" i="10"/>
  <c r="A438" i="10"/>
  <c r="A437" i="10"/>
  <c r="A436" i="10"/>
  <c r="A435" i="10"/>
  <c r="A434" i="10"/>
  <c r="A433" i="10"/>
  <c r="A432" i="10"/>
  <c r="A431" i="10"/>
  <c r="A430" i="10"/>
  <c r="A429" i="10"/>
  <c r="A428" i="10"/>
  <c r="A427" i="10"/>
  <c r="A426" i="10"/>
  <c r="A425" i="10"/>
  <c r="A424" i="10"/>
  <c r="A423" i="10"/>
  <c r="A422" i="10"/>
  <c r="A421" i="10"/>
  <c r="A420" i="10"/>
  <c r="A419" i="10"/>
  <c r="A418" i="10"/>
  <c r="A417" i="10"/>
  <c r="A416" i="10"/>
  <c r="A415" i="10"/>
  <c r="A414" i="10"/>
  <c r="A413" i="10"/>
  <c r="A412" i="10"/>
  <c r="A411" i="10"/>
  <c r="A410" i="10"/>
  <c r="A409" i="10"/>
  <c r="A408" i="10"/>
  <c r="A407" i="10"/>
  <c r="A406" i="10"/>
  <c r="A405" i="10"/>
  <c r="A404" i="10"/>
  <c r="A403" i="10"/>
  <c r="A402" i="10"/>
  <c r="A401" i="10"/>
  <c r="A400" i="10"/>
  <c r="A399" i="10"/>
  <c r="A398" i="10"/>
  <c r="A397" i="10"/>
  <c r="A396" i="10"/>
  <c r="A395" i="10"/>
  <c r="A394" i="10"/>
  <c r="A393" i="10"/>
  <c r="A392" i="10"/>
  <c r="A391" i="10"/>
  <c r="A390" i="10"/>
  <c r="A389" i="10"/>
  <c r="A388" i="10"/>
  <c r="A387" i="10"/>
  <c r="A386" i="10"/>
  <c r="A385" i="10"/>
  <c r="A384" i="10"/>
  <c r="A383" i="10"/>
  <c r="A382" i="10"/>
  <c r="A381" i="10"/>
  <c r="A380" i="10"/>
  <c r="A379" i="10"/>
  <c r="A378" i="10"/>
  <c r="A377" i="10"/>
  <c r="A376" i="10"/>
  <c r="A375" i="10"/>
  <c r="A374" i="10"/>
  <c r="A373" i="10"/>
  <c r="A372" i="10"/>
  <c r="A371" i="10"/>
  <c r="A370" i="10"/>
  <c r="A369" i="10"/>
  <c r="A368" i="10"/>
  <c r="A367" i="10"/>
  <c r="A366" i="10"/>
  <c r="A365" i="10"/>
  <c r="A364" i="10"/>
  <c r="A363" i="10"/>
  <c r="A362" i="10"/>
  <c r="A361" i="10"/>
  <c r="A360" i="10"/>
  <c r="A359" i="10"/>
  <c r="A358" i="10"/>
  <c r="A357" i="10"/>
  <c r="A356" i="10"/>
  <c r="A355" i="10"/>
  <c r="A354" i="10"/>
  <c r="A353" i="10"/>
  <c r="A352" i="10"/>
  <c r="A351" i="10"/>
  <c r="A350" i="10"/>
  <c r="A349" i="10"/>
  <c r="A348" i="10"/>
  <c r="A347" i="10"/>
  <c r="A346" i="10"/>
  <c r="A345" i="10"/>
  <c r="A344" i="10"/>
  <c r="A343" i="10"/>
  <c r="A342" i="10"/>
  <c r="A341" i="10"/>
  <c r="A340" i="10"/>
  <c r="A339" i="10"/>
  <c r="A338" i="10"/>
  <c r="A337" i="10"/>
  <c r="A336" i="10"/>
  <c r="A335" i="10"/>
  <c r="A334" i="10"/>
  <c r="A333" i="10"/>
  <c r="A332" i="10"/>
  <c r="A331" i="10"/>
  <c r="A330" i="10"/>
  <c r="A329" i="10"/>
  <c r="A328" i="10"/>
  <c r="A327" i="10"/>
  <c r="A326" i="10"/>
  <c r="A325" i="10"/>
  <c r="A324" i="10"/>
  <c r="A323" i="10"/>
  <c r="A322" i="10"/>
  <c r="A321" i="10"/>
  <c r="A320" i="10"/>
  <c r="A319" i="10"/>
  <c r="A318" i="10"/>
  <c r="A317" i="10"/>
  <c r="A316" i="10"/>
  <c r="A315" i="10"/>
  <c r="A314" i="10"/>
  <c r="A313" i="10"/>
  <c r="A312" i="10"/>
  <c r="A311" i="10"/>
  <c r="A310" i="10"/>
  <c r="A309" i="10"/>
  <c r="A308" i="10"/>
  <c r="A307" i="10"/>
  <c r="A306" i="10"/>
  <c r="A305" i="10"/>
  <c r="A304" i="10"/>
  <c r="A303" i="10"/>
  <c r="A302" i="10"/>
  <c r="A301" i="10"/>
  <c r="A300" i="10"/>
  <c r="A299" i="10"/>
  <c r="A298" i="10"/>
  <c r="A297" i="10"/>
  <c r="A296" i="10"/>
  <c r="A295" i="10"/>
  <c r="A294" i="10"/>
  <c r="A293" i="10"/>
  <c r="A292" i="10"/>
  <c r="A291" i="10"/>
  <c r="A290" i="10"/>
  <c r="A289" i="10"/>
  <c r="A288" i="10"/>
  <c r="A287" i="10"/>
  <c r="A286" i="10"/>
  <c r="A285" i="10"/>
  <c r="A284" i="10"/>
  <c r="A283" i="10"/>
  <c r="A282" i="10"/>
  <c r="A281" i="10"/>
  <c r="A280" i="10"/>
  <c r="A279" i="10"/>
  <c r="A278" i="10"/>
  <c r="A277" i="10"/>
  <c r="A276" i="10"/>
  <c r="A275" i="10"/>
  <c r="A274" i="10"/>
  <c r="A273" i="10"/>
  <c r="A272" i="10"/>
  <c r="A271" i="10"/>
  <c r="A270" i="10"/>
  <c r="A269" i="10"/>
  <c r="A268" i="10"/>
  <c r="A267" i="10"/>
  <c r="A266" i="10"/>
  <c r="A265" i="10"/>
  <c r="A264" i="10"/>
  <c r="A263" i="10"/>
  <c r="A262" i="10"/>
  <c r="A261" i="10"/>
  <c r="A260" i="10"/>
  <c r="A259" i="10"/>
  <c r="A258" i="10"/>
  <c r="A257" i="10"/>
  <c r="A256" i="10"/>
  <c r="A255" i="10"/>
  <c r="A254" i="10"/>
  <c r="A253" i="10"/>
  <c r="A252" i="10"/>
  <c r="A251" i="10"/>
  <c r="A250" i="10"/>
  <c r="A249" i="10"/>
  <c r="A248" i="10"/>
  <c r="A247" i="10"/>
  <c r="A246" i="10"/>
  <c r="A245" i="10"/>
  <c r="A244" i="10"/>
  <c r="A243" i="10"/>
  <c r="A242" i="10"/>
  <c r="A241" i="10"/>
  <c r="A240" i="10"/>
  <c r="A239" i="10"/>
  <c r="A238" i="10"/>
  <c r="A237" i="10"/>
  <c r="A236" i="10"/>
  <c r="A235" i="10"/>
  <c r="A234" i="10"/>
  <c r="A233" i="10"/>
  <c r="A232" i="10"/>
  <c r="A231" i="10"/>
  <c r="A230" i="10"/>
  <c r="A229" i="10"/>
  <c r="A228" i="10"/>
  <c r="A227" i="10"/>
  <c r="A226" i="10"/>
  <c r="A225" i="10"/>
  <c r="A224" i="10"/>
  <c r="A223" i="10"/>
  <c r="A222" i="10"/>
  <c r="A221" i="10"/>
  <c r="A220" i="10"/>
  <c r="A219" i="10"/>
  <c r="A218" i="10"/>
  <c r="A217" i="10"/>
  <c r="A216" i="10"/>
  <c r="A215" i="10"/>
  <c r="A214" i="10"/>
  <c r="A213" i="10"/>
  <c r="A212" i="10"/>
  <c r="A211" i="10"/>
  <c r="A210" i="10"/>
  <c r="A209" i="10"/>
  <c r="A208" i="10"/>
  <c r="A207" i="10"/>
  <c r="A206" i="10"/>
  <c r="A205" i="10"/>
  <c r="A204" i="10"/>
  <c r="A203" i="10"/>
  <c r="A202" i="10"/>
  <c r="A201" i="10"/>
  <c r="A200" i="10"/>
  <c r="A199" i="10"/>
  <c r="A198" i="10"/>
  <c r="A197" i="10"/>
  <c r="A196" i="10"/>
  <c r="A195" i="10"/>
  <c r="A194" i="10"/>
  <c r="A193" i="10"/>
  <c r="A192" i="10"/>
  <c r="A191" i="10"/>
  <c r="A190" i="10"/>
  <c r="A189" i="10"/>
  <c r="A188" i="10"/>
  <c r="A187" i="10"/>
  <c r="A186" i="10"/>
  <c r="A185" i="10"/>
  <c r="A184" i="10"/>
  <c r="A183" i="10"/>
  <c r="A182" i="10"/>
  <c r="A181" i="10"/>
  <c r="A180" i="10"/>
  <c r="A179" i="10"/>
  <c r="A178" i="10"/>
  <c r="A177" i="10"/>
  <c r="A176" i="10"/>
  <c r="A175" i="10"/>
  <c r="A174" i="10"/>
  <c r="A173" i="10"/>
  <c r="A172" i="10"/>
  <c r="A171" i="10"/>
  <c r="A170" i="10"/>
  <c r="A169" i="10"/>
  <c r="A168" i="10"/>
  <c r="A167" i="10"/>
  <c r="A166" i="10"/>
  <c r="A165" i="10"/>
  <c r="A164" i="10"/>
  <c r="A163" i="10"/>
  <c r="A162" i="10"/>
  <c r="A161" i="10"/>
  <c r="A160" i="10"/>
  <c r="A159" i="10"/>
  <c r="A158" i="10"/>
  <c r="A157" i="10"/>
  <c r="A156" i="10"/>
  <c r="A155" i="10"/>
  <c r="A154" i="10"/>
  <c r="A153" i="10"/>
  <c r="A152" i="10"/>
  <c r="A151" i="10"/>
  <c r="A150" i="10"/>
  <c r="A149" i="10"/>
  <c r="A148" i="10"/>
  <c r="A147" i="10"/>
  <c r="A146" i="10"/>
  <c r="A145" i="10"/>
  <c r="A144" i="10"/>
  <c r="A143" i="10"/>
  <c r="A142" i="10"/>
  <c r="A141" i="10"/>
  <c r="A140" i="10"/>
  <c r="A139" i="10"/>
  <c r="A138" i="10"/>
  <c r="A137" i="10"/>
  <c r="A136" i="10"/>
  <c r="A135" i="10"/>
  <c r="A134" i="10"/>
  <c r="A133" i="10"/>
  <c r="A132" i="10"/>
  <c r="A131" i="10"/>
  <c r="A130" i="10"/>
  <c r="A129" i="10"/>
  <c r="A128" i="10"/>
  <c r="A127" i="10"/>
  <c r="A126" i="10"/>
  <c r="A125" i="10"/>
  <c r="A124" i="10"/>
  <c r="A123" i="10"/>
  <c r="A122" i="10"/>
  <c r="A121" i="10"/>
  <c r="A120" i="10"/>
  <c r="A119" i="10"/>
  <c r="A118" i="10"/>
  <c r="A117" i="10"/>
  <c r="A116" i="10"/>
  <c r="A115" i="10"/>
  <c r="A114" i="10"/>
  <c r="A113" i="10"/>
  <c r="A112" i="10"/>
  <c r="A111" i="10"/>
  <c r="A110" i="10"/>
  <c r="A109" i="10"/>
  <c r="A108" i="10"/>
  <c r="A107" i="10"/>
  <c r="A106" i="10"/>
  <c r="A105" i="10"/>
  <c r="A104" i="10"/>
  <c r="A103" i="10"/>
  <c r="A102" i="10"/>
  <c r="A101" i="10"/>
  <c r="A100" i="10"/>
  <c r="A99" i="10"/>
  <c r="A98" i="10"/>
  <c r="A97" i="10"/>
  <c r="A96" i="10"/>
  <c r="A95" i="10"/>
  <c r="A94" i="10"/>
  <c r="A93" i="10"/>
  <c r="A92" i="10"/>
  <c r="A91" i="10"/>
  <c r="A90" i="10"/>
  <c r="A89" i="10"/>
  <c r="A88" i="10"/>
  <c r="A87" i="10"/>
  <c r="A86" i="10"/>
  <c r="A85" i="10"/>
  <c r="A84" i="10"/>
  <c r="A83" i="10"/>
  <c r="A82" i="10"/>
  <c r="A81" i="10"/>
  <c r="A80" i="10"/>
  <c r="A79" i="10"/>
  <c r="A78" i="10"/>
  <c r="A77" i="10"/>
  <c r="A76" i="10"/>
  <c r="A75" i="10"/>
  <c r="A74" i="10"/>
  <c r="A73" i="10"/>
  <c r="A72" i="10"/>
  <c r="A71" i="10"/>
  <c r="A70" i="10"/>
  <c r="A69" i="10"/>
  <c r="A68" i="10"/>
  <c r="A67" i="10"/>
  <c r="A66" i="10"/>
  <c r="A65" i="10"/>
  <c r="A64" i="10"/>
  <c r="A63" i="10"/>
  <c r="A62" i="10"/>
  <c r="A61" i="10"/>
  <c r="A60" i="10"/>
  <c r="A59" i="10"/>
  <c r="A58" i="10"/>
  <c r="A57" i="10"/>
  <c r="A56" i="10"/>
  <c r="A55" i="10"/>
  <c r="A54" i="10"/>
  <c r="A53" i="10"/>
  <c r="A52" i="10"/>
  <c r="A51" i="10"/>
  <c r="A50" i="10"/>
  <c r="A49" i="10"/>
  <c r="A48" i="10"/>
  <c r="A47" i="10"/>
  <c r="A46" i="10"/>
  <c r="A45" i="10"/>
  <c r="A44" i="10"/>
  <c r="A43" i="10"/>
  <c r="A42" i="10"/>
  <c r="A41" i="10"/>
  <c r="A40" i="10"/>
  <c r="A39" i="10"/>
  <c r="A38" i="10"/>
  <c r="A37" i="10"/>
  <c r="A36" i="10"/>
  <c r="A35" i="10"/>
  <c r="A34" i="10"/>
  <c r="A33" i="10"/>
  <c r="A32" i="10"/>
  <c r="A31" i="10"/>
  <c r="A30" i="10"/>
  <c r="A29" i="10"/>
  <c r="A28" i="10"/>
  <c r="A27" i="10"/>
  <c r="A26" i="10"/>
  <c r="A25" i="10"/>
  <c r="A24" i="10"/>
  <c r="A23" i="10"/>
  <c r="A22" i="10"/>
  <c r="A21" i="10"/>
  <c r="A20" i="10"/>
  <c r="A19" i="10"/>
  <c r="A18" i="10"/>
  <c r="A17" i="10"/>
  <c r="A16" i="10"/>
  <c r="A15" i="10"/>
  <c r="A14" i="10"/>
  <c r="A13" i="10"/>
  <c r="A11" i="10"/>
  <c r="A10" i="10"/>
  <c r="A9" i="10"/>
  <c r="A8" i="10"/>
  <c r="A7" i="10"/>
  <c r="A6" i="10"/>
  <c r="A5" i="10"/>
  <c r="A4" i="10"/>
  <c r="A3" i="10"/>
  <c r="Q2" i="10"/>
  <c r="Q3" i="10" s="1"/>
  <c r="Q4" i="10" s="1"/>
  <c r="Q5" i="10" s="1"/>
  <c r="Q6" i="10" s="1"/>
  <c r="Q7" i="10" s="1"/>
  <c r="Q8" i="10" s="1"/>
  <c r="Q9" i="10" s="1"/>
  <c r="Q10" i="10" s="1"/>
  <c r="Q11" i="10" s="1"/>
  <c r="Q13" i="10" s="1"/>
  <c r="Q14" i="10" s="1"/>
  <c r="Q15" i="10" s="1"/>
  <c r="Q16" i="10" s="1"/>
  <c r="Q17" i="10" s="1"/>
  <c r="Q18" i="10" s="1"/>
  <c r="Q19" i="10" s="1"/>
  <c r="Q20" i="10" s="1"/>
  <c r="Q21" i="10" s="1"/>
  <c r="Q22" i="10" s="1"/>
  <c r="Q23" i="10" s="1"/>
  <c r="Q24" i="10" s="1"/>
  <c r="Q25" i="10" s="1"/>
  <c r="Q26" i="10" s="1"/>
  <c r="Q27" i="10" s="1"/>
  <c r="Q28" i="10" s="1"/>
  <c r="Q29" i="10" s="1"/>
  <c r="Q30" i="10" s="1"/>
  <c r="Q31" i="10" s="1"/>
  <c r="Q32" i="10" s="1"/>
  <c r="Q33" i="10" s="1"/>
  <c r="Q34" i="10" s="1"/>
  <c r="Q35" i="10" s="1"/>
  <c r="Q36" i="10" s="1"/>
  <c r="Q37" i="10" s="1"/>
  <c r="Q38" i="10" s="1"/>
  <c r="Q39" i="10" s="1"/>
  <c r="Q40" i="10" s="1"/>
  <c r="Q41" i="10" s="1"/>
  <c r="Q42" i="10" s="1"/>
  <c r="Q43" i="10" s="1"/>
  <c r="Q44" i="10" s="1"/>
  <c r="Q45" i="10" s="1"/>
  <c r="Q46" i="10" s="1"/>
  <c r="Q47" i="10" s="1"/>
  <c r="Q48" i="10" s="1"/>
  <c r="Q49" i="10" s="1"/>
  <c r="Q50" i="10" s="1"/>
  <c r="Q51" i="10" s="1"/>
  <c r="Q52" i="10" s="1"/>
  <c r="Q53" i="10" s="1"/>
  <c r="Q54" i="10" s="1"/>
  <c r="Q55" i="10" s="1"/>
  <c r="Q56" i="10" s="1"/>
  <c r="Q57" i="10" s="1"/>
  <c r="Q58" i="10" s="1"/>
  <c r="Q59" i="10" s="1"/>
  <c r="Q60" i="10" s="1"/>
  <c r="Q61" i="10" s="1"/>
  <c r="Q62" i="10" s="1"/>
  <c r="Q63" i="10" s="1"/>
  <c r="Q64" i="10" s="1"/>
  <c r="Q65" i="10" s="1"/>
  <c r="Q66" i="10" s="1"/>
  <c r="Q67" i="10" s="1"/>
  <c r="Q68" i="10" s="1"/>
  <c r="Q69" i="10" s="1"/>
  <c r="Q70" i="10" s="1"/>
  <c r="Q71" i="10" s="1"/>
  <c r="Q72" i="10" s="1"/>
  <c r="Q73" i="10" s="1"/>
  <c r="Q74" i="10" s="1"/>
  <c r="Q75" i="10" s="1"/>
  <c r="Q76" i="10" s="1"/>
  <c r="Q77" i="10" s="1"/>
  <c r="Q78" i="10" s="1"/>
  <c r="Q79" i="10" s="1"/>
  <c r="Q80" i="10" s="1"/>
  <c r="Q81" i="10" s="1"/>
  <c r="Q82" i="10" s="1"/>
  <c r="Q83" i="10" s="1"/>
  <c r="Q84" i="10" s="1"/>
  <c r="Q85" i="10" s="1"/>
  <c r="Q86" i="10" s="1"/>
  <c r="Q87" i="10" s="1"/>
  <c r="Q88" i="10" s="1"/>
  <c r="Q89" i="10" s="1"/>
  <c r="Q90" i="10" s="1"/>
  <c r="Q91" i="10" s="1"/>
  <c r="Q92" i="10" s="1"/>
  <c r="Q93" i="10" s="1"/>
  <c r="Q94" i="10" s="1"/>
  <c r="Q95" i="10" s="1"/>
  <c r="Q96" i="10" s="1"/>
  <c r="Q97" i="10" s="1"/>
  <c r="Q98" i="10" s="1"/>
  <c r="Q99" i="10" s="1"/>
  <c r="Q100" i="10" s="1"/>
  <c r="Q101" i="10" s="1"/>
  <c r="Q102" i="10" s="1"/>
  <c r="Q103" i="10" s="1"/>
  <c r="Q104" i="10" s="1"/>
  <c r="Q105" i="10" s="1"/>
  <c r="Q106" i="10" s="1"/>
  <c r="Q107" i="10" s="1"/>
  <c r="Q108" i="10" s="1"/>
  <c r="Q109" i="10" s="1"/>
  <c r="Q110" i="10" s="1"/>
  <c r="Q111" i="10" s="1"/>
  <c r="Q112" i="10" s="1"/>
  <c r="Q113" i="10" s="1"/>
  <c r="Q114" i="10" s="1"/>
  <c r="Q115" i="10" s="1"/>
  <c r="Q116" i="10" s="1"/>
  <c r="Q117" i="10" s="1"/>
  <c r="Q118" i="10" s="1"/>
  <c r="Q119" i="10" s="1"/>
  <c r="Q120" i="10" s="1"/>
  <c r="Q121" i="10" s="1"/>
  <c r="Q122" i="10" s="1"/>
  <c r="Q123" i="10" s="1"/>
  <c r="Q124" i="10" s="1"/>
  <c r="Q125" i="10" s="1"/>
  <c r="Q126" i="10" s="1"/>
  <c r="Q127" i="10" s="1"/>
  <c r="Q128" i="10" s="1"/>
  <c r="Q129" i="10" s="1"/>
  <c r="Q130" i="10" s="1"/>
  <c r="Q131" i="10" s="1"/>
  <c r="Q132" i="10" s="1"/>
  <c r="Q133" i="10" s="1"/>
  <c r="Q134" i="10" s="1"/>
  <c r="Q135" i="10" s="1"/>
  <c r="Q136" i="10" s="1"/>
  <c r="Q137" i="10" s="1"/>
  <c r="Q138" i="10" s="1"/>
  <c r="Q139" i="10" s="1"/>
  <c r="Q140" i="10" s="1"/>
  <c r="Q141" i="10" s="1"/>
  <c r="Q142" i="10" s="1"/>
  <c r="Q143" i="10" s="1"/>
  <c r="Q144" i="10" s="1"/>
  <c r="Q145" i="10" s="1"/>
  <c r="Q146" i="10" s="1"/>
  <c r="Q147" i="10" s="1"/>
  <c r="Q148" i="10" s="1"/>
  <c r="Q149" i="10" s="1"/>
  <c r="Q150" i="10" s="1"/>
  <c r="Q151" i="10" s="1"/>
  <c r="Q152" i="10" s="1"/>
  <c r="Q153" i="10" s="1"/>
  <c r="Q154" i="10" s="1"/>
  <c r="Q155" i="10" s="1"/>
  <c r="Q156" i="10" s="1"/>
  <c r="Q157" i="10" s="1"/>
  <c r="Q158" i="10" s="1"/>
  <c r="Q159" i="10" s="1"/>
  <c r="Q160" i="10" s="1"/>
  <c r="Q161" i="10" s="1"/>
  <c r="Q162" i="10" s="1"/>
  <c r="Q163" i="10" s="1"/>
  <c r="Q164" i="10" s="1"/>
  <c r="Q165" i="10" s="1"/>
  <c r="Q166" i="10" s="1"/>
  <c r="Q167" i="10" s="1"/>
  <c r="Q168" i="10" s="1"/>
  <c r="Q169" i="10" s="1"/>
  <c r="Q170" i="10" s="1"/>
  <c r="Q171" i="10" s="1"/>
  <c r="Q172" i="10" s="1"/>
  <c r="Q173" i="10" s="1"/>
  <c r="Q174" i="10" s="1"/>
  <c r="Q175" i="10" s="1"/>
  <c r="Q176" i="10" s="1"/>
  <c r="Q177" i="10" s="1"/>
  <c r="Q178" i="10" s="1"/>
  <c r="Q179" i="10" s="1"/>
  <c r="Q180" i="10" s="1"/>
  <c r="Q181" i="10" s="1"/>
  <c r="Q182" i="10" s="1"/>
  <c r="Q183" i="10" s="1"/>
  <c r="Q184" i="10" s="1"/>
  <c r="Q185" i="10" s="1"/>
  <c r="Q186" i="10" s="1"/>
  <c r="Q187" i="10" s="1"/>
  <c r="Q188" i="10" s="1"/>
  <c r="Q189" i="10" s="1"/>
  <c r="Q190" i="10" s="1"/>
  <c r="Q191" i="10" s="1"/>
  <c r="Q192" i="10" s="1"/>
  <c r="Q193" i="10" s="1"/>
  <c r="Q194" i="10" s="1"/>
  <c r="Q195" i="10" s="1"/>
  <c r="Q196" i="10" s="1"/>
  <c r="Q197" i="10" s="1"/>
  <c r="Q198" i="10" s="1"/>
  <c r="Q199" i="10" s="1"/>
  <c r="Q200" i="10" s="1"/>
  <c r="Q201" i="10" s="1"/>
  <c r="Q202" i="10" s="1"/>
  <c r="Q203" i="10" s="1"/>
  <c r="Q204" i="10" s="1"/>
  <c r="Q205" i="10" s="1"/>
  <c r="Q206" i="10" s="1"/>
  <c r="Q207" i="10" s="1"/>
  <c r="Q208" i="10" s="1"/>
  <c r="Q209" i="10" s="1"/>
  <c r="Q210" i="10" s="1"/>
  <c r="Q211" i="10" s="1"/>
  <c r="Q212" i="10" s="1"/>
  <c r="Q213" i="10" s="1"/>
  <c r="Q214" i="10" s="1"/>
  <c r="Q215" i="10" s="1"/>
  <c r="Q216" i="10" s="1"/>
  <c r="Q217" i="10" s="1"/>
  <c r="Q218" i="10" s="1"/>
  <c r="Q219" i="10" s="1"/>
  <c r="Q220" i="10" s="1"/>
  <c r="Q221" i="10" s="1"/>
  <c r="Q222" i="10" s="1"/>
  <c r="Q223" i="10" s="1"/>
  <c r="Q224" i="10" s="1"/>
  <c r="Q225" i="10" s="1"/>
  <c r="Q226" i="10" s="1"/>
  <c r="Q227" i="10" s="1"/>
  <c r="Q228" i="10" s="1"/>
  <c r="Q229" i="10" s="1"/>
  <c r="Q230" i="10" s="1"/>
  <c r="Q231" i="10" s="1"/>
  <c r="Q232" i="10" s="1"/>
  <c r="Q233" i="10" s="1"/>
  <c r="Q234" i="10" s="1"/>
  <c r="Q235" i="10" s="1"/>
  <c r="Q236" i="10" s="1"/>
  <c r="Q237" i="10" s="1"/>
  <c r="Q238" i="10" s="1"/>
  <c r="Q239" i="10" s="1"/>
  <c r="Q240" i="10" s="1"/>
  <c r="Q241" i="10" s="1"/>
  <c r="Q242" i="10" s="1"/>
  <c r="Q243" i="10" s="1"/>
  <c r="Q244" i="10" s="1"/>
  <c r="Q245" i="10" s="1"/>
  <c r="Q246" i="10" s="1"/>
  <c r="Q247" i="10" s="1"/>
  <c r="Q248" i="10" s="1"/>
  <c r="Q249" i="10" s="1"/>
  <c r="Q250" i="10" s="1"/>
  <c r="Q251" i="10" s="1"/>
  <c r="Q252" i="10" s="1"/>
  <c r="Q253" i="10" s="1"/>
  <c r="Q254" i="10" s="1"/>
  <c r="Q255" i="10" s="1"/>
  <c r="Q256" i="10" s="1"/>
  <c r="Q257" i="10" s="1"/>
  <c r="Q258" i="10" s="1"/>
  <c r="Q259" i="10" s="1"/>
  <c r="Q260" i="10" s="1"/>
  <c r="Q261" i="10" s="1"/>
  <c r="Q262" i="10" s="1"/>
  <c r="Q263" i="10" s="1"/>
  <c r="Q264" i="10" s="1"/>
  <c r="Q265" i="10" s="1"/>
  <c r="Q266" i="10" s="1"/>
  <c r="Q267" i="10" s="1"/>
  <c r="Q268" i="10" s="1"/>
  <c r="Q269" i="10" s="1"/>
  <c r="Q270" i="10" s="1"/>
  <c r="Q271" i="10" s="1"/>
  <c r="Q272" i="10" s="1"/>
  <c r="Q273" i="10" s="1"/>
  <c r="Q274" i="10" s="1"/>
  <c r="Q275" i="10" s="1"/>
  <c r="Q276" i="10" s="1"/>
  <c r="Q277" i="10" s="1"/>
  <c r="Q278" i="10" s="1"/>
  <c r="Q279" i="10" s="1"/>
  <c r="Q280" i="10" s="1"/>
  <c r="Q281" i="10" s="1"/>
  <c r="Q282" i="10" s="1"/>
  <c r="Q283" i="10" s="1"/>
  <c r="Q284" i="10" s="1"/>
  <c r="Q285" i="10" s="1"/>
  <c r="Q286" i="10" s="1"/>
  <c r="Q287" i="10" s="1"/>
  <c r="Q288" i="10" s="1"/>
  <c r="Q289" i="10" s="1"/>
  <c r="Q290" i="10" s="1"/>
  <c r="Q291" i="10" s="1"/>
  <c r="Q292" i="10" s="1"/>
  <c r="Q293" i="10" s="1"/>
  <c r="Q294" i="10" s="1"/>
  <c r="Q295" i="10" s="1"/>
  <c r="Q296" i="10" s="1"/>
  <c r="Q297" i="10" s="1"/>
  <c r="Q298" i="10" s="1"/>
  <c r="Q299" i="10" s="1"/>
  <c r="Q300" i="10" s="1"/>
  <c r="Q301" i="10" s="1"/>
  <c r="Q302" i="10" s="1"/>
  <c r="Q303" i="10" s="1"/>
  <c r="Q304" i="10" s="1"/>
  <c r="Q305" i="10" s="1"/>
  <c r="Q306" i="10" s="1"/>
  <c r="Q307" i="10" s="1"/>
  <c r="Q308" i="10" s="1"/>
  <c r="Q309" i="10" s="1"/>
  <c r="Q310" i="10" s="1"/>
  <c r="Q311" i="10" s="1"/>
  <c r="Q312" i="10" s="1"/>
  <c r="Q313" i="10" s="1"/>
  <c r="Q314" i="10" s="1"/>
  <c r="Q315" i="10" s="1"/>
  <c r="Q316" i="10" s="1"/>
  <c r="Q317" i="10" s="1"/>
  <c r="Q318" i="10" s="1"/>
  <c r="Q319" i="10" s="1"/>
  <c r="Q320" i="10" s="1"/>
  <c r="Q321" i="10" s="1"/>
  <c r="Q322" i="10" s="1"/>
  <c r="Q323" i="10" s="1"/>
  <c r="Q324" i="10" s="1"/>
  <c r="Q325" i="10" s="1"/>
  <c r="Q326" i="10" s="1"/>
  <c r="Q327" i="10" s="1"/>
  <c r="Q328" i="10" s="1"/>
  <c r="Q329" i="10" s="1"/>
  <c r="Q330" i="10" s="1"/>
  <c r="Q331" i="10" s="1"/>
  <c r="Q332" i="10" s="1"/>
  <c r="Q333" i="10" s="1"/>
  <c r="Q334" i="10" s="1"/>
  <c r="Q335" i="10" s="1"/>
  <c r="Q336" i="10" s="1"/>
  <c r="Q337" i="10" s="1"/>
  <c r="Q338" i="10" s="1"/>
  <c r="Q339" i="10" s="1"/>
  <c r="Q340" i="10" s="1"/>
  <c r="Q341" i="10" s="1"/>
  <c r="Q342" i="10" s="1"/>
  <c r="Q343" i="10" s="1"/>
  <c r="Q344" i="10" s="1"/>
  <c r="Q345" i="10" s="1"/>
  <c r="Q346" i="10" s="1"/>
  <c r="Q347" i="10" s="1"/>
  <c r="Q348" i="10" s="1"/>
  <c r="Q349" i="10" s="1"/>
  <c r="Q350" i="10" s="1"/>
  <c r="Q351" i="10" s="1"/>
  <c r="Q352" i="10" s="1"/>
  <c r="Q353" i="10" s="1"/>
  <c r="Q354" i="10" s="1"/>
  <c r="Q355" i="10" s="1"/>
  <c r="Q356" i="10" s="1"/>
  <c r="Q357" i="10" s="1"/>
  <c r="Q358" i="10" s="1"/>
  <c r="Q359" i="10" s="1"/>
  <c r="Q360" i="10" s="1"/>
  <c r="Q361" i="10" s="1"/>
  <c r="Q362" i="10" s="1"/>
  <c r="Q363" i="10" s="1"/>
  <c r="Q364" i="10" s="1"/>
  <c r="Q365" i="10" s="1"/>
  <c r="Q366" i="10" s="1"/>
  <c r="Q367" i="10" s="1"/>
  <c r="Q368" i="10" s="1"/>
  <c r="Q369" i="10" s="1"/>
  <c r="Q370" i="10" s="1"/>
  <c r="Q371" i="10" s="1"/>
  <c r="Q372" i="10" s="1"/>
  <c r="Q373" i="10" s="1"/>
  <c r="Q374" i="10" s="1"/>
  <c r="Q375" i="10" s="1"/>
  <c r="Q376" i="10" s="1"/>
  <c r="Q377" i="10" s="1"/>
  <c r="Q378" i="10" s="1"/>
  <c r="Q379" i="10" s="1"/>
  <c r="Q380" i="10" s="1"/>
  <c r="Q381" i="10" s="1"/>
  <c r="Q382" i="10" s="1"/>
  <c r="Q383" i="10" s="1"/>
  <c r="Q384" i="10" s="1"/>
  <c r="Q385" i="10" s="1"/>
  <c r="Q386" i="10" s="1"/>
  <c r="Q387" i="10" s="1"/>
  <c r="Q388" i="10" s="1"/>
  <c r="Q389" i="10" s="1"/>
  <c r="Q390" i="10" s="1"/>
  <c r="Q391" i="10" s="1"/>
  <c r="Q392" i="10" s="1"/>
  <c r="Q393" i="10" s="1"/>
  <c r="Q394" i="10" s="1"/>
  <c r="Q395" i="10" s="1"/>
  <c r="Q396" i="10" s="1"/>
  <c r="Q397" i="10" s="1"/>
  <c r="Q398" i="10" s="1"/>
  <c r="Q399" i="10" s="1"/>
  <c r="Q400" i="10" s="1"/>
  <c r="Q401" i="10" s="1"/>
  <c r="Q402" i="10" s="1"/>
  <c r="Q403" i="10" s="1"/>
  <c r="Q404" i="10" s="1"/>
  <c r="Q405" i="10" s="1"/>
  <c r="Q406" i="10" s="1"/>
  <c r="Q407" i="10" s="1"/>
  <c r="Q408" i="10" s="1"/>
  <c r="Q409" i="10" s="1"/>
  <c r="Q410" i="10" s="1"/>
  <c r="Q411" i="10" s="1"/>
  <c r="Q412" i="10" s="1"/>
  <c r="Q413" i="10" s="1"/>
  <c r="Q414" i="10" s="1"/>
  <c r="Q415" i="10" s="1"/>
  <c r="Q416" i="10" s="1"/>
  <c r="Q417" i="10" s="1"/>
  <c r="Q418" i="10" s="1"/>
  <c r="Q419" i="10" s="1"/>
  <c r="Q420" i="10" s="1"/>
  <c r="Q421" i="10" s="1"/>
  <c r="Q422" i="10" s="1"/>
  <c r="Q423" i="10" s="1"/>
  <c r="Q424" i="10" s="1"/>
  <c r="Q425" i="10" s="1"/>
  <c r="Q426" i="10" s="1"/>
  <c r="Q427" i="10" s="1"/>
  <c r="Q428" i="10" s="1"/>
  <c r="Q429" i="10" s="1"/>
  <c r="Q430" i="10" s="1"/>
  <c r="Q431" i="10" s="1"/>
  <c r="Q432" i="10" s="1"/>
  <c r="Q433" i="10" s="1"/>
  <c r="Q434" i="10" s="1"/>
  <c r="Q435" i="10" s="1"/>
  <c r="Q436" i="10" s="1"/>
  <c r="Q437" i="10" s="1"/>
  <c r="Q438" i="10" s="1"/>
  <c r="Q439" i="10" s="1"/>
  <c r="Q440" i="10" s="1"/>
  <c r="Q441" i="10" s="1"/>
  <c r="Q442" i="10" s="1"/>
  <c r="Q443" i="10" s="1"/>
  <c r="Q444" i="10" s="1"/>
  <c r="Q445" i="10" s="1"/>
  <c r="Q446" i="10" s="1"/>
  <c r="Q447" i="10" s="1"/>
  <c r="Q448" i="10" s="1"/>
  <c r="Q449" i="10" s="1"/>
  <c r="Q450" i="10" s="1"/>
  <c r="Q451" i="10" s="1"/>
  <c r="Q452" i="10" s="1"/>
  <c r="Q453" i="10" s="1"/>
  <c r="Q454" i="10" s="1"/>
  <c r="Q455" i="10" s="1"/>
  <c r="Q456" i="10" s="1"/>
  <c r="Q457" i="10" s="1"/>
  <c r="Q458" i="10" s="1"/>
  <c r="Q459" i="10" s="1"/>
  <c r="Q460" i="10" s="1"/>
  <c r="Q461" i="10" s="1"/>
  <c r="Q462" i="10" s="1"/>
  <c r="Q463" i="10" s="1"/>
  <c r="Q464" i="10" s="1"/>
  <c r="Q465" i="10" s="1"/>
  <c r="Q466" i="10" s="1"/>
  <c r="Q467" i="10" s="1"/>
  <c r="Q468" i="10" s="1"/>
  <c r="Q469" i="10" s="1"/>
  <c r="Q470" i="10" s="1"/>
  <c r="Q471" i="10" s="1"/>
  <c r="Q472" i="10" s="1"/>
  <c r="Q473" i="10" s="1"/>
  <c r="Q474" i="10" s="1"/>
  <c r="Q475" i="10" s="1"/>
  <c r="Q476" i="10" s="1"/>
  <c r="Q477" i="10" s="1"/>
  <c r="Q478" i="10" s="1"/>
  <c r="Q479" i="10" s="1"/>
  <c r="Q480" i="10" s="1"/>
  <c r="Q481" i="10" s="1"/>
  <c r="Q482" i="10" s="1"/>
  <c r="Q483" i="10" s="1"/>
  <c r="Q484" i="10" s="1"/>
  <c r="Q485" i="10" s="1"/>
  <c r="Q486" i="10" s="1"/>
  <c r="Q487" i="10" s="1"/>
  <c r="Q488" i="10" s="1"/>
  <c r="Q489" i="10" s="1"/>
  <c r="Q490" i="10" s="1"/>
  <c r="Q491" i="10" s="1"/>
  <c r="Q492" i="10" s="1"/>
  <c r="Q493" i="10" s="1"/>
  <c r="Q494" i="10" s="1"/>
  <c r="Q495" i="10" s="1"/>
  <c r="Q496" i="10" s="1"/>
  <c r="Q497" i="10" s="1"/>
  <c r="Q498" i="10" s="1"/>
  <c r="Q499" i="10" s="1"/>
  <c r="Q500" i="10" s="1"/>
  <c r="Q501" i="10" s="1"/>
  <c r="Q502" i="10" s="1"/>
  <c r="Q503" i="10" s="1"/>
  <c r="Q504" i="10" s="1"/>
  <c r="Q505" i="10" s="1"/>
  <c r="Q506" i="10" s="1"/>
  <c r="Q507" i="10" s="1"/>
  <c r="Q508" i="10" s="1"/>
  <c r="Q509" i="10" s="1"/>
  <c r="Q510" i="10" s="1"/>
  <c r="Q511" i="10" s="1"/>
  <c r="Q512" i="10" s="1"/>
  <c r="Q513" i="10" s="1"/>
  <c r="Q514" i="10" s="1"/>
  <c r="Q515" i="10" s="1"/>
  <c r="Q516" i="10" s="1"/>
  <c r="Q517" i="10" s="1"/>
  <c r="Q518" i="10" s="1"/>
  <c r="Q519" i="10" s="1"/>
  <c r="Q520" i="10" s="1"/>
  <c r="Q521" i="10" s="1"/>
  <c r="Q522" i="10" s="1"/>
  <c r="Q523" i="10" s="1"/>
  <c r="Q524" i="10" s="1"/>
  <c r="Q525" i="10" s="1"/>
  <c r="Q526" i="10" s="1"/>
  <c r="Q527" i="10" s="1"/>
  <c r="Q528" i="10" s="1"/>
  <c r="Q529" i="10" s="1"/>
  <c r="Q530" i="10" s="1"/>
  <c r="Q531" i="10" s="1"/>
  <c r="Q532" i="10" s="1"/>
  <c r="Q533" i="10" s="1"/>
  <c r="Q534" i="10" s="1"/>
  <c r="Q535" i="10" s="1"/>
  <c r="Q536" i="10" s="1"/>
  <c r="Q537" i="10" s="1"/>
  <c r="Q538" i="10" s="1"/>
  <c r="Q539" i="10" s="1"/>
  <c r="Q540" i="10" s="1"/>
  <c r="Q541" i="10" s="1"/>
  <c r="Q542" i="10" s="1"/>
  <c r="Q543" i="10" s="1"/>
  <c r="Q544" i="10" s="1"/>
  <c r="Q545" i="10" s="1"/>
  <c r="Q546" i="10" s="1"/>
  <c r="Q547" i="10" s="1"/>
  <c r="A2" i="10"/>
  <c r="A9" i="2"/>
  <c r="A8" i="2"/>
  <c r="A7" i="2"/>
  <c r="A6" i="2"/>
  <c r="A5" i="2"/>
  <c r="A4" i="2"/>
  <c r="A38" i="9"/>
  <c r="A37" i="9"/>
  <c r="A36" i="9"/>
  <c r="A35" i="9"/>
  <c r="A34" i="9"/>
  <c r="A33" i="9"/>
  <c r="A32" i="9"/>
  <c r="A31" i="9"/>
  <c r="A30" i="9"/>
  <c r="A29" i="9"/>
  <c r="A28" i="9"/>
  <c r="A27" i="9"/>
  <c r="A26" i="9"/>
  <c r="A25" i="9"/>
  <c r="A24" i="9"/>
  <c r="A23" i="9"/>
  <c r="A22" i="9"/>
  <c r="A21" i="9"/>
  <c r="A20" i="9"/>
  <c r="A19" i="9"/>
  <c r="A18" i="9"/>
  <c r="A17" i="9"/>
  <c r="A16" i="9"/>
  <c r="A15" i="9"/>
  <c r="A14" i="9"/>
  <c r="A13" i="9"/>
  <c r="A12" i="9"/>
  <c r="A11" i="9"/>
  <c r="A10" i="9"/>
  <c r="A9" i="9"/>
  <c r="A8" i="9"/>
  <c r="A7" i="9"/>
  <c r="A6" i="9"/>
  <c r="A5" i="9"/>
  <c r="A4" i="9"/>
  <c r="A3" i="9"/>
  <c r="Q2" i="9"/>
  <c r="Q3" i="9" s="1"/>
  <c r="Q4" i="9" s="1"/>
  <c r="Q5" i="9" s="1"/>
  <c r="Q6" i="9" s="1"/>
  <c r="Q7" i="9" s="1"/>
  <c r="Q8" i="9" s="1"/>
  <c r="Q9" i="9" s="1"/>
  <c r="Q10" i="9" s="1"/>
  <c r="Q11" i="9" s="1"/>
  <c r="Q12" i="9" s="1"/>
  <c r="Q13" i="9" s="1"/>
  <c r="Q14" i="9" s="1"/>
  <c r="Q15" i="9" s="1"/>
  <c r="Q16" i="9" s="1"/>
  <c r="Q17" i="9" s="1"/>
  <c r="Q18" i="9" s="1"/>
  <c r="Q19" i="9" s="1"/>
  <c r="Q20" i="9" s="1"/>
  <c r="Q21" i="9" s="1"/>
  <c r="Q22" i="9" s="1"/>
  <c r="Q23" i="9" s="1"/>
  <c r="Q24" i="9" s="1"/>
  <c r="Q25" i="9" s="1"/>
  <c r="Q26" i="9" s="1"/>
  <c r="Q27" i="9" s="1"/>
  <c r="Q28" i="9" s="1"/>
  <c r="Q29" i="9" s="1"/>
  <c r="Q30" i="9" s="1"/>
  <c r="Q31" i="9" s="1"/>
  <c r="Q32" i="9" s="1"/>
  <c r="Q33" i="9" s="1"/>
  <c r="Q34" i="9" s="1"/>
  <c r="Q35" i="9" s="1"/>
  <c r="Q36" i="9" s="1"/>
  <c r="Q37" i="9" s="1"/>
  <c r="Q38" i="9" s="1"/>
  <c r="A2" i="9"/>
  <c r="Q5" i="2" l="1"/>
  <c r="Q4" i="13"/>
  <c r="Q5" i="13" s="1"/>
  <c r="Q6" i="13" s="1"/>
  <c r="Q7" i="13" s="1"/>
  <c r="Q8" i="13" s="1"/>
  <c r="Q9" i="13" s="1"/>
  <c r="Q10" i="13" s="1"/>
  <c r="Q11" i="13" s="1"/>
  <c r="A346" i="2"/>
  <c r="A345" i="2"/>
  <c r="A344" i="2"/>
  <c r="A343" i="2"/>
  <c r="A342" i="2"/>
  <c r="A341" i="2"/>
  <c r="A340" i="2"/>
  <c r="A339" i="2"/>
  <c r="A338" i="2"/>
  <c r="A337" i="2"/>
  <c r="A336" i="2"/>
  <c r="A335" i="2"/>
  <c r="A334" i="2"/>
  <c r="A333" i="2"/>
  <c r="A332" i="2"/>
  <c r="A331" i="2"/>
  <c r="A330" i="2"/>
  <c r="A329" i="2"/>
  <c r="A328" i="2"/>
  <c r="A327" i="2"/>
  <c r="A326" i="2"/>
  <c r="A325" i="2"/>
  <c r="A324" i="2"/>
  <c r="A323" i="2"/>
  <c r="A322" i="2"/>
  <c r="A321" i="2"/>
  <c r="A320" i="2"/>
  <c r="A319" i="2"/>
  <c r="A318" i="2"/>
  <c r="A317" i="2"/>
  <c r="A316" i="2"/>
  <c r="A315" i="2"/>
  <c r="A314" i="2"/>
  <c r="A313" i="2"/>
  <c r="A312" i="2"/>
  <c r="A311" i="2"/>
  <c r="A310" i="2"/>
  <c r="A309" i="2"/>
  <c r="A308" i="2"/>
  <c r="A307" i="2"/>
  <c r="A306" i="2"/>
  <c r="A305" i="2"/>
  <c r="A304" i="2"/>
  <c r="A303" i="2"/>
  <c r="A302" i="2"/>
  <c r="A301" i="2"/>
  <c r="A300" i="2"/>
  <c r="A299" i="2"/>
  <c r="A298" i="2"/>
  <c r="A297" i="2"/>
  <c r="A296" i="2"/>
  <c r="A295" i="2"/>
  <c r="A294" i="2"/>
  <c r="A293" i="2"/>
  <c r="A292" i="2"/>
  <c r="A291" i="2"/>
  <c r="A290" i="2"/>
  <c r="A289" i="2"/>
  <c r="A288" i="2"/>
  <c r="A287" i="2"/>
  <c r="A286" i="2"/>
  <c r="A285" i="2"/>
  <c r="A284" i="2"/>
  <c r="A283" i="2"/>
  <c r="A282" i="2"/>
  <c r="A281" i="2"/>
  <c r="A280" i="2"/>
  <c r="A279" i="2"/>
  <c r="A278" i="2"/>
  <c r="A277" i="2"/>
  <c r="A276" i="2"/>
  <c r="A275" i="2"/>
  <c r="A274" i="2"/>
  <c r="A273" i="2"/>
  <c r="A272" i="2"/>
  <c r="A271" i="2"/>
  <c r="A270" i="2"/>
  <c r="A269" i="2"/>
  <c r="A268" i="2"/>
  <c r="A267" i="2"/>
  <c r="A266" i="2"/>
  <c r="A265" i="2"/>
  <c r="A264" i="2"/>
  <c r="A263" i="2"/>
  <c r="A262" i="2"/>
  <c r="A261" i="2"/>
  <c r="A260" i="2"/>
  <c r="A259" i="2"/>
  <c r="A258" i="2"/>
  <c r="A257" i="2"/>
  <c r="A256" i="2"/>
  <c r="A255" i="2"/>
  <c r="A254" i="2"/>
  <c r="A253" i="2"/>
  <c r="A252" i="2"/>
  <c r="A251" i="2"/>
  <c r="A250" i="2"/>
  <c r="A249" i="2"/>
  <c r="A248" i="2"/>
  <c r="A247" i="2"/>
  <c r="A246" i="2"/>
  <c r="A245" i="2"/>
  <c r="A244" i="2"/>
  <c r="A243" i="2"/>
  <c r="A242" i="2"/>
  <c r="A241" i="2"/>
  <c r="A240" i="2"/>
  <c r="A239" i="2"/>
  <c r="A238" i="2"/>
  <c r="A237" i="2"/>
  <c r="A236" i="2"/>
  <c r="A235" i="2"/>
  <c r="A234" i="2"/>
  <c r="A233" i="2"/>
  <c r="A232" i="2"/>
  <c r="A231" i="2"/>
  <c r="A230" i="2"/>
  <c r="A229" i="2"/>
  <c r="A228" i="2"/>
  <c r="A227" i="2"/>
  <c r="A226" i="2"/>
  <c r="A225" i="2"/>
  <c r="A224" i="2"/>
  <c r="A223" i="2"/>
  <c r="A222" i="2"/>
  <c r="A221" i="2"/>
  <c r="A220" i="2"/>
  <c r="A219" i="2"/>
  <c r="A218" i="2"/>
  <c r="A217" i="2"/>
  <c r="A216" i="2"/>
  <c r="A215" i="2"/>
  <c r="A214" i="2"/>
  <c r="A213" i="2"/>
  <c r="A212" i="2"/>
  <c r="A211" i="2"/>
  <c r="A210" i="2"/>
  <c r="A209" i="2"/>
  <c r="A208" i="2"/>
  <c r="A207" i="2"/>
  <c r="A206" i="2"/>
  <c r="A205" i="2"/>
  <c r="A204" i="2"/>
  <c r="A203" i="2"/>
  <c r="A202" i="2"/>
  <c r="A201" i="2"/>
  <c r="A200" i="2"/>
  <c r="A199" i="2"/>
  <c r="A198" i="2"/>
  <c r="A197" i="2"/>
  <c r="A196" i="2"/>
  <c r="A195" i="2"/>
  <c r="A194" i="2"/>
  <c r="A193" i="2"/>
  <c r="A192" i="2"/>
  <c r="A191" i="2"/>
  <c r="A190" i="2"/>
  <c r="A189" i="2"/>
  <c r="A188" i="2"/>
  <c r="A187" i="2"/>
  <c r="A186" i="2"/>
  <c r="A185" i="2"/>
  <c r="A184" i="2"/>
  <c r="A183" i="2"/>
  <c r="A182" i="2"/>
  <c r="A181" i="2"/>
  <c r="A180" i="2"/>
  <c r="A179" i="2"/>
  <c r="A178" i="2"/>
  <c r="A177" i="2"/>
  <c r="A176" i="2"/>
  <c r="A175" i="2"/>
  <c r="A174" i="2"/>
  <c r="A173" i="2"/>
  <c r="A172" i="2"/>
  <c r="A171" i="2"/>
  <c r="A170" i="2"/>
  <c r="A169" i="2"/>
  <c r="A168" i="2"/>
  <c r="A167" i="2"/>
  <c r="A166" i="2"/>
  <c r="A165" i="2"/>
  <c r="A164" i="2"/>
  <c r="A163" i="2"/>
  <c r="A162" i="2"/>
  <c r="A161" i="2"/>
  <c r="A160" i="2"/>
  <c r="A159" i="2"/>
  <c r="A158" i="2"/>
  <c r="A157" i="2"/>
  <c r="A156" i="2"/>
  <c r="A155" i="2"/>
  <c r="A154" i="2"/>
  <c r="A153" i="2"/>
  <c r="A152" i="2"/>
  <c r="A151" i="2"/>
  <c r="A150" i="2"/>
  <c r="A149" i="2"/>
  <c r="A148" i="2"/>
  <c r="A147" i="2"/>
  <c r="A146" i="2"/>
  <c r="A145" i="2"/>
  <c r="A144" i="2"/>
  <c r="A143" i="2"/>
  <c r="A142" i="2"/>
  <c r="A141" i="2"/>
  <c r="A140" i="2"/>
  <c r="A139" i="2"/>
  <c r="A138" i="2"/>
  <c r="A137" i="2"/>
  <c r="A136" i="2"/>
  <c r="A135" i="2"/>
  <c r="A134" i="2"/>
  <c r="A133" i="2"/>
  <c r="A132" i="2"/>
  <c r="A131" i="2"/>
  <c r="A130" i="2"/>
  <c r="A129" i="2"/>
  <c r="A128" i="2"/>
  <c r="A127" i="2"/>
  <c r="A126" i="2"/>
  <c r="A125" i="2"/>
  <c r="A124" i="2"/>
  <c r="A123" i="2"/>
  <c r="A122" i="2"/>
  <c r="A121" i="2"/>
  <c r="A120" i="2"/>
  <c r="A119" i="2"/>
  <c r="A118" i="2"/>
  <c r="A117" i="2"/>
  <c r="A116" i="2"/>
  <c r="A115" i="2"/>
  <c r="A114" i="2"/>
  <c r="A113" i="2"/>
  <c r="A112" i="2"/>
  <c r="A111" i="2"/>
  <c r="A110" i="2"/>
  <c r="A109" i="2"/>
  <c r="A108" i="2"/>
  <c r="A107" i="2"/>
  <c r="A106" i="2"/>
  <c r="A105" i="2"/>
  <c r="A104" i="2"/>
  <c r="A103" i="2"/>
  <c r="A102" i="2"/>
  <c r="A101" i="2"/>
  <c r="A100" i="2"/>
  <c r="A99" i="2"/>
  <c r="A98" i="2"/>
  <c r="A97" i="2"/>
  <c r="A96" i="2"/>
  <c r="A95" i="2"/>
  <c r="A94" i="2"/>
  <c r="A93" i="2"/>
  <c r="A92" i="2"/>
  <c r="A91" i="2"/>
  <c r="A90" i="2"/>
  <c r="A89" i="2"/>
  <c r="A88" i="2"/>
  <c r="A87" i="2"/>
  <c r="A86" i="2"/>
  <c r="A85" i="2"/>
  <c r="A84" i="2"/>
  <c r="A83" i="2"/>
  <c r="A82"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3" i="2"/>
  <c r="A2" i="2"/>
  <c r="Q12" i="13" l="1"/>
  <c r="Q13" i="13" s="1"/>
  <c r="Q14" i="13" s="1"/>
  <c r="Q15" i="13" s="1"/>
  <c r="Q16" i="13" s="1"/>
  <c r="Q17" i="13" s="1"/>
  <c r="Q18" i="13" s="1"/>
  <c r="Q19" i="13" s="1"/>
  <c r="Q20" i="13" s="1"/>
  <c r="Q21" i="13" s="1"/>
  <c r="Q22" i="13" s="1"/>
  <c r="Q23" i="13" s="1"/>
  <c r="Q6" i="2"/>
  <c r="Q7" i="2" l="1"/>
  <c r="Q8" i="2" l="1"/>
  <c r="Q9" i="2" l="1"/>
  <c r="Q10" i="2" l="1"/>
  <c r="Q11" i="2" l="1"/>
  <c r="Q12" i="2" l="1"/>
  <c r="Q13" i="2" l="1"/>
  <c r="Q14" i="2" l="1"/>
  <c r="Q15" i="2" l="1"/>
  <c r="Q16" i="2" l="1"/>
  <c r="Q17" i="2" l="1"/>
  <c r="Q18" i="2" l="1"/>
  <c r="Q19" i="2" l="1"/>
  <c r="Q20" i="2" l="1"/>
  <c r="Q21" i="2" l="1"/>
  <c r="Q22" i="2" l="1"/>
  <c r="Q23" i="2" l="1"/>
  <c r="Q24" i="2" l="1"/>
  <c r="Q25" i="2" l="1"/>
  <c r="Q26" i="2" l="1"/>
  <c r="Q27" i="2" l="1"/>
  <c r="Q28" i="2" l="1"/>
  <c r="Q29" i="2" l="1"/>
  <c r="Q30" i="2" l="1"/>
  <c r="Q31" i="2" l="1"/>
  <c r="Q32" i="2" l="1"/>
  <c r="Q33" i="2" l="1"/>
  <c r="Q34" i="2" l="1"/>
  <c r="Q35" i="2" l="1"/>
  <c r="Q36" i="2" l="1"/>
  <c r="Q37" i="2" l="1"/>
  <c r="Q38" i="2" l="1"/>
  <c r="Q39" i="2" l="1"/>
  <c r="Q40" i="2" l="1"/>
  <c r="Q41" i="2" l="1"/>
  <c r="Q42" i="2" l="1"/>
  <c r="Q43" i="2" l="1"/>
  <c r="Q44" i="2" l="1"/>
  <c r="Q45" i="2" l="1"/>
  <c r="Q46" i="2" l="1"/>
  <c r="Q47" i="2" l="1"/>
  <c r="Q48" i="2" l="1"/>
  <c r="Q49" i="2" l="1"/>
  <c r="Q50" i="2" l="1"/>
  <c r="Q51" i="2" l="1"/>
  <c r="Q52" i="2" l="1"/>
  <c r="Q53" i="2" l="1"/>
  <c r="Q54" i="2" l="1"/>
  <c r="Q55" i="2" l="1"/>
  <c r="Q56" i="2" l="1"/>
  <c r="Q57" i="2" l="1"/>
  <c r="Q58" i="2" l="1"/>
  <c r="Q59" i="2" l="1"/>
  <c r="Q60" i="2" l="1"/>
  <c r="Q61" i="2" l="1"/>
  <c r="Q62" i="2" l="1"/>
  <c r="Q63" i="2" l="1"/>
  <c r="Q64" i="2" l="1"/>
  <c r="Q65" i="2" l="1"/>
  <c r="Q66" i="2" l="1"/>
  <c r="Q67" i="2" l="1"/>
  <c r="Q68" i="2" l="1"/>
  <c r="Q69" i="2" l="1"/>
  <c r="Q70" i="2" l="1"/>
  <c r="Q71" i="2" l="1"/>
  <c r="Q72" i="2" l="1"/>
  <c r="Q73" i="2" l="1"/>
  <c r="Q74" i="2" l="1"/>
  <c r="Q75" i="2" l="1"/>
  <c r="Q76" i="2" l="1"/>
  <c r="Q77" i="2" l="1"/>
  <c r="Q78" i="2" l="1"/>
  <c r="Q79" i="2" l="1"/>
  <c r="Q80" i="2" l="1"/>
  <c r="Q81" i="2" l="1"/>
  <c r="Q82" i="2" l="1"/>
  <c r="Q83" i="2" l="1"/>
  <c r="Q84" i="2" l="1"/>
  <c r="Q85" i="2" l="1"/>
  <c r="Q86" i="2" l="1"/>
  <c r="Q87" i="2" l="1"/>
  <c r="Q88" i="2" l="1"/>
  <c r="Q89" i="2" l="1"/>
  <c r="Q90" i="2" l="1"/>
  <c r="Q91" i="2" l="1"/>
  <c r="Q92" i="2" l="1"/>
  <c r="Q93" i="2" l="1"/>
  <c r="Q94" i="2" l="1"/>
  <c r="Q95" i="2" l="1"/>
  <c r="Q96" i="2" l="1"/>
  <c r="Q97" i="2" l="1"/>
  <c r="Q98" i="2" l="1"/>
  <c r="Q99" i="2" l="1"/>
  <c r="Q100" i="2" l="1"/>
  <c r="Q101" i="2" l="1"/>
  <c r="Q102" i="2" l="1"/>
  <c r="Q103" i="2" l="1"/>
  <c r="Q104" i="2" l="1"/>
  <c r="Q105" i="2" l="1"/>
  <c r="Q106" i="2" l="1"/>
  <c r="Q107" i="2" l="1"/>
  <c r="Q108" i="2" l="1"/>
  <c r="Q109" i="2" l="1"/>
  <c r="Q110" i="2" l="1"/>
  <c r="Q111" i="2" l="1"/>
  <c r="Q112" i="2" l="1"/>
  <c r="Q113" i="2" l="1"/>
  <c r="Q114" i="2" l="1"/>
  <c r="Q115" i="2" l="1"/>
  <c r="Q116" i="2" l="1"/>
  <c r="Q117" i="2" l="1"/>
  <c r="Q118" i="2" l="1"/>
  <c r="Q119" i="2" l="1"/>
  <c r="Q120" i="2" l="1"/>
  <c r="Q121" i="2" l="1"/>
  <c r="Q122" i="2" l="1"/>
  <c r="Q123" i="2" l="1"/>
  <c r="Q124" i="2" l="1"/>
  <c r="Q125" i="2" l="1"/>
  <c r="Q126" i="2" l="1"/>
  <c r="Q127" i="2" l="1"/>
  <c r="Q128" i="2" l="1"/>
  <c r="Q129" i="2" l="1"/>
  <c r="Q130" i="2" l="1"/>
  <c r="Q131" i="2" l="1"/>
  <c r="Q132" i="2" l="1"/>
  <c r="Q133" i="2" l="1"/>
  <c r="Q134" i="2" l="1"/>
  <c r="Q135" i="2" l="1"/>
  <c r="Q136" i="2" l="1"/>
  <c r="Q137" i="2" l="1"/>
  <c r="Q138" i="2" l="1"/>
  <c r="Q139" i="2" l="1"/>
  <c r="Q140" i="2" l="1"/>
  <c r="Q141" i="2" l="1"/>
  <c r="Q142" i="2" l="1"/>
  <c r="Q143" i="2" l="1"/>
  <c r="Q144" i="2" l="1"/>
  <c r="Q145" i="2" l="1"/>
  <c r="Q146" i="2" l="1"/>
  <c r="Q147" i="2" l="1"/>
  <c r="Q148" i="2" l="1"/>
  <c r="Q149" i="2" l="1"/>
  <c r="Q150" i="2" l="1"/>
  <c r="Q151" i="2" l="1"/>
  <c r="Q152" i="2" l="1"/>
  <c r="Q153" i="2" l="1"/>
  <c r="Q154" i="2" l="1"/>
  <c r="Q155" i="2" l="1"/>
  <c r="Q156" i="2" l="1"/>
  <c r="Q157" i="2" l="1"/>
  <c r="Q158" i="2" l="1"/>
  <c r="Q159" i="2" l="1"/>
  <c r="Q160" i="2" l="1"/>
  <c r="Q161" i="2" l="1"/>
  <c r="Q162" i="2" l="1"/>
  <c r="Q163" i="2" l="1"/>
  <c r="Q164" i="2" l="1"/>
  <c r="Q165" i="2" l="1"/>
  <c r="Q166" i="2" l="1"/>
  <c r="Q167" i="2" l="1"/>
  <c r="Q168" i="2" l="1"/>
  <c r="Q169" i="2" l="1"/>
  <c r="Q170" i="2" l="1"/>
  <c r="Q171" i="2" l="1"/>
  <c r="Q172" i="2" l="1"/>
  <c r="Q173" i="2" l="1"/>
  <c r="Q174" i="2" l="1"/>
  <c r="Q175" i="2" l="1"/>
  <c r="Q176" i="2" l="1"/>
  <c r="Q177" i="2" l="1"/>
  <c r="Q178" i="2" l="1"/>
  <c r="Q179" i="2" l="1"/>
  <c r="Q180" i="2" l="1"/>
  <c r="Q181" i="2" l="1"/>
  <c r="Q182" i="2" l="1"/>
  <c r="Q183" i="2" l="1"/>
  <c r="Q184" i="2" l="1"/>
  <c r="Q185" i="2" l="1"/>
  <c r="Q186" i="2" l="1"/>
  <c r="Q187" i="2" l="1"/>
  <c r="Q188" i="2" l="1"/>
  <c r="Q189" i="2" l="1"/>
  <c r="Q190" i="2" l="1"/>
  <c r="Q191" i="2" l="1"/>
  <c r="Q192" i="2" l="1"/>
  <c r="Q193" i="2" l="1"/>
  <c r="Q194" i="2" l="1"/>
  <c r="Q195" i="2" l="1"/>
  <c r="Q196" i="2" l="1"/>
  <c r="Q197" i="2" l="1"/>
  <c r="Q198" i="2" l="1"/>
  <c r="Q199" i="2" l="1"/>
  <c r="Q200" i="2" l="1"/>
  <c r="Q201" i="2" l="1"/>
  <c r="Q202" i="2" l="1"/>
  <c r="Q203" i="2" l="1"/>
  <c r="Q204" i="2" l="1"/>
  <c r="Q205" i="2" l="1"/>
  <c r="Q206" i="2" l="1"/>
  <c r="Q207" i="2" l="1"/>
  <c r="Q208" i="2" l="1"/>
  <c r="Q209" i="2" l="1"/>
  <c r="Q210" i="2" l="1"/>
  <c r="Q211" i="2" l="1"/>
  <c r="Q212" i="2" l="1"/>
  <c r="Q213" i="2" l="1"/>
  <c r="Q214" i="2" l="1"/>
  <c r="Q215" i="2" l="1"/>
  <c r="Q216" i="2" l="1"/>
  <c r="Q217" i="2" l="1"/>
  <c r="Q218" i="2" l="1"/>
  <c r="Q219" i="2" l="1"/>
  <c r="Q220" i="2" l="1"/>
  <c r="Q221" i="2" l="1"/>
  <c r="Q222" i="2" l="1"/>
  <c r="Q223" i="2" l="1"/>
  <c r="Q224" i="2" l="1"/>
  <c r="Q225" i="2" l="1"/>
  <c r="Q226" i="2" l="1"/>
  <c r="Q227" i="2" l="1"/>
  <c r="Q228" i="2" l="1"/>
  <c r="Q229" i="2" l="1"/>
  <c r="Q230" i="2" l="1"/>
  <c r="Q231" i="2" l="1"/>
  <c r="Q232" i="2" l="1"/>
  <c r="Q233" i="2" l="1"/>
  <c r="Q234" i="2" l="1"/>
  <c r="Q235" i="2" l="1"/>
  <c r="Q236" i="2" l="1"/>
  <c r="Q237" i="2" l="1"/>
  <c r="Q238" i="2" l="1"/>
  <c r="Q239" i="2" l="1"/>
  <c r="Q240" i="2" l="1"/>
  <c r="Q241" i="2" l="1"/>
  <c r="Q242" i="2" l="1"/>
  <c r="Q243" i="2" l="1"/>
  <c r="Q244" i="2" l="1"/>
  <c r="Q245" i="2" l="1"/>
  <c r="Q246" i="2" l="1"/>
  <c r="Q247" i="2" l="1"/>
  <c r="Q248" i="2" l="1"/>
  <c r="Q249" i="2" l="1"/>
  <c r="Q250" i="2" l="1"/>
  <c r="Q251" i="2" l="1"/>
  <c r="Q252" i="2" l="1"/>
  <c r="Q253" i="2" l="1"/>
  <c r="Q254" i="2" l="1"/>
  <c r="Q255" i="2" l="1"/>
  <c r="Q256" i="2" l="1"/>
  <c r="Q257" i="2" l="1"/>
  <c r="Q258" i="2" l="1"/>
  <c r="Q259" i="2" l="1"/>
  <c r="Q260" i="2" l="1"/>
  <c r="Q261" i="2" l="1"/>
  <c r="Q262" i="2" l="1"/>
  <c r="Q263" i="2" l="1"/>
  <c r="Q264" i="2" l="1"/>
  <c r="Q265" i="2" l="1"/>
  <c r="Q266" i="2" l="1"/>
  <c r="Q267" i="2" l="1"/>
  <c r="Q268" i="2" l="1"/>
  <c r="Q269" i="2" l="1"/>
  <c r="Q270" i="2" l="1"/>
  <c r="Q271" i="2" l="1"/>
  <c r="Q272" i="2" l="1"/>
  <c r="Q273" i="2" l="1"/>
  <c r="Q274" i="2" l="1"/>
  <c r="Q275" i="2" l="1"/>
  <c r="Q276" i="2" l="1"/>
  <c r="Q277" i="2" l="1"/>
  <c r="Q278" i="2" l="1"/>
  <c r="Q279" i="2" l="1"/>
  <c r="Q280" i="2" l="1"/>
  <c r="Q281" i="2" l="1"/>
  <c r="Q282" i="2" l="1"/>
  <c r="Q283" i="2" l="1"/>
  <c r="Q284" i="2" l="1"/>
  <c r="Q285" i="2" l="1"/>
  <c r="Q286" i="2" l="1"/>
  <c r="Q287" i="2" l="1"/>
  <c r="Q288" i="2" l="1"/>
  <c r="Q289" i="2" l="1"/>
  <c r="Q290" i="2" l="1"/>
  <c r="Q291" i="2" l="1"/>
  <c r="Q292" i="2" l="1"/>
  <c r="Q293" i="2" l="1"/>
  <c r="Q294" i="2" l="1"/>
  <c r="Q295" i="2" l="1"/>
  <c r="Q296" i="2" l="1"/>
  <c r="Q297" i="2" l="1"/>
  <c r="Q298" i="2" l="1"/>
  <c r="Q299" i="2" l="1"/>
  <c r="Q300" i="2" l="1"/>
  <c r="Q301" i="2" l="1"/>
  <c r="Q302" i="2" l="1"/>
  <c r="Q303" i="2" l="1"/>
  <c r="Q304" i="2" l="1"/>
  <c r="Q305" i="2" l="1"/>
  <c r="Q306" i="2" l="1"/>
  <c r="Q307" i="2" l="1"/>
  <c r="Q308" i="2" l="1"/>
  <c r="Q309" i="2" l="1"/>
  <c r="Q310" i="2" l="1"/>
  <c r="Q311" i="2" l="1"/>
  <c r="Q312" i="2" l="1"/>
  <c r="Q313" i="2" l="1"/>
  <c r="Q314" i="2" l="1"/>
  <c r="Q315" i="2" l="1"/>
  <c r="Q316" i="2" l="1"/>
  <c r="Q317" i="2" l="1"/>
  <c r="Q318" i="2" l="1"/>
  <c r="Q319" i="2" l="1"/>
  <c r="Q320" i="2" l="1"/>
  <c r="Q321" i="2" l="1"/>
  <c r="Q322" i="2" l="1"/>
  <c r="Q323" i="2" l="1"/>
  <c r="Q324" i="2" l="1"/>
  <c r="Q325" i="2" l="1"/>
  <c r="Q326" i="2" l="1"/>
  <c r="Q327" i="2" l="1"/>
  <c r="Q328" i="2" l="1"/>
  <c r="Q329" i="2" l="1"/>
  <c r="Q330" i="2" l="1"/>
  <c r="Q331" i="2" l="1"/>
  <c r="Q332" i="2" l="1"/>
  <c r="Q333" i="2" l="1"/>
  <c r="Q334" i="2" l="1"/>
  <c r="Q335" i="2" l="1"/>
  <c r="Q336" i="2" l="1"/>
  <c r="Q337" i="2" l="1"/>
  <c r="Q338" i="2" l="1"/>
  <c r="Q339" i="2" l="1"/>
  <c r="Q340" i="2" l="1"/>
  <c r="Q341" i="2" l="1"/>
  <c r="Q342" i="2" l="1"/>
  <c r="Q343" i="2" l="1"/>
  <c r="Q344" i="2" l="1"/>
  <c r="Q345" i="2" l="1"/>
  <c r="Q346" i="2" l="1"/>
</calcChain>
</file>

<file path=xl/sharedStrings.xml><?xml version="1.0" encoding="utf-8"?>
<sst xmlns="http://schemas.openxmlformats.org/spreadsheetml/2006/main" count="27817" uniqueCount="2039">
  <si>
    <t>Message</t>
  </si>
  <si>
    <t>Level</t>
  </si>
  <si>
    <t>Type</t>
  </si>
  <si>
    <t>Occurs</t>
  </si>
  <si>
    <t>Name</t>
  </si>
  <si>
    <t>Format</t>
  </si>
  <si>
    <t>Status</t>
  </si>
  <si>
    <t>Rules</t>
  </si>
  <si>
    <t>Conditions</t>
  </si>
  <si>
    <t>Code List</t>
  </si>
  <si>
    <t>WCO Id</t>
  </si>
  <si>
    <t>Field Code</t>
  </si>
  <si>
    <t>XML Name</t>
  </si>
  <si>
    <t>XML Attribute</t>
  </si>
  <si>
    <t>XSD Type</t>
  </si>
  <si>
    <t>CC413B</t>
  </si>
  <si>
    <t>Class</t>
  </si>
  <si>
    <t>*</t>
  </si>
  <si>
    <t>CC413BType</t>
  </si>
  <si>
    <t>Attribute</t>
  </si>
  <si>
    <t>0..n</t>
  </si>
  <si>
    <t>Extensions</t>
  </si>
  <si>
    <t>O</t>
  </si>
  <si>
    <t>ExtensionType</t>
  </si>
  <si>
    <t>Composition</t>
  </si>
  <si>
    <t>1..1</t>
  </si>
  <si>
    <t>Import operation</t>
  </si>
  <si>
    <t>M</t>
  </si>
  <si>
    <t>ImportOperation</t>
  </si>
  <si>
    <t>MCciOperationErmisType41</t>
  </si>
  <si>
    <t>0..1</t>
  </si>
  <si>
    <t>Lrn</t>
  </si>
  <si>
    <t>an..22
pattern: [!-~]{1,22}
maxLength: 22</t>
  </si>
  <si>
    <t>LRN</t>
  </si>
  <si>
    <t>LRNContentType</t>
  </si>
  <si>
    <t>Mrn</t>
  </si>
  <si>
    <t>an18
pattern: [0-9]{2}[A-Z]{2}[A-Z0-9]{12}[R,V][0-9]
length: 18</t>
  </si>
  <si>
    <t>MRN</t>
  </si>
  <si>
    <t>MRNContentType</t>
  </si>
  <si>
    <t>Declaration type</t>
  </si>
  <si>
    <t>an..5
pattern: [a-zA-Z0-9]{1,5}
maxLength: 5</t>
  </si>
  <si>
    <t>declarationType</t>
  </si>
  <si>
    <t>DeclarationTypeContentType</t>
  </si>
  <si>
    <t>Additional declaration type</t>
  </si>
  <si>
    <t>a1
pattern: [a-zA-Z]{1}
length: 1</t>
  </si>
  <si>
    <t>additionalDeclarationType</t>
  </si>
  <si>
    <t>AdditionalDeclarationTypeContentType</t>
  </si>
  <si>
    <t>an19
pattern: \d{4}-\d{2}-\d{2}T\d{2}:\d{2}:\d{2}</t>
  </si>
  <si>
    <t>PresentationDateAndTimeContentType</t>
  </si>
  <si>
    <t>Language code</t>
  </si>
  <si>
    <t>a2
pattern: [A-Z]{2}
length: 2</t>
  </si>
  <si>
    <t>languageCode</t>
  </si>
  <si>
    <t>CountryCodeType</t>
  </si>
  <si>
    <t>0..9</t>
  </si>
  <si>
    <t>Authorisation</t>
  </si>
  <si>
    <t>MAuthorisationType01</t>
  </si>
  <si>
    <t>Sequence number</t>
  </si>
  <si>
    <t>n..5
pattern: [1-9][0-9]{0,4}
minInclusive: 1
maxInclusive: 99999</t>
  </si>
  <si>
    <t>sequenceNumber</t>
  </si>
  <si>
    <t>SequenceNrContentType</t>
  </si>
  <si>
    <t>an..4
pattern: [a-zA-Z0-9]{1,4}
maxLength: 4</t>
  </si>
  <si>
    <t>type</t>
  </si>
  <si>
    <t>AuthorisationTypeContentType</t>
  </si>
  <si>
    <t>Reference number</t>
  </si>
  <si>
    <t>an..35
pattern: [
maxLength: 35</t>
  </si>
  <si>
    <t>referenceNumber</t>
  </si>
  <si>
    <t>AuthorisationNumberContentType</t>
  </si>
  <si>
    <t>Holder of the authorisation</t>
  </si>
  <si>
    <t>an..17
pattern: [A-Z]{2}[!-~]{1,15}
maxLength: 17</t>
  </si>
  <si>
    <t>holderOfTheAuthorisation</t>
  </si>
  <si>
    <t>EOIDContentType</t>
  </si>
  <si>
    <t>Customs office of presentation</t>
  </si>
  <si>
    <t>CustomsOfficeOfPresentation</t>
  </si>
  <si>
    <t>MPcoType</t>
  </si>
  <si>
    <t>an8
pattern: [A-Z]{2}[A-Z0-9]{6}
length: 8</t>
  </si>
  <si>
    <t>CORefNumType</t>
  </si>
  <si>
    <t>Supervising customs office</t>
  </si>
  <si>
    <t>SupervisingCustomsOffice</t>
  </si>
  <si>
    <t>MScoType</t>
  </si>
  <si>
    <t>Importer</t>
  </si>
  <si>
    <t>MImporterType01</t>
  </si>
  <si>
    <t>Identification number</t>
  </si>
  <si>
    <t>identificationNumber</t>
  </si>
  <si>
    <t>an..70
pattern: \P{Z}(.*\P{Z})?
maxLength: 70</t>
  </si>
  <si>
    <t>name</t>
  </si>
  <si>
    <t>EONameContentType</t>
  </si>
  <si>
    <t>Address</t>
  </si>
  <si>
    <t>MAddressType01</t>
  </si>
  <si>
    <t>Street and number</t>
  </si>
  <si>
    <t>streetAndNumber</t>
  </si>
  <si>
    <t>StreetAndNumberContentType</t>
  </si>
  <si>
    <t>Postcode</t>
  </si>
  <si>
    <t>an..17
pattern: \P{Z}(.*\P{Z})?
maxLength: 17</t>
  </si>
  <si>
    <t>postcode</t>
  </si>
  <si>
    <t>PostcodeContentType</t>
  </si>
  <si>
    <t>City</t>
  </si>
  <si>
    <t>an..35
pattern: \P{Z}(.*\P{Z})?
maxLength: 35</t>
  </si>
  <si>
    <t>city</t>
  </si>
  <si>
    <t>CityContentType</t>
  </si>
  <si>
    <t>Country</t>
  </si>
  <si>
    <t>country</t>
  </si>
  <si>
    <t>Declarant</t>
  </si>
  <si>
    <t>MDeclarantErmisType01</t>
  </si>
  <si>
    <t>an..17
pattern: [a-zA-Z0-9]{1,17}
maxLength: 17</t>
  </si>
  <si>
    <t>RINContentType</t>
  </si>
  <si>
    <t>Contact person</t>
  </si>
  <si>
    <t>ContactPerson</t>
  </si>
  <si>
    <t>MContactPersonType</t>
  </si>
  <si>
    <t>Phone number</t>
  </si>
  <si>
    <t>phoneNumber</t>
  </si>
  <si>
    <t>PhoneNumberContentType</t>
  </si>
  <si>
    <t>E mail address</t>
  </si>
  <si>
    <t>an..256
pattern: [^@]+@[^\.]+\..+
maxLength: 256</t>
  </si>
  <si>
    <t>eMailAddress</t>
  </si>
  <si>
    <t>EmailAddressContentType</t>
  </si>
  <si>
    <t>Person providing a guarantee</t>
  </si>
  <si>
    <t>PersonProvidingAGuarantee</t>
  </si>
  <si>
    <t>MPersonProvidingGuaranteeType</t>
  </si>
  <si>
    <t>Person paying customs duty</t>
  </si>
  <si>
    <t>PersonPayingCustomsDuty</t>
  </si>
  <si>
    <t>MPersonPayingCustomsDutyType</t>
  </si>
  <si>
    <t>Representative</t>
  </si>
  <si>
    <t>MRepresentativeErmisType01</t>
  </si>
  <si>
    <t>n1
pattern: [0-9]{1}
length: 1</t>
  </si>
  <si>
    <t>status</t>
  </si>
  <si>
    <t>RepStatusCodeContentType</t>
  </si>
  <si>
    <t>Guarantee</t>
  </si>
  <si>
    <t>MGuaranteeErmisType</t>
  </si>
  <si>
    <t>Guarantee type</t>
  </si>
  <si>
    <t>an1
pattern: [a-zA-Z0-9]{1}
length: 1</t>
  </si>
  <si>
    <t>guaranteeType</t>
  </si>
  <si>
    <t>TypeOfGuaranteeContentType</t>
  </si>
  <si>
    <t>n2
pattern: [0-9]{2}
length: 2</t>
  </si>
  <si>
    <t>CodeOfGuaranteeContentType</t>
  </si>
  <si>
    <t>1..99</t>
  </si>
  <si>
    <t>Guarantee reference</t>
  </si>
  <si>
    <t>GuaranteeReference</t>
  </si>
  <si>
    <t>MGuaranteeReferenceType</t>
  </si>
  <si>
    <t>Grn</t>
  </si>
  <si>
    <t>an..24
pattern: [0-9]{2}[A-Z]{2}[A-Z0-9]{12}[0-9]([A-Z][0-9]{6})?
maxLength: 24</t>
  </si>
  <si>
    <t>GRN</t>
  </si>
  <si>
    <t>GRNContentType</t>
  </si>
  <si>
    <t>Cc qualifier</t>
  </si>
  <si>
    <t>ccQualifier</t>
  </si>
  <si>
    <t>Access code</t>
  </si>
  <si>
    <t>accessCode</t>
  </si>
  <si>
    <t>AccessCodeContentType</t>
  </si>
  <si>
    <t>Currency code</t>
  </si>
  <si>
    <t>a3
pattern: [a-zA-Z]{3}
length: 3</t>
  </si>
  <si>
    <t>currencyCode</t>
  </si>
  <si>
    <t>CurrencyContentType</t>
  </si>
  <si>
    <t>Amount to be covered</t>
  </si>
  <si>
    <t>n..16,2
pattern: ((0|[1-9][0-9]{0,15})(\.[0-9]{1,2})?)
totalDigits: 16
fractionDigits: 2</t>
  </si>
  <si>
    <t>amountToBeCovered</t>
  </si>
  <si>
    <t>AmountContentType</t>
  </si>
  <si>
    <t>Other guarantee reference</t>
  </si>
  <si>
    <t>an..35
pattern: [a-zA-Z0-9]{1,35}
maxLength: 35</t>
  </si>
  <si>
    <t>otherGuaranteeReference</t>
  </si>
  <si>
    <t>GuaranteeReferenceContentType</t>
  </si>
  <si>
    <t>Customs office of guarantee</t>
  </si>
  <si>
    <t>CustomsOfficeOfGuarantee</t>
  </si>
  <si>
    <t>MCustomsOfficeOfGuaranteeType</t>
  </si>
  <si>
    <t>Currency exchange</t>
  </si>
  <si>
    <t>CurrencyExchange</t>
  </si>
  <si>
    <t>MCurrencyExchangeType</t>
  </si>
  <si>
    <t>Internal currency unit</t>
  </si>
  <si>
    <t>internalCurrencyUnit</t>
  </si>
  <si>
    <t>Deferred payment</t>
  </si>
  <si>
    <t>DeferredPayment</t>
  </si>
  <si>
    <t>MDeferredPaymentType</t>
  </si>
  <si>
    <t>deferredPayment</t>
  </si>
  <si>
    <t>DeferredPaymentContentType</t>
  </si>
  <si>
    <t>1..9999</t>
  </si>
  <si>
    <t>Goods shipment</t>
  </si>
  <si>
    <t>GoodsShipment</t>
  </si>
  <si>
    <t>MGoodsShipmentErmisType04</t>
  </si>
  <si>
    <t>Nature of transaction</t>
  </si>
  <si>
    <t>n..2
pattern: [0-9]{1,2}
maxLength: 2</t>
  </si>
  <si>
    <t>natureOfTransaction</t>
  </si>
  <si>
    <t>NatureOfTransactionContentType</t>
  </si>
  <si>
    <t>Total amount invoiced</t>
  </si>
  <si>
    <t>n..16,2
pattern: ([1-9]\d*(\.\d+)?)|(0\.\d*[1-9]\d*)
totalDigits: 16
fractionDigits: 2</t>
  </si>
  <si>
    <t>totalAmountInvoiced</t>
  </si>
  <si>
    <t>AmountNoZeroContentType</t>
  </si>
  <si>
    <t>Invoice currency</t>
  </si>
  <si>
    <t>invoiceCurrency</t>
  </si>
  <si>
    <t>Date of acceptance</t>
  </si>
  <si>
    <t>dateOfAcceptance</t>
  </si>
  <si>
    <t>DateTimeType</t>
  </si>
  <si>
    <t>Exchange rate</t>
  </si>
  <si>
    <t>n..12,5
pattern: ([1-9]\d*(\.\d+)?)|(0\.\d*[1-9]\d*)
totalDigits: 12
fractionDigits: 5</t>
  </si>
  <si>
    <t>exchangeRate</t>
  </si>
  <si>
    <t>ExchangeRateContentType</t>
  </si>
  <si>
    <t>0..99</t>
  </si>
  <si>
    <t>Additional supply chain actor</t>
  </si>
  <si>
    <t>AdditionalSupplyChainActor</t>
  </si>
  <si>
    <t>MAdditionalSupplyChainActorType</t>
  </si>
  <si>
    <t>Role</t>
  </si>
  <si>
    <t>a..3
pattern: [a-zA-Z]{1,3}
maxLength: 3</t>
  </si>
  <si>
    <t>role</t>
  </si>
  <si>
    <t>RoleCodeContentType</t>
  </si>
  <si>
    <t>Buyer</t>
  </si>
  <si>
    <t>MBuyerType</t>
  </si>
  <si>
    <t>Seller</t>
  </si>
  <si>
    <t>MSellerType</t>
  </si>
  <si>
    <t>Exporter</t>
  </si>
  <si>
    <t>MExporterType</t>
  </si>
  <si>
    <t>ConsigneeErmisType02</t>
  </si>
  <si>
    <t>XML Xpath</t>
  </si>
  <si>
    <t>Description</t>
  </si>
  <si>
    <t>CC414B</t>
  </si>
  <si>
    <t>CC414BType</t>
  </si>
  <si>
    <t>MCciOperationType17</t>
  </si>
  <si>
    <t>Invalidation request date and time</t>
  </si>
  <si>
    <t>invalidationRequestDateAndTime</t>
  </si>
  <si>
    <t>Invalidation reason</t>
  </si>
  <si>
    <t>an..512
pattern: \P{Z}(.*\P{Z})?
maxLength: 512</t>
  </si>
  <si>
    <t>invalidationReason</t>
  </si>
  <si>
    <t>FreeTextContentType</t>
  </si>
  <si>
    <t>Additional information</t>
  </si>
  <si>
    <t>AdditionalInformation</t>
  </si>
  <si>
    <t>MAdditionalInformationType</t>
  </si>
  <si>
    <t>Code</t>
  </si>
  <si>
    <t>an5
pattern: [a-zA-Z0-9]{5}
length: 5</t>
  </si>
  <si>
    <t>code</t>
  </si>
  <si>
    <t>AdditionalInfoCodeContentType</t>
  </si>
  <si>
    <t>Text</t>
  </si>
  <si>
    <t>text</t>
  </si>
  <si>
    <t>CC415B</t>
  </si>
  <si>
    <t>CC415BType</t>
  </si>
  <si>
    <t>MCciOperationErmisType04</t>
  </si>
  <si>
    <t>MAuthorisationType04</t>
  </si>
  <si>
    <t>MGoodsShipmentErmisType05</t>
  </si>
  <si>
    <t>CC432B</t>
  </si>
  <si>
    <t>CC432BType</t>
  </si>
  <si>
    <t>MCciOperationErmisType24</t>
  </si>
  <si>
    <t>Customs registration number</t>
  </si>
  <si>
    <t>customsRegistrationNumber</t>
  </si>
  <si>
    <t>MDeclarantErmisType02</t>
  </si>
  <si>
    <t>MRepresentativeErmisType02</t>
  </si>
  <si>
    <t>MGoodsShipmentErmisType06</t>
  </si>
  <si>
    <t>Consignment</t>
  </si>
  <si>
    <t>MConsignmentErmisType02</t>
  </si>
  <si>
    <t>0..9999</t>
  </si>
  <si>
    <t>Transport equipment</t>
  </si>
  <si>
    <t>TransportEquipment</t>
  </si>
  <si>
    <t>MTransportEquipmentErmisType</t>
  </si>
  <si>
    <t>Container identification number</t>
  </si>
  <si>
    <t>containerIdentificationNumber</t>
  </si>
  <si>
    <t>ContainerIdentificationNumberContentType</t>
  </si>
  <si>
    <t>Goods reference</t>
  </si>
  <si>
    <t>GoodsReference</t>
  </si>
  <si>
    <t>MGoodsReferenceType</t>
  </si>
  <si>
    <t>Declaration goods item number</t>
  </si>
  <si>
    <t>declarationGoodsItemNumber</t>
  </si>
  <si>
    <t>ItemNumberWithoutZeroContentType</t>
  </si>
  <si>
    <t>Location of goods</t>
  </si>
  <si>
    <t>LocationOfGoods</t>
  </si>
  <si>
    <t>MLocationOfGoodsType01</t>
  </si>
  <si>
    <t>Type of location</t>
  </si>
  <si>
    <t>typeOfLocation</t>
  </si>
  <si>
    <t>TypeOfLocationContentType</t>
  </si>
  <si>
    <t>Qualifier of identification</t>
  </si>
  <si>
    <t>qualifierOfIdentification</t>
  </si>
  <si>
    <t>LocationIDQualifierContentType</t>
  </si>
  <si>
    <t>Authorisation number</t>
  </si>
  <si>
    <t>authorisationNumber</t>
  </si>
  <si>
    <t>Additional identifier</t>
  </si>
  <si>
    <t>additionalIdentifier</t>
  </si>
  <si>
    <t>AdditionalIdentifierContentType</t>
  </si>
  <si>
    <t>Unlocode</t>
  </si>
  <si>
    <t>UNLOCODE</t>
  </si>
  <si>
    <t>UNLOCODEContentType</t>
  </si>
  <si>
    <t>Customs office</t>
  </si>
  <si>
    <t>CustomsOffice</t>
  </si>
  <si>
    <t>MCustomsOfficeType</t>
  </si>
  <si>
    <t>Gnss</t>
  </si>
  <si>
    <t>GNSS</t>
  </si>
  <si>
    <t>MGpsType</t>
  </si>
  <si>
    <t>Latitude</t>
  </si>
  <si>
    <t>an..17
pattern: [+-]?([0-8]?[0-9]\.[0-9]{5,7}|90.000000?0?)
maxLength: 17</t>
  </si>
  <si>
    <t>latitude</t>
  </si>
  <si>
    <t>GNSSLatitudeContentType</t>
  </si>
  <si>
    <t>Longitude</t>
  </si>
  <si>
    <t>an..17
pattern: [+-]?((0?[0-9]?|1[0-7])[0-9]\.[0-9]{5,7}|180.000000?0?)
maxLength: 17</t>
  </si>
  <si>
    <t>longitude</t>
  </si>
  <si>
    <t>GNSSLongitudeContentType</t>
  </si>
  <si>
    <t>Economic operator</t>
  </si>
  <si>
    <t>EconomicOperator</t>
  </si>
  <si>
    <t>MEconomicOperatorType</t>
  </si>
  <si>
    <t>Postcode address</t>
  </si>
  <si>
    <t>PostcodeAddress</t>
  </si>
  <si>
    <t>MAddressType02</t>
  </si>
  <si>
    <t>House number</t>
  </si>
  <si>
    <t>houseNumber</t>
  </si>
  <si>
    <t>HouseNumberContentType</t>
  </si>
  <si>
    <t>CC433B</t>
  </si>
  <si>
    <t>CC433BType</t>
  </si>
  <si>
    <t>MCciOperationType38</t>
  </si>
  <si>
    <t>1..9</t>
  </si>
  <si>
    <t>MDeclarantType02</t>
  </si>
  <si>
    <t>MRepresentativeType02</t>
  </si>
  <si>
    <t>MGoodsShipmentType03</t>
  </si>
  <si>
    <t>Previous document</t>
  </si>
  <si>
    <t>PreviousDocument</t>
  </si>
  <si>
    <t>MPreviousDocumentType05</t>
  </si>
  <si>
    <t>an4
pattern: [a-zA-Z0-9]{4}
length: 4</t>
  </si>
  <si>
    <t>DocumentTypeContentType</t>
  </si>
  <si>
    <t>DocumentRefNumberContentType</t>
  </si>
  <si>
    <t>MConsignmentType03</t>
  </si>
  <si>
    <t>Gross mass</t>
  </si>
  <si>
    <t>n..16,6
pattern: ([1-9]\d*(\.\d+)?)|(0\.\d*[1-9]\d*)
totalDigits: 16
fractionDigits: 6</t>
  </si>
  <si>
    <t>grossMass</t>
  </si>
  <si>
    <t>QuantityContentType</t>
  </si>
  <si>
    <t>0..999</t>
  </si>
  <si>
    <t>MTransportEquipmentType</t>
  </si>
  <si>
    <t>an..17
pattern: [
maxLength: 17</t>
  </si>
  <si>
    <t>1..999</t>
  </si>
  <si>
    <t>Goods shipment item</t>
  </si>
  <si>
    <t>GoodsShipmentItem</t>
  </si>
  <si>
    <t>MGoodsShipmentItemType05</t>
  </si>
  <si>
    <t>MAuthorisationType02</t>
  </si>
  <si>
    <t>Procedure</t>
  </si>
  <si>
    <t>MProcedureType03</t>
  </si>
  <si>
    <t>Requested procedure</t>
  </si>
  <si>
    <t>an2
pattern: [a-zA-Z0-9]{2}
length: 2</t>
  </si>
  <si>
    <t>requestedProcedure</t>
  </si>
  <si>
    <t>ProcedureCodeContentType</t>
  </si>
  <si>
    <t>Previous procedure</t>
  </si>
  <si>
    <t>previousProcedure</t>
  </si>
  <si>
    <t>Additional procedure</t>
  </si>
  <si>
    <t>AdditionalProcedure</t>
  </si>
  <si>
    <t>MAdditionalProcedureType</t>
  </si>
  <si>
    <t>an3
pattern: [a-zA-Z0-9]{3}
length: 3</t>
  </si>
  <si>
    <t>additionalProcedure</t>
  </si>
  <si>
    <t>AdditionalProcedureContentType</t>
  </si>
  <si>
    <t>Commodity</t>
  </si>
  <si>
    <t>MCommodityType06</t>
  </si>
  <si>
    <t>Description of goods</t>
  </si>
  <si>
    <t>descriptionOfGoods</t>
  </si>
  <si>
    <t>Goods measure</t>
  </si>
  <si>
    <t>GoodsMeasure</t>
  </si>
  <si>
    <t>MGoodsMeasureType03</t>
  </si>
  <si>
    <t>Packaging</t>
  </si>
  <si>
    <t>MPackagingType02</t>
  </si>
  <si>
    <t>Type of packages</t>
  </si>
  <si>
    <t>typeOfPackages</t>
  </si>
  <si>
    <t>TypeOfPackagesContentType</t>
  </si>
  <si>
    <t>Number of packages</t>
  </si>
  <si>
    <t>n..8
pattern: (0|[1-9][0-9]{0,7})
minInclusive: 0
maxInclusive: 99999999</t>
  </si>
  <si>
    <t>numberOfPackages</t>
  </si>
  <si>
    <t>NumberOfPackagesContentType</t>
  </si>
  <si>
    <t>MPreviousDocumentType06</t>
  </si>
  <si>
    <t>Measurement unit and qualifier</t>
  </si>
  <si>
    <t>measurementUnitAndQualifier</t>
  </si>
  <si>
    <t>MeasurementUnitContentType</t>
  </si>
  <si>
    <t>Cc qualifier for measurement unit and qualifier</t>
  </si>
  <si>
    <t>ccQualifierForMeasurementUnitAndQualifier</t>
  </si>
  <si>
    <t>Quantity</t>
  </si>
  <si>
    <t>quantity</t>
  </si>
  <si>
    <t>Goods item identifier</t>
  </si>
  <si>
    <t>goodsItemIdentifier</t>
  </si>
  <si>
    <t>CC446B</t>
  </si>
  <si>
    <t>CC446BType</t>
  </si>
  <si>
    <t>MCciOperationErmisType29</t>
  </si>
  <si>
    <t>Documents available</t>
  </si>
  <si>
    <t>documentsAvailable</t>
  </si>
  <si>
    <t>FlagContentType</t>
  </si>
  <si>
    <t>Requested documents</t>
  </si>
  <si>
    <t>RequestedDocuments</t>
  </si>
  <si>
    <t>MRequestedDocumentsType01</t>
  </si>
  <si>
    <t>description</t>
  </si>
  <si>
    <t>Documents image</t>
  </si>
  <si>
    <t>DocumentsImage</t>
  </si>
  <si>
    <t>MDocumentsImageType</t>
  </si>
  <si>
    <t>File type</t>
  </si>
  <si>
    <t>an..200
pattern: [a-zA-Z0-9\.\-/]{1,200}
maxLength: 200</t>
  </si>
  <si>
    <t>fileType</t>
  </si>
  <si>
    <t>FileTypeContentType</t>
  </si>
  <si>
    <t>Document image</t>
  </si>
  <si>
    <t>documentImage</t>
  </si>
  <si>
    <t>DocumentImageContentType</t>
  </si>
  <si>
    <t>H1</t>
  </si>
  <si>
    <t>H2</t>
  </si>
  <si>
    <t>H3</t>
  </si>
  <si>
    <t>H4</t>
  </si>
  <si>
    <t>H5</t>
  </si>
  <si>
    <t>I1</t>
  </si>
  <si>
    <t>I2</t>
  </si>
  <si>
    <t>CL231</t>
  </si>
  <si>
    <t>CL042</t>
  </si>
  <si>
    <t>CL012</t>
  </si>
  <si>
    <t>R0932
R0933
R0998
G0920
G0930</t>
  </si>
  <si>
    <t>R0987</t>
  </si>
  <si>
    <t>CL605</t>
  </si>
  <si>
    <t>C0923</t>
  </si>
  <si>
    <t>C</t>
  </si>
  <si>
    <t>R0995</t>
  </si>
  <si>
    <t>C0848</t>
  </si>
  <si>
    <t>CL141</t>
  </si>
  <si>
    <t>G0631</t>
  </si>
  <si>
    <t>C0617</t>
  </si>
  <si>
    <t>C0505</t>
  </si>
  <si>
    <t>CL199</t>
  </si>
  <si>
    <t>C0824</t>
  </si>
  <si>
    <t>C0809</t>
  </si>
  <si>
    <t>R0520
R0995</t>
  </si>
  <si>
    <t>R0521</t>
  </si>
  <si>
    <t>CL094</t>
  </si>
  <si>
    <t>G0105</t>
  </si>
  <si>
    <t>S0014</t>
  </si>
  <si>
    <t>C0616
C0697</t>
  </si>
  <si>
    <t>CL251</t>
  </si>
  <si>
    <t>C0648</t>
  </si>
  <si>
    <t>R0906
G0113</t>
  </si>
  <si>
    <t>C0130</t>
  </si>
  <si>
    <t>CL010</t>
  </si>
  <si>
    <t>G0647</t>
  </si>
  <si>
    <t>CL048</t>
  </si>
  <si>
    <t>G0019</t>
  </si>
  <si>
    <t>C0925</t>
  </si>
  <si>
    <t>C0697</t>
  </si>
  <si>
    <t>R0764</t>
  </si>
  <si>
    <t>R0012
S0031
G0642
G0984</t>
  </si>
  <si>
    <t>C0002
C0627
C0715</t>
  </si>
  <si>
    <t>CL091</t>
  </si>
  <si>
    <t>C0619</t>
  </si>
  <si>
    <t>G0907</t>
  </si>
  <si>
    <t>C0921</t>
  </si>
  <si>
    <t>CL352</t>
  </si>
  <si>
    <t>G0981</t>
  </si>
  <si>
    <t>C0739</t>
  </si>
  <si>
    <t>G0642
G0654</t>
  </si>
  <si>
    <t>CL704</t>
  </si>
  <si>
    <t>R0928</t>
  </si>
  <si>
    <t>R0012
G0642
G0671</t>
  </si>
  <si>
    <t>C0728</t>
  </si>
  <si>
    <t>R0012
G0642
G0672</t>
  </si>
  <si>
    <t>C0002
C0618</t>
  </si>
  <si>
    <t>S0029
G0642</t>
  </si>
  <si>
    <t>R0907</t>
  </si>
  <si>
    <t>C0730</t>
  </si>
  <si>
    <t>R0932</t>
  </si>
  <si>
    <t>O or M</t>
  </si>
  <si>
    <t>G0405</t>
  </si>
  <si>
    <t>S0023</t>
  </si>
  <si>
    <t>C0937
C0630</t>
  </si>
  <si>
    <t>G0907
G0921</t>
  </si>
  <si>
    <t>G0656</t>
  </si>
  <si>
    <t>Delivery terms</t>
  </si>
  <si>
    <t>S0016</t>
  </si>
  <si>
    <t>C0738
C0729
C0627</t>
  </si>
  <si>
    <t>DeliveryTerms</t>
  </si>
  <si>
    <t>MDeliveryTermsErmisType</t>
  </si>
  <si>
    <t>Incoterm code</t>
  </si>
  <si>
    <t>CL090</t>
  </si>
  <si>
    <t>incotermCode</t>
  </si>
  <si>
    <t>IncotermCodeContentType</t>
  </si>
  <si>
    <t>C0596</t>
  </si>
  <si>
    <t>CL244</t>
  </si>
  <si>
    <t>Location</t>
  </si>
  <si>
    <t>location</t>
  </si>
  <si>
    <t>LocationNameContentType</t>
  </si>
  <si>
    <t>IncoTermStatusType</t>
  </si>
  <si>
    <t>Country of dispatch</t>
  </si>
  <si>
    <t>CountryOfDispatch</t>
  </si>
  <si>
    <t>MCountryOfDispatchType</t>
  </si>
  <si>
    <t>G0929</t>
  </si>
  <si>
    <t>CL008</t>
  </si>
  <si>
    <t>countryOfDispatch</t>
  </si>
  <si>
    <t>Destination</t>
  </si>
  <si>
    <t>MDestinationType</t>
  </si>
  <si>
    <t>Country of destination</t>
  </si>
  <si>
    <t>G0009</t>
  </si>
  <si>
    <t>C0816</t>
  </si>
  <si>
    <t>countryOfDestination</t>
  </si>
  <si>
    <t>Region of destination</t>
  </si>
  <si>
    <t>G0918</t>
  </si>
  <si>
    <t>regionOfDestination</t>
  </si>
  <si>
    <t>RegionContentType</t>
  </si>
  <si>
    <t>C0918</t>
  </si>
  <si>
    <t>Warehouse</t>
  </si>
  <si>
    <t>MWarehouseType</t>
  </si>
  <si>
    <t>CL099</t>
  </si>
  <si>
    <t>TypeOfWarehouseContentType</t>
  </si>
  <si>
    <t>Identifier</t>
  </si>
  <si>
    <t>G0031</t>
  </si>
  <si>
    <t>identifier</t>
  </si>
  <si>
    <t>WarehouseIDContentType</t>
  </si>
  <si>
    <t>G0007</t>
  </si>
  <si>
    <t>MPreviousDocumentType02</t>
  </si>
  <si>
    <t>CL214</t>
  </si>
  <si>
    <t>G0921</t>
  </si>
  <si>
    <t>C0917</t>
  </si>
  <si>
    <t>G0021</t>
  </si>
  <si>
    <t>Supporting document</t>
  </si>
  <si>
    <t>SupportingDocument</t>
  </si>
  <si>
    <t>MSupportingDocumentErmisType02</t>
  </si>
  <si>
    <t>CL213</t>
  </si>
  <si>
    <t>Document line item number</t>
  </si>
  <si>
    <t>documentLineItemNumber</t>
  </si>
  <si>
    <t>Issuing authority name</t>
  </si>
  <si>
    <t>issuingAuthorityName</t>
  </si>
  <si>
    <t>IssuingAuthorityNameContentType</t>
  </si>
  <si>
    <t>Date of validity</t>
  </si>
  <si>
    <t>an10
pattern: \d{4}-\d{2}-\d{2}</t>
  </si>
  <si>
    <t>dateOfValidity</t>
  </si>
  <si>
    <t>DateType</t>
  </si>
  <si>
    <t>Additional reference</t>
  </si>
  <si>
    <t>AdditionalReference</t>
  </si>
  <si>
    <t>MAdditionalReferenceType</t>
  </si>
  <si>
    <t>CL380</t>
  </si>
  <si>
    <t>R0906</t>
  </si>
  <si>
    <t>CL239</t>
  </si>
  <si>
    <t>Additions and deductions</t>
  </si>
  <si>
    <t>C0938</t>
  </si>
  <si>
    <t>AdditionsAndDeductions</t>
  </si>
  <si>
    <t>MAdditionsAndDeductionsErmisType</t>
  </si>
  <si>
    <t>a2
pattern: [a-zA-Z]{2}
length: 2</t>
  </si>
  <si>
    <t>CL791</t>
  </si>
  <si>
    <t>ValuationCodeContentType</t>
  </si>
  <si>
    <t>Currency</t>
  </si>
  <si>
    <t>currency</t>
  </si>
  <si>
    <t>SplitCodeContentType</t>
  </si>
  <si>
    <t>Amount</t>
  </si>
  <si>
    <t>amount</t>
  </si>
  <si>
    <t>PercentageType</t>
  </si>
  <si>
    <t>MPostalChargesErmisType</t>
  </si>
  <si>
    <t>Additional fiscal reference</t>
  </si>
  <si>
    <t>C0834</t>
  </si>
  <si>
    <t>AdditionalFiscalReference</t>
  </si>
  <si>
    <t>MAdditionalFiscalReferenceType</t>
  </si>
  <si>
    <t>CL149</t>
  </si>
  <si>
    <t>FiscalRoleContentType</t>
  </si>
  <si>
    <t>Vat identification number</t>
  </si>
  <si>
    <t>VATIdentificationNumber</t>
  </si>
  <si>
    <t>VATIdentificationContentType</t>
  </si>
  <si>
    <t>MConsignmentErmisType01</t>
  </si>
  <si>
    <t>Container indicator</t>
  </si>
  <si>
    <t>CL027</t>
  </si>
  <si>
    <t>containerIndicator</t>
  </si>
  <si>
    <t>Inland mode of transport</t>
  </si>
  <si>
    <t>G0641</t>
  </si>
  <si>
    <t>C0625</t>
  </si>
  <si>
    <t>CL018</t>
  </si>
  <si>
    <t>inlandModeOfTransport</t>
  </si>
  <si>
    <t>TransportModeContentType</t>
  </si>
  <si>
    <t>Mode of transport at the border</t>
  </si>
  <si>
    <t>S0003</t>
  </si>
  <si>
    <t>C0630
C0627</t>
  </si>
  <si>
    <t>modeOfTransportAtTheBorder</t>
  </si>
  <si>
    <t>G0905</t>
  </si>
  <si>
    <t>Reference number ucr</t>
  </si>
  <si>
    <t>referenceNumberUCR</t>
  </si>
  <si>
    <t>ReferenceNumberUCRContentType</t>
  </si>
  <si>
    <t>G0922</t>
  </si>
  <si>
    <t>C0907</t>
  </si>
  <si>
    <t>S0024</t>
  </si>
  <si>
    <t>CL347</t>
  </si>
  <si>
    <t>R0686</t>
  </si>
  <si>
    <t>CL326</t>
  </si>
  <si>
    <t>C0394</t>
  </si>
  <si>
    <t>C0926</t>
  </si>
  <si>
    <t>G0904</t>
  </si>
  <si>
    <t>C0382</t>
  </si>
  <si>
    <t>CL190</t>
  </si>
  <si>
    <t>Arrival transport means</t>
  </si>
  <si>
    <t>C0623
C0646</t>
  </si>
  <si>
    <t>ArrivalTransportMeans</t>
  </si>
  <si>
    <t>MArrivalTransportMeansType</t>
  </si>
  <si>
    <t>Type of identification</t>
  </si>
  <si>
    <t>CL750</t>
  </si>
  <si>
    <t>typeOfIdentification</t>
  </si>
  <si>
    <t>TransportMeansIdentificationTypeContentType</t>
  </si>
  <si>
    <t>TransportMeansIDContentType</t>
  </si>
  <si>
    <t>Active border transport means</t>
  </si>
  <si>
    <t>S0020</t>
  </si>
  <si>
    <t>C0810
C0931</t>
  </si>
  <si>
    <t>ActiveBorderTransportMeans</t>
  </si>
  <si>
    <t>MActiveBorderTransportMeansType</t>
  </si>
  <si>
    <t>Nationality</t>
  </si>
  <si>
    <t>CL165</t>
  </si>
  <si>
    <t>nationality</t>
  </si>
  <si>
    <t>Transport document</t>
  </si>
  <si>
    <t>TransportDocument</t>
  </si>
  <si>
    <t>MTransportDocumentType</t>
  </si>
  <si>
    <t>CL754</t>
  </si>
  <si>
    <t>MGoodsShipmentItemErmisType03</t>
  </si>
  <si>
    <t>R0007</t>
  </si>
  <si>
    <t>Goods item number</t>
  </si>
  <si>
    <t>R0767</t>
  </si>
  <si>
    <t>C0731</t>
  </si>
  <si>
    <t>goodsItemNumber</t>
  </si>
  <si>
    <t>Statistical value</t>
  </si>
  <si>
    <t>statisticalValue</t>
  </si>
  <si>
    <t>R0010</t>
  </si>
  <si>
    <t>C0934</t>
  </si>
  <si>
    <t>CL615</t>
  </si>
  <si>
    <t>MProcedureErmisType01</t>
  </si>
  <si>
    <t>R0900</t>
  </si>
  <si>
    <t>CL092</t>
  </si>
  <si>
    <t>R0011</t>
  </si>
  <si>
    <t>CL093</t>
  </si>
  <si>
    <t>CL457</t>
  </si>
  <si>
    <t>Origin</t>
  </si>
  <si>
    <t>C0710</t>
  </si>
  <si>
    <t>MOriginType</t>
  </si>
  <si>
    <t>Country of origin</t>
  </si>
  <si>
    <t>G0628</t>
  </si>
  <si>
    <t>C0919</t>
  </si>
  <si>
    <t>countryOfOrigin</t>
  </si>
  <si>
    <t>Country of preferential origin</t>
  </si>
  <si>
    <t>C0699</t>
  </si>
  <si>
    <t>countryOfPreferentialOrigin</t>
  </si>
  <si>
    <t>PreferentialOriginContentType</t>
  </si>
  <si>
    <t>C0002
C0654</t>
  </si>
  <si>
    <t>MCommodityErmisType03</t>
  </si>
  <si>
    <t>Cus code</t>
  </si>
  <si>
    <t>an9
pattern: .{1,9}
length: 9</t>
  </si>
  <si>
    <t>G0901</t>
  </si>
  <si>
    <t>CL016</t>
  </si>
  <si>
    <t>CUSCode</t>
  </si>
  <si>
    <t>CUSCodeContentType</t>
  </si>
  <si>
    <t>Quota order number</t>
  </si>
  <si>
    <t>an6
pattern: [a-zA-Z0-9]{6}
length: 6</t>
  </si>
  <si>
    <t>quotaOrderNumber</t>
  </si>
  <si>
    <t>QuotaOrderNumberContentType</t>
  </si>
  <si>
    <t>Commodity code</t>
  </si>
  <si>
    <t>C0654</t>
  </si>
  <si>
    <t>CommodityCode</t>
  </si>
  <si>
    <t>MCommodityCodeErmisType02</t>
  </si>
  <si>
    <t>Harmonized system subheading code</t>
  </si>
  <si>
    <t>CL152</t>
  </si>
  <si>
    <t>harmonizedSystemSubheadingCode</t>
  </si>
  <si>
    <t>HarmonizedSysCodeContentType</t>
  </si>
  <si>
    <t>Combined nomenclature code</t>
  </si>
  <si>
    <t>combinedNomenclatureCode</t>
  </si>
  <si>
    <t>CombinedNomenclatureCodeContentType</t>
  </si>
  <si>
    <t>Taric code</t>
  </si>
  <si>
    <t>C0820</t>
  </si>
  <si>
    <t>taricCode</t>
  </si>
  <si>
    <t>TaricContentType</t>
  </si>
  <si>
    <t>Taric additional code</t>
  </si>
  <si>
    <t>S0032</t>
  </si>
  <si>
    <t>TaricAdditionalCode</t>
  </si>
  <si>
    <t>MTaricAdditionalCodeType</t>
  </si>
  <si>
    <t>taricAdditionalCode</t>
  </si>
  <si>
    <t>TaricAdditionalCodeContentType</t>
  </si>
  <si>
    <t>National additional code</t>
  </si>
  <si>
    <t>NationalAdditionalCode</t>
  </si>
  <si>
    <t>MNationalAdditionalCodeType</t>
  </si>
  <si>
    <t>nationalAdditionalCode</t>
  </si>
  <si>
    <t>NationalComCodeContentType</t>
  </si>
  <si>
    <t>TypeOfGoodContentType</t>
  </si>
  <si>
    <t>MGoodsMeasureType01</t>
  </si>
  <si>
    <t>Net mass</t>
  </si>
  <si>
    <t>C0935</t>
  </si>
  <si>
    <t>netMass</t>
  </si>
  <si>
    <t>Supplementary units</t>
  </si>
  <si>
    <t>supplementaryUnits</t>
  </si>
  <si>
    <t>Invoice line</t>
  </si>
  <si>
    <t>S0022</t>
  </si>
  <si>
    <t>C0710
C0618</t>
  </si>
  <si>
    <t>InvoiceLine</t>
  </si>
  <si>
    <t>MInvoiceLineType</t>
  </si>
  <si>
    <t>Item amount invoiced</t>
  </si>
  <si>
    <t>itemAmountInvoiced</t>
  </si>
  <si>
    <t>Calculation of taxes</t>
  </si>
  <si>
    <t>C0691</t>
  </si>
  <si>
    <t>CalculationOfTaxes</t>
  </si>
  <si>
    <t>MCalculationOfTaxesErmisType03</t>
  </si>
  <si>
    <t>Preference</t>
  </si>
  <si>
    <t>n3
pattern: [1-9][0-9]{2}
length: 3</t>
  </si>
  <si>
    <t>G0985</t>
  </si>
  <si>
    <t>CL603</t>
  </si>
  <si>
    <t>preference</t>
  </si>
  <si>
    <t>PreferenceContentType</t>
  </si>
  <si>
    <t>Total duties and taxes amount</t>
  </si>
  <si>
    <t>totalDutiesAndTaxesAmount</t>
  </si>
  <si>
    <t>Duties and taxes</t>
  </si>
  <si>
    <t>G0618</t>
  </si>
  <si>
    <t>DutiesAndTaxes</t>
  </si>
  <si>
    <t>MDutiesAndTaxesErmisType03</t>
  </si>
  <si>
    <t>Tax type</t>
  </si>
  <si>
    <t>CL098</t>
  </si>
  <si>
    <t>taxType</t>
  </si>
  <si>
    <t>TaxTypeContentType</t>
  </si>
  <si>
    <t>Payable tax amount</t>
  </si>
  <si>
    <t>payableTaxAmount</t>
  </si>
  <si>
    <t>Method of payment</t>
  </si>
  <si>
    <t>R0014</t>
  </si>
  <si>
    <t>CL104</t>
  </si>
  <si>
    <t>methodOfPayment</t>
  </si>
  <si>
    <t>MethodOfPaymentContentType</t>
  </si>
  <si>
    <t>Tax base</t>
  </si>
  <si>
    <t>TaxBase</t>
  </si>
  <si>
    <t>MTaxBaseErmisType01</t>
  </si>
  <si>
    <t>Tax rate</t>
  </si>
  <si>
    <t>n..17,3
pattern: ([1-9]\d*(\.\d+)?)|(0\.\d*[1-9]\d*)
totalDigits: 17
fractionDigits: 3</t>
  </si>
  <si>
    <t>taxRate</t>
  </si>
  <si>
    <t>TaxRateContentType</t>
  </si>
  <si>
    <t>C0298</t>
  </si>
  <si>
    <t>C0850</t>
  </si>
  <si>
    <t>C0852</t>
  </si>
  <si>
    <t>Tax amount</t>
  </si>
  <si>
    <t>G0617</t>
  </si>
  <si>
    <t>taxAmount</t>
  </si>
  <si>
    <t>MPackagingErmisType01</t>
  </si>
  <si>
    <t>CL017</t>
  </si>
  <si>
    <t>C0060</t>
  </si>
  <si>
    <t>Shipping marks</t>
  </si>
  <si>
    <t>S0025</t>
  </si>
  <si>
    <t>shippingMarks</t>
  </si>
  <si>
    <t>MPreviousDocumentType01</t>
  </si>
  <si>
    <t>G0924</t>
  </si>
  <si>
    <t>CL349</t>
  </si>
  <si>
    <t>G0037</t>
  </si>
  <si>
    <t>MSupportingDocumentErmisType01</t>
  </si>
  <si>
    <t>G0881</t>
  </si>
  <si>
    <t>G0673</t>
  </si>
  <si>
    <t>Customs valuation</t>
  </si>
  <si>
    <t>C0940</t>
  </si>
  <si>
    <t>CustomsValuation</t>
  </si>
  <si>
    <t>MCustomsValuationErmisType</t>
  </si>
  <si>
    <t>Valuation method</t>
  </si>
  <si>
    <t>CL604</t>
  </si>
  <si>
    <t>valuationMethod</t>
  </si>
  <si>
    <t>ValuationMethodContentType</t>
  </si>
  <si>
    <t>C0938
C0737</t>
  </si>
  <si>
    <t>MAdditionsAndDeductionsErmisType01</t>
  </si>
  <si>
    <t>Valuation adjustment</t>
  </si>
  <si>
    <t>C0624</t>
  </si>
  <si>
    <t>ValuationAdjustment</t>
  </si>
  <si>
    <t>MValuationAdjustmentType</t>
  </si>
  <si>
    <t>Valuation indicators</t>
  </si>
  <si>
    <t>an4
pattern: [0-1]{4}
length: 4</t>
  </si>
  <si>
    <t>G0010</t>
  </si>
  <si>
    <t>valuationIndicators</t>
  </si>
  <si>
    <t>ValuationIndicatorContentType</t>
  </si>
  <si>
    <t>R0012
S0028
G0642</t>
  </si>
  <si>
    <t>S0027
G0642</t>
  </si>
  <si>
    <t>C0625
C0911</t>
  </si>
  <si>
    <t>S0001
G0918</t>
  </si>
  <si>
    <t>C0002
C0627</t>
  </si>
  <si>
    <t>R0906
G0921
G0923</t>
  </si>
  <si>
    <t>C0625
C0626
C0829
C0853</t>
  </si>
  <si>
    <t>S0017
G0999</t>
  </si>
  <si>
    <t>R0868
G0918</t>
  </si>
  <si>
    <t>R0906
G0921</t>
  </si>
  <si>
    <t>G0007
G0918</t>
  </si>
  <si>
    <t>R0010
G0616
G0620
G0642</t>
  </si>
  <si>
    <t>G0642
G0880</t>
  </si>
  <si>
    <t>C0628
C0810</t>
  </si>
  <si>
    <t>S0009
G0925</t>
  </si>
  <si>
    <t>S0003
G0651</t>
  </si>
  <si>
    <t>C0627
C0630</t>
  </si>
  <si>
    <t>R0010
G0930</t>
  </si>
  <si>
    <t>G0907
G0918</t>
  </si>
  <si>
    <t>C0820
C0869</t>
  </si>
  <si>
    <t>G0907
G0984</t>
  </si>
  <si>
    <t>C0905
C0936</t>
  </si>
  <si>
    <t>S0019
G0907</t>
  </si>
  <si>
    <t>G0003</t>
  </si>
  <si>
    <t>G0019
G0617
G0618</t>
  </si>
  <si>
    <t>C0627
C0630
C0806</t>
  </si>
  <si>
    <t>S0033
G0618</t>
  </si>
  <si>
    <t>G0349
G0918</t>
  </si>
  <si>
    <t>R0364
G0019</t>
  </si>
  <si>
    <t>C0060
C0820</t>
  </si>
  <si>
    <t>R0010
G0007</t>
  </si>
  <si>
    <t>G0019
G0924</t>
  </si>
  <si>
    <t>R0010
S0026
G0616
G0620
G0642</t>
  </si>
  <si>
    <t>G0616
G0620</t>
  </si>
  <si>
    <t>R0010
G0642
G0880</t>
  </si>
  <si>
    <t>Sequence numeric</t>
  </si>
  <si>
    <t>n</t>
  </si>
  <si>
    <t>SequenceNumeric</t>
  </si>
  <si>
    <t>Id</t>
  </si>
  <si>
    <t>an</t>
  </si>
  <si>
    <t>ID</t>
  </si>
  <si>
    <t>Key</t>
  </si>
  <si>
    <t>Value</t>
  </si>
  <si>
    <t>Data type</t>
  </si>
  <si>
    <t>a..8
enumeration: object
enumeration: text
enumeration: numeric
enumeration: decimal
enumeration: date
enumeration: dateTime</t>
  </si>
  <si>
    <t>DataType</t>
  </si>
  <si>
    <t xml:space="preserve">ExtensionType </t>
  </si>
  <si>
    <t>R0902</t>
  </si>
  <si>
    <t>R0861</t>
  </si>
  <si>
    <t>R0520</t>
  </si>
  <si>
    <t>Country code</t>
  </si>
  <si>
    <t>a2</t>
  </si>
  <si>
    <t>CountryCode</t>
  </si>
  <si>
    <t>AddressCountryCodeType</t>
  </si>
  <si>
    <t>a1
length: 1
pattern: ([a-zA-Z])</t>
  </si>
  <si>
    <t>LocationCodeCodeType</t>
  </si>
  <si>
    <t>a1
length: 1
pattern: .*[^\s].*</t>
  </si>
  <si>
    <t>IdentificationQualifierType</t>
  </si>
  <si>
    <t>an..8
totalDigits: 8
fractionDigits: 0</t>
  </si>
  <si>
    <t>AdditionalIdentifier</t>
  </si>
  <si>
    <t>AdditionalIdentifierNumericType</t>
  </si>
  <si>
    <t>GNSSType</t>
  </si>
  <si>
    <t>an..17
maxLength: 17
pattern: .*\S.*</t>
  </si>
  <si>
    <t>GNSSCoordinateType</t>
  </si>
  <si>
    <t>an..70
maxLength: 70
pattern: .*[^\s].*</t>
  </si>
  <si>
    <t>StreetAndNumber</t>
  </si>
  <si>
    <t>StreetAndNumberType</t>
  </si>
  <si>
    <t>Post code</t>
  </si>
  <si>
    <t>an..17</t>
  </si>
  <si>
    <t>PostCode</t>
  </si>
  <si>
    <t>AddressPostcodeIDType</t>
  </si>
  <si>
    <t>an..35</t>
  </si>
  <si>
    <t>AddressCityNameTextType</t>
  </si>
  <si>
    <t>HouseNumber</t>
  </si>
  <si>
    <t>Telephone number</t>
  </si>
  <si>
    <t>an..50
maxLength: 50
pattern: .*[^\s].*</t>
  </si>
  <si>
    <t>TelephoneNumber</t>
  </si>
  <si>
    <t>TelephoneNumberTextType</t>
  </si>
  <si>
    <t>an..256
maxLength: 256
pattern: .*[^\s].*</t>
  </si>
  <si>
    <t>EmailTextType</t>
  </si>
  <si>
    <t>Harmonised system subheading code</t>
  </si>
  <si>
    <t>an..6
maxLength: 6
pattern: ([a-zA-Z0-9])*</t>
  </si>
  <si>
    <t>HarmonisedSystemSubheadingCode</t>
  </si>
  <si>
    <t>TextSize6Type</t>
  </si>
  <si>
    <t>Harmonised System Subheading Code</t>
  </si>
  <si>
    <t>an2
length: 2
pattern: ([a-zA-Z0-9])*</t>
  </si>
  <si>
    <t>an4
length: 4
pattern: ([a-zA-Z0-9])*</t>
  </si>
  <si>
    <t>TaricAdditionalCodeType</t>
  </si>
  <si>
    <t>an..2560
maxLength: 2560
pattern: .*[^\s].*</t>
  </si>
  <si>
    <t>DescriptionOfGoods</t>
  </si>
  <si>
    <t>n1
totalDigits: 1
fractionDigits: 0</t>
  </si>
  <si>
    <t>Sequence numeric of processed products</t>
  </si>
  <si>
    <t>DescriptionOfGoodsTextType</t>
  </si>
  <si>
    <t>Description of goods Text</t>
  </si>
  <si>
    <t>Checked</t>
  </si>
  <si>
    <t>an..35
pattern: [ -~]{1,35}
maxLength: 35</t>
  </si>
  <si>
    <t>MPreviousDocumentType04</t>
  </si>
  <si>
    <t>MConsignmentErmisType04</t>
  </si>
  <si>
    <t>an..17
pattern: [ -~]{1,17}
maxLength: 17</t>
  </si>
  <si>
    <t>MLocationOfGoodsType03</t>
  </si>
  <si>
    <t>MGoodsShipmentItemErmisType04</t>
  </si>
  <si>
    <t>MAuthorisationType05</t>
  </si>
  <si>
    <t>MProcedureErmisType02</t>
  </si>
  <si>
    <t>MCommodityErmisType04</t>
  </si>
  <si>
    <t>MCommodityCodeErmisType03</t>
  </si>
  <si>
    <t>MPreviousDocumentType03</t>
  </si>
  <si>
    <t>MCustomsValuationErmisType02</t>
  </si>
  <si>
    <t>MAdditionsAndDeductionsErmisType02</t>
  </si>
  <si>
    <t>Admission use processing authorisation</t>
  </si>
  <si>
    <t>AdmissionUseProcessingAuthorisation</t>
  </si>
  <si>
    <t>Goods owner</t>
  </si>
  <si>
    <t>GoodsOwner</t>
  </si>
  <si>
    <t>GoodsOwnerType</t>
  </si>
  <si>
    <t>Non-Union owner of the goods to be placed under the temporary admission</t>
  </si>
  <si>
    <t>n..5
totalDigits: 5
fractionDigits: 0</t>
  </si>
  <si>
    <t>GoodsOwnerSequenceNumericType</t>
  </si>
  <si>
    <t>Sequence numeric of the owner of the goods</t>
  </si>
  <si>
    <t>Place where main accounts for customs purposes are held or accessible</t>
  </si>
  <si>
    <t>PlaceWhereMainAccountsForCustomsPurposesAreHeldOrAccessible</t>
  </si>
  <si>
    <t>Place</t>
  </si>
  <si>
    <t>PlaceSequenceNumericType</t>
  </si>
  <si>
    <t>Location type code</t>
  </si>
  <si>
    <t>LocationTypeCode</t>
  </si>
  <si>
    <t>First Place of Use Location type code</t>
  </si>
  <si>
    <t>Qualifier of the identification</t>
  </si>
  <si>
    <t>QualifierOfTheIdentification</t>
  </si>
  <si>
    <t>Qualifier of the Identification for First Place of Use</t>
  </si>
  <si>
    <t>Authorisation reference number</t>
  </si>
  <si>
    <t>an..35
maxLength: 35
pattern: .*\S.*</t>
  </si>
  <si>
    <t>AuthorisationReferenceNumber</t>
  </si>
  <si>
    <t>AuthorisationReferenceNumberType</t>
  </si>
  <si>
    <t>Additional lIdentifier of the First Place of Use</t>
  </si>
  <si>
    <t>Un locode</t>
  </si>
  <si>
    <t>UNLocode</t>
  </si>
  <si>
    <t>TextSize17Type</t>
  </si>
  <si>
    <t>CustomsOfficeType</t>
  </si>
  <si>
    <t>Identification</t>
  </si>
  <si>
    <t>an..8
maxLength: 8
pattern: .*\S.*</t>
  </si>
  <si>
    <t>TextSize8Type</t>
  </si>
  <si>
    <t>EconomicOperatorType</t>
  </si>
  <si>
    <t>PlaceAddressType</t>
  </si>
  <si>
    <t>PlacePostcodeAddressType</t>
  </si>
  <si>
    <t>an..17
maxLength: 35
pattern: .*[^\s].*</t>
  </si>
  <si>
    <t>245</t>
  </si>
  <si>
    <t>HouseNumberType</t>
  </si>
  <si>
    <t>PlaceContactPersonType</t>
  </si>
  <si>
    <t>SequenceNumericType</t>
  </si>
  <si>
    <t>NameTextType</t>
  </si>
  <si>
    <t>EMailAddress</t>
  </si>
  <si>
    <t>First place of use or processing</t>
  </si>
  <si>
    <t>FirstPlaceOfUseOrProcessing</t>
  </si>
  <si>
    <t>First place of use or processing under the temporary admission</t>
  </si>
  <si>
    <t>Place of processing or use</t>
  </si>
  <si>
    <t>PlaceOfProcessingOrUse</t>
  </si>
  <si>
    <t>Place of use or processing under the temporary admission</t>
  </si>
  <si>
    <t>Discharge period</t>
  </si>
  <si>
    <t>DischargePeriod</t>
  </si>
  <si>
    <t>DischargeType</t>
  </si>
  <si>
    <t>Period of discharge under the temporary admission</t>
  </si>
  <si>
    <t>TickBoxType</t>
  </si>
  <si>
    <t>Period of discharge tickbox</t>
  </si>
  <si>
    <t>NumericSize1Type</t>
  </si>
  <si>
    <t>Period</t>
  </si>
  <si>
    <t>n2
totalDigits: 2
fractionDigits: 0</t>
  </si>
  <si>
    <t>PeriodType</t>
  </si>
  <si>
    <t>Period of discharge type</t>
  </si>
  <si>
    <t>Free text</t>
  </si>
  <si>
    <t>FreeText</t>
  </si>
  <si>
    <t>PeriodOfDischargeTextType</t>
  </si>
  <si>
    <t>Period of discharge Free text</t>
  </si>
  <si>
    <t>Bill of discharge</t>
  </si>
  <si>
    <t>BillOfDischarge</t>
  </si>
  <si>
    <t>BillOfDischargeType</t>
  </si>
  <si>
    <t>Bill of discharge under the temporary admission</t>
  </si>
  <si>
    <t>Tick box</t>
  </si>
  <si>
    <t>TickBox</t>
  </si>
  <si>
    <t>Processed products</t>
  </si>
  <si>
    <t>ProcessedProducts</t>
  </si>
  <si>
    <t>ProcessedProductsType</t>
  </si>
  <si>
    <t>ProcessedProductsSequenceNumericType</t>
  </si>
  <si>
    <t>ProcessedProductsCommodityCodeType</t>
  </si>
  <si>
    <t>HarmonizedSystemSubheadingCode</t>
  </si>
  <si>
    <t>CombinedNomenclatureCode</t>
  </si>
  <si>
    <t>TextSize2Type</t>
  </si>
  <si>
    <t>TaricCode</t>
  </si>
  <si>
    <t>ProcessedProductsTaricAdditionalCodeType</t>
  </si>
  <si>
    <t>ProcessedProductsDescriptionOfGoodsType</t>
  </si>
  <si>
    <t>Goods information</t>
  </si>
  <si>
    <t>GoodsInformation</t>
  </si>
  <si>
    <t>GoodsInformationType</t>
  </si>
  <si>
    <t>Economic conditions</t>
  </si>
  <si>
    <t>EconomicConditions</t>
  </si>
  <si>
    <t>EconomicConditionsType</t>
  </si>
  <si>
    <t>an..2560
maxLength: 2560
pattern: .*\S.*</t>
  </si>
  <si>
    <t>TextSize2560Type</t>
  </si>
  <si>
    <t>Identification of goods</t>
  </si>
  <si>
    <t>IdentificationOfGoods</t>
  </si>
  <si>
    <t>IdentificationOfGoodsType</t>
  </si>
  <si>
    <t>Rate of yield</t>
  </si>
  <si>
    <t>RateOfYield</t>
  </si>
  <si>
    <t>RateOfYieldType</t>
  </si>
  <si>
    <t>Import duty</t>
  </si>
  <si>
    <t>ImportDuty</t>
  </si>
  <si>
    <t>ImportDutyType</t>
  </si>
  <si>
    <t>Place of main accounts for customs purposes</t>
  </si>
  <si>
    <t>PlaceOfMainAccountsForCustomsPurposes</t>
  </si>
  <si>
    <t>PlaceOfMainAccountsForCustomsPurposesType</t>
  </si>
  <si>
    <t>Place where records are kept</t>
  </si>
  <si>
    <t>PlaceWhereRecordsAreKept</t>
  </si>
  <si>
    <t>PlaceWhereRecordsAreKeptType</t>
  </si>
  <si>
    <t>Goods item details</t>
  </si>
  <si>
    <t>GoodsItemDetails</t>
  </si>
  <si>
    <t>GoodsItemDetailsType</t>
  </si>
  <si>
    <t>DeclarationGoodsItemNumber</t>
  </si>
  <si>
    <t>Details of planned activities</t>
  </si>
  <si>
    <t>DetailsOfPlannedActivities</t>
  </si>
  <si>
    <t>DetailsDetailsOfPlannedActivitiesAllOptionalType</t>
  </si>
  <si>
    <t>DetailsOfPlannedActivitiesSequenceNumericType</t>
  </si>
  <si>
    <t>Member state</t>
  </si>
  <si>
    <t>MemberState</t>
  </si>
  <si>
    <t>Member state country code</t>
  </si>
  <si>
    <t>an8
maxLength: 2560
pattern: .*[^\s].*</t>
  </si>
  <si>
    <t>DetailsOfPlannedActivitiesTextType</t>
  </si>
  <si>
    <t>GoodsItemDetailsGoodsOwnerAllOptionalType</t>
  </si>
  <si>
    <t>RepresentativeNameTextType</t>
  </si>
  <si>
    <t>Holder name</t>
  </si>
  <si>
    <t>Holder street and number</t>
  </si>
  <si>
    <t>Holder country code</t>
  </si>
  <si>
    <t>Holder postcode</t>
  </si>
  <si>
    <t>Holder city</t>
  </si>
  <si>
    <t>PlaceAllOptional</t>
  </si>
  <si>
    <t>CustomsOfficeAllOptionalType</t>
  </si>
  <si>
    <t>GNSSAllOptionalType</t>
  </si>
  <si>
    <t>EconomicOperatorAllOptionalType</t>
  </si>
  <si>
    <t>PlaceAddressAllOptionalType</t>
  </si>
  <si>
    <t>PlacePostcodeAddressAllOptionalType</t>
  </si>
  <si>
    <t>GoodsInformationAllOptionalType</t>
  </si>
  <si>
    <t>IdentificationOfGoodsAllOptionalType</t>
  </si>
  <si>
    <t>RateOfYieldAllOptionalType</t>
  </si>
  <si>
    <t>ProcessedProductsAllOptionalType</t>
  </si>
  <si>
    <t>ProcessedProductsCommodityCodeAllOptionalType</t>
  </si>
  <si>
    <t>ProcessedProductsTaricAdditionalCodeAllOptionalType</t>
  </si>
  <si>
    <t>ProcessedProductsDescriptionOfGoodsAllOptionalType</t>
  </si>
  <si>
    <t>R0432</t>
  </si>
  <si>
    <t>R0598</t>
  </si>
  <si>
    <t>R0884</t>
  </si>
  <si>
    <t>C0939</t>
  </si>
  <si>
    <t>C0927</t>
  </si>
  <si>
    <t>G0006</t>
  </si>
  <si>
    <t>CL754
CL213
CL380</t>
  </si>
  <si>
    <t>CL416</t>
  </si>
  <si>
    <t xml:space="preserve">base64Binary
</t>
  </si>
  <si>
    <t>12 12 000 000</t>
  </si>
  <si>
    <t>12 12 002 000</t>
  </si>
  <si>
    <t>12 12 001 000</t>
  </si>
  <si>
    <t>12 12 080 000</t>
  </si>
  <si>
    <t>17 09 000 000</t>
  </si>
  <si>
    <t>17 09 001 000</t>
  </si>
  <si>
    <t>17 10 000 000</t>
  </si>
  <si>
    <t>17 10 001 000</t>
  </si>
  <si>
    <t>13 04 000 000</t>
  </si>
  <si>
    <t>13 04 017 000</t>
  </si>
  <si>
    <t>13 04 016 000</t>
  </si>
  <si>
    <t>13 04 018 000</t>
  </si>
  <si>
    <t>13 04 018 019</t>
  </si>
  <si>
    <t>13 04 018 021</t>
  </si>
  <si>
    <t>13 04 018 022</t>
  </si>
  <si>
    <t>13 04 018 020</t>
  </si>
  <si>
    <t>13 05 000 000</t>
  </si>
  <si>
    <t>13 05 017 000</t>
  </si>
  <si>
    <t>13 05 016 000</t>
  </si>
  <si>
    <t>13 05 018 000</t>
  </si>
  <si>
    <t>13 05 018 019</t>
  </si>
  <si>
    <t>13 05 018 021</t>
  </si>
  <si>
    <t>13 05 018 022</t>
  </si>
  <si>
    <t>13 05 018 020</t>
  </si>
  <si>
    <t>13 05 074 000</t>
  </si>
  <si>
    <t>13 20 000 000</t>
  </si>
  <si>
    <t>13 20 017 000</t>
  </si>
  <si>
    <t>13 06 000 000</t>
  </si>
  <si>
    <t>13 06 017 000</t>
  </si>
  <si>
    <t>13 06 030 000</t>
  </si>
  <si>
    <t>13 06 074 000</t>
  </si>
  <si>
    <t>99 02 000 000</t>
  </si>
  <si>
    <t>99 03 069 000</t>
  </si>
  <si>
    <t>99 03 070 000</t>
  </si>
  <si>
    <t>99 03 071 000</t>
  </si>
  <si>
    <t>12 10 000 000</t>
  </si>
  <si>
    <t>12 10 001 000</t>
  </si>
  <si>
    <t>99 03 073 000</t>
  </si>
  <si>
    <t>99 03 072 000</t>
  </si>
  <si>
    <t>13 05 074 016</t>
  </si>
  <si>
    <t>13 05 074 075</t>
  </si>
  <si>
    <t>13 05 074 076</t>
  </si>
  <si>
    <t>13 06 074 016</t>
  </si>
  <si>
    <t>13 06 074 075</t>
  </si>
  <si>
    <t>13 06 074 076</t>
  </si>
  <si>
    <t>99 03 012 000</t>
  </si>
  <si>
    <t>14 17 000 000</t>
  </si>
  <si>
    <t>14 17 001 000</t>
  </si>
  <si>
    <t>99 05 000 000</t>
  </si>
  <si>
    <t>14 06 000 000</t>
  </si>
  <si>
    <t>14 05 000 000</t>
  </si>
  <si>
    <t>15 09 000 000</t>
  </si>
  <si>
    <t>13 14 000 000</t>
  </si>
  <si>
    <t>13 14 031 000</t>
  </si>
  <si>
    <t>13 14 017 000</t>
  </si>
  <si>
    <t>13 09 000 000</t>
  </si>
  <si>
    <t>13 09 017 000</t>
  </si>
  <si>
    <t>13 09 016 000</t>
  </si>
  <si>
    <t>13 09 018 000</t>
  </si>
  <si>
    <t>13 09 018 019</t>
  </si>
  <si>
    <t>13 09 018 021</t>
  </si>
  <si>
    <t>13 09 018 022</t>
  </si>
  <si>
    <t>13 09 018 020</t>
  </si>
  <si>
    <t>13 08 000 000</t>
  </si>
  <si>
    <t>13 08 017 000</t>
  </si>
  <si>
    <t>13 08 016 000</t>
  </si>
  <si>
    <t>13 08 018 000</t>
  </si>
  <si>
    <t>13 08 018 019</t>
  </si>
  <si>
    <t>13 08 018 021</t>
  </si>
  <si>
    <t>13 08 018 022</t>
  </si>
  <si>
    <t>13 08 018 020</t>
  </si>
  <si>
    <t>13 01 000 000</t>
  </si>
  <si>
    <t>13 01 017 000</t>
  </si>
  <si>
    <t>13 01 016 000</t>
  </si>
  <si>
    <t>13 01 018 000</t>
  </si>
  <si>
    <t>13 01 018 019</t>
  </si>
  <si>
    <t>13 01 018 021</t>
  </si>
  <si>
    <t>13 01 018 022</t>
  </si>
  <si>
    <t>13 01 018 020</t>
  </si>
  <si>
    <t>14 01 000 000</t>
  </si>
  <si>
    <t>14 01 035 000</t>
  </si>
  <si>
    <t>14 01 036 000</t>
  </si>
  <si>
    <t>14 01 037 000</t>
  </si>
  <si>
    <t>14 01 020 000</t>
  </si>
  <si>
    <t>16 06 000 000</t>
  </si>
  <si>
    <t>16 06 001 000</t>
  </si>
  <si>
    <t>16 04 000 000</t>
  </si>
  <si>
    <t>16 03 001 000</t>
  </si>
  <si>
    <t>16 04 001 000</t>
  </si>
  <si>
    <t>12 11 000 000</t>
  </si>
  <si>
    <t>12 11 002 000</t>
  </si>
  <si>
    <t>12 11 015 000</t>
  </si>
  <si>
    <t>12 01 000 000</t>
  </si>
  <si>
    <t>12 01 002 000</t>
  </si>
  <si>
    <t>12 01 001 000</t>
  </si>
  <si>
    <t>12 03 000 000</t>
  </si>
  <si>
    <t>12 03 002 000</t>
  </si>
  <si>
    <t>12 03 001 000</t>
  </si>
  <si>
    <t>12 03 013 000</t>
  </si>
  <si>
    <t>12 03 010 000</t>
  </si>
  <si>
    <t>12 03 011 000</t>
  </si>
  <si>
    <t>12 04 000 000</t>
  </si>
  <si>
    <t>12 04 002 000</t>
  </si>
  <si>
    <t>12 04 001 000</t>
  </si>
  <si>
    <t>12 02 000 000</t>
  </si>
  <si>
    <t>12 02 008 000</t>
  </si>
  <si>
    <t>12 02 009 000</t>
  </si>
  <si>
    <t>14 04 000 000</t>
  </si>
  <si>
    <t>14 04 008 000</t>
  </si>
  <si>
    <t>14 04 014 000</t>
  </si>
  <si>
    <t>13 16 000 000</t>
  </si>
  <si>
    <t>13 16 031 000</t>
  </si>
  <si>
    <t>13 16 034 000</t>
  </si>
  <si>
    <t>19 01 001 000</t>
  </si>
  <si>
    <t>19 04 001 000</t>
  </si>
  <si>
    <t>19 03 001 000</t>
  </si>
  <si>
    <t>18 04 001 000</t>
  </si>
  <si>
    <t>12 08 001 000</t>
  </si>
  <si>
    <t>19 07 000 000</t>
  </si>
  <si>
    <t>19 07 063 000</t>
  </si>
  <si>
    <t>16 15 000 000</t>
  </si>
  <si>
    <t>16 15 045 000</t>
  </si>
  <si>
    <t>16 15 046 000</t>
  </si>
  <si>
    <t>16 15 052 000</t>
  </si>
  <si>
    <t>16 15 053 000</t>
  </si>
  <si>
    <t>16 15 036 000</t>
  </si>
  <si>
    <t>16 15 047 000</t>
  </si>
  <si>
    <t>16 15 047 001</t>
  </si>
  <si>
    <t>16 15 048 000</t>
  </si>
  <si>
    <t>16 15 048 049</t>
  </si>
  <si>
    <t>16 15 048 050</t>
  </si>
  <si>
    <t>16 15 051 000</t>
  </si>
  <si>
    <t>16 15 051 017</t>
  </si>
  <si>
    <t>16 15 018 000</t>
  </si>
  <si>
    <t>16 15 018 019</t>
  </si>
  <si>
    <t>16 15 018 021</t>
  </si>
  <si>
    <t>16 15 018 022</t>
  </si>
  <si>
    <t>16 15 018 020</t>
  </si>
  <si>
    <t>16 15 081 000</t>
  </si>
  <si>
    <t>16 15 081 025</t>
  </si>
  <si>
    <t>16 15 081 021</t>
  </si>
  <si>
    <t>16 15 081 020</t>
  </si>
  <si>
    <t>19 06 000 000</t>
  </si>
  <si>
    <t>19 06 061 000</t>
  </si>
  <si>
    <t>19 06 017 000</t>
  </si>
  <si>
    <t>19 08 000 000</t>
  </si>
  <si>
    <t>19 08 062 000</t>
  </si>
  <si>
    <t>12 05 000 000</t>
  </si>
  <si>
    <t>12 05 002 000</t>
  </si>
  <si>
    <t>12 05 001 000</t>
  </si>
  <si>
    <t>11 03 000 000</t>
  </si>
  <si>
    <t>99 06 000 000</t>
  </si>
  <si>
    <t>12 08 000 000</t>
  </si>
  <si>
    <t>11 09 000 000</t>
  </si>
  <si>
    <t>11 09 001 000</t>
  </si>
  <si>
    <t>11 09 002 000</t>
  </si>
  <si>
    <t>11 10 000 000</t>
  </si>
  <si>
    <t>11 10 001 000</t>
  </si>
  <si>
    <t>16 08 000 000</t>
  </si>
  <si>
    <t>16 08 001 000</t>
  </si>
  <si>
    <t>16 09 001 000</t>
  </si>
  <si>
    <t>16 03 000 000</t>
  </si>
  <si>
    <t>18 05 001 000</t>
  </si>
  <si>
    <t>18 08 001 000</t>
  </si>
  <si>
    <t>99 01 001 000</t>
  </si>
  <si>
    <t>18 09 000 000</t>
  </si>
  <si>
    <t>18 09 056 000</t>
  </si>
  <si>
    <t>18 09 057 000</t>
  </si>
  <si>
    <t>18 09 058 000</t>
  </si>
  <si>
    <t>18 01 001 000</t>
  </si>
  <si>
    <t>18 02 001 000</t>
  </si>
  <si>
    <t>14 08 000 000</t>
  </si>
  <si>
    <t>14 08 001 000</t>
  </si>
  <si>
    <t>14 16 000 000</t>
  </si>
  <si>
    <t>14 11 001 000</t>
  </si>
  <si>
    <t>14 16 001 000</t>
  </si>
  <si>
    <t>14 03 000 000</t>
  </si>
  <si>
    <t>14 03 039 000</t>
  </si>
  <si>
    <t>14 03 042 000</t>
  </si>
  <si>
    <t>14 03 038 000</t>
  </si>
  <si>
    <t>14 03 040 000</t>
  </si>
  <si>
    <t>14 03 040 041</t>
  </si>
  <si>
    <t>14 03 040 005</t>
  </si>
  <si>
    <t>14 03 040 006</t>
  </si>
  <si>
    <t>14 03 040 014</t>
  </si>
  <si>
    <t>14 03 040 043</t>
  </si>
  <si>
    <t>18 06 000 000</t>
  </si>
  <si>
    <t>18 06 003 000</t>
  </si>
  <si>
    <t>18 06 004 000</t>
  </si>
  <si>
    <t>18 06 054 000</t>
  </si>
  <si>
    <t>12 01 003 000</t>
  </si>
  <si>
    <t>12 01 004 000</t>
  </si>
  <si>
    <t>12 01 005 000</t>
  </si>
  <si>
    <t>12 01 006 000</t>
  </si>
  <si>
    <t>12 01 007 000</t>
  </si>
  <si>
    <t>12 03 005 000</t>
  </si>
  <si>
    <t>12 03 006 000</t>
  </si>
  <si>
    <t>12 03 012 000</t>
  </si>
  <si>
    <t>12 03 014 000</t>
  </si>
  <si>
    <t>14 10 000 000</t>
  </si>
  <si>
    <t>14 10 001 000</t>
  </si>
  <si>
    <t>14 07 000 000</t>
  </si>
  <si>
    <t>14 07 001 000</t>
  </si>
  <si>
    <t>18 09 059 000</t>
  </si>
  <si>
    <t>18 09 060 000</t>
  </si>
  <si>
    <t>12 09 001 000</t>
  </si>
  <si>
    <t>11 01 001 000</t>
  </si>
  <si>
    <t>11 02 001 000</t>
  </si>
  <si>
    <t>19 07 044 000</t>
  </si>
  <si>
    <t>11 11 001 000</t>
  </si>
  <si>
    <t>13 21 000 000</t>
  </si>
  <si>
    <t>13 21 017 000</t>
  </si>
  <si>
    <t>99 03 000 000</t>
  </si>
  <si>
    <t>14 01 009 000</t>
  </si>
  <si>
    <t>33 08 000 000</t>
  </si>
  <si>
    <t>34 05 000 000</t>
  </si>
  <si>
    <t>34 05 010 045</t>
  </si>
  <si>
    <t>34 05 010 046</t>
  </si>
  <si>
    <t>34 05 010 053</t>
  </si>
  <si>
    <t>34 05 050 019</t>
  </si>
  <si>
    <t>34 05 050 021</t>
  </si>
  <si>
    <t>34 05 050 022</t>
  </si>
  <si>
    <t>34 05 050 020</t>
  </si>
  <si>
    <t>CL10203</t>
  </si>
  <si>
    <t>34 09 000 000</t>
  </si>
  <si>
    <t>34 09 010 045</t>
  </si>
  <si>
    <t>34 09 010 046</t>
  </si>
  <si>
    <t>34 09 010 052</t>
  </si>
  <si>
    <t>34 09 010 053</t>
  </si>
  <si>
    <t>34 09 050 019</t>
  </si>
  <si>
    <t>34 09 050 021</t>
  </si>
  <si>
    <t>34 09 050 022</t>
  </si>
  <si>
    <t>34 09 050 020</t>
  </si>
  <si>
    <t>34 17 000 000</t>
  </si>
  <si>
    <t>34 17 000 245</t>
  </si>
  <si>
    <t>34 17 000 213</t>
  </si>
  <si>
    <t>34 17 000 009</t>
  </si>
  <si>
    <t>35 01 050 000</t>
  </si>
  <si>
    <t>35 01 050 009</t>
  </si>
  <si>
    <t>35 07 000 000</t>
  </si>
  <si>
    <t>35 07 010 000</t>
  </si>
  <si>
    <t>35 07 020 254</t>
  </si>
  <si>
    <t>CC404B</t>
  </si>
  <si>
    <t>CC404BType</t>
  </si>
  <si>
    <t>MCciOperationType40</t>
  </si>
  <si>
    <t>Amendment date and time</t>
  </si>
  <si>
    <t>amendmentDateAndTime</t>
  </si>
  <si>
    <t>Amendment acceptance date and time</t>
  </si>
  <si>
    <t>amendmentAcceptanceDateAndTime</t>
  </si>
  <si>
    <t>MRepresentativeType01</t>
  </si>
  <si>
    <t>CC410B</t>
  </si>
  <si>
    <t>CC410BType</t>
  </si>
  <si>
    <t>MCciOperationType23</t>
  </si>
  <si>
    <t>Invalidation decision date and time</t>
  </si>
  <si>
    <t>invalidationDecisionDateAndTime</t>
  </si>
  <si>
    <t>Invalidation initiated by customs</t>
  </si>
  <si>
    <t>invalidationInitiatedByCustoms</t>
  </si>
  <si>
    <t>Invalidation justification</t>
  </si>
  <si>
    <t>invalidationJustification</t>
  </si>
  <si>
    <t>CC426B</t>
  </si>
  <si>
    <t>CC426BType</t>
  </si>
  <si>
    <t>MCciOperationType42</t>
  </si>
  <si>
    <t>Declaration registration date and time</t>
  </si>
  <si>
    <t>declarationRegistrationDateAndTime</t>
  </si>
  <si>
    <t>Presentation notification due date</t>
  </si>
  <si>
    <t>presentationNotificationDueDate</t>
  </si>
  <si>
    <t>CC428B</t>
  </si>
  <si>
    <t>CC428BType</t>
  </si>
  <si>
    <t>MCciOperationType43</t>
  </si>
  <si>
    <t>Declaration acceptance date and time</t>
  </si>
  <si>
    <t>declarationAcceptanceDateAndTime</t>
  </si>
  <si>
    <t>CC429B</t>
  </si>
  <si>
    <t>CC429BType</t>
  </si>
  <si>
    <t>C0732</t>
  </si>
  <si>
    <t>Declaration acceptance date</t>
  </si>
  <si>
    <t>declarationAcceptanceDate</t>
  </si>
  <si>
    <t>Release date</t>
  </si>
  <si>
    <t>releaseDate</t>
  </si>
  <si>
    <t>S0034</t>
  </si>
  <si>
    <t>C0697
C0616
C0732</t>
  </si>
  <si>
    <t>G0113</t>
  </si>
  <si>
    <t>R0012</t>
  </si>
  <si>
    <t>C0627
C0002
C0732
C0715</t>
  </si>
  <si>
    <t>C0921
C0732</t>
  </si>
  <si>
    <t>G0642</t>
  </si>
  <si>
    <t>S0035</t>
  </si>
  <si>
    <t>C0732
C0618
C0002</t>
  </si>
  <si>
    <t>S0046</t>
  </si>
  <si>
    <t>C0627
C0729
C0732
C0738</t>
  </si>
  <si>
    <t>C0732
C0002
C0654</t>
  </si>
  <si>
    <t>C0627
C0732
C0002</t>
  </si>
  <si>
    <t>C0911
C0625</t>
  </si>
  <si>
    <t>G0923</t>
  </si>
  <si>
    <t>S0037</t>
  </si>
  <si>
    <t>C0853
C0625
C0732
C0626
C0829</t>
  </si>
  <si>
    <t>R0868</t>
  </si>
  <si>
    <t>S0038</t>
  </si>
  <si>
    <t>C0732
C0834</t>
  </si>
  <si>
    <t>S0042</t>
  </si>
  <si>
    <t>C0630
C0732
C0627</t>
  </si>
  <si>
    <t>G0925</t>
  </si>
  <si>
    <t>C0646
C0623</t>
  </si>
  <si>
    <t>S0039</t>
  </si>
  <si>
    <t>C0810
C0931
C0732</t>
  </si>
  <si>
    <t>C0732
C0630
C0627</t>
  </si>
  <si>
    <t>C0715
C0732
C0002
C0627</t>
  </si>
  <si>
    <t>MProcedureType01</t>
  </si>
  <si>
    <t>C0618
C0732
C0002</t>
  </si>
  <si>
    <t>C0732
C0654
C0002</t>
  </si>
  <si>
    <t>S0036</t>
  </si>
  <si>
    <t>S0040</t>
  </si>
  <si>
    <t>C0732
C0654</t>
  </si>
  <si>
    <t>MGoodsMeasureType04</t>
  </si>
  <si>
    <t>S0043</t>
  </si>
  <si>
    <t>C0935
C0732</t>
  </si>
  <si>
    <t>C0936
C0905
C0732</t>
  </si>
  <si>
    <t>C0618
C0710</t>
  </si>
  <si>
    <t>S0033</t>
  </si>
  <si>
    <t>C0630
C0806
C0627</t>
  </si>
  <si>
    <t>C0734</t>
  </si>
  <si>
    <t>S0048</t>
  </si>
  <si>
    <t>C0060
C0732
C0820</t>
  </si>
  <si>
    <t>G0620</t>
  </si>
  <si>
    <t>C0834
C0732</t>
  </si>
  <si>
    <t>Control result</t>
  </si>
  <si>
    <t>ControlResult</t>
  </si>
  <si>
    <t>MControlResultType01</t>
  </si>
  <si>
    <t>G0028</t>
  </si>
  <si>
    <t>CL047</t>
  </si>
  <si>
    <t>ControlResultContentType</t>
  </si>
  <si>
    <t>Date</t>
  </si>
  <si>
    <t>date</t>
  </si>
  <si>
    <t>Remarks</t>
  </si>
  <si>
    <t>remarks</t>
  </si>
  <si>
    <t>Pending sampling results</t>
  </si>
  <si>
    <t>pendingSamplingResults</t>
  </si>
  <si>
    <t>Control results</t>
  </si>
  <si>
    <t>C0913</t>
  </si>
  <si>
    <t>ControlResults</t>
  </si>
  <si>
    <t>MItemControlResultsType04</t>
  </si>
  <si>
    <t>Goods shipment sequence number</t>
  </si>
  <si>
    <t>G0991</t>
  </si>
  <si>
    <t>goodsShipmentSequenceNumber</t>
  </si>
  <si>
    <t>ItemNumberWithZeroContentType</t>
  </si>
  <si>
    <t>Control result code</t>
  </si>
  <si>
    <t>controlResultCode</t>
  </si>
  <si>
    <t>Results of control</t>
  </si>
  <si>
    <t>C0929</t>
  </si>
  <si>
    <t>ResultsOfControl</t>
  </si>
  <si>
    <t>MControlResultType02</t>
  </si>
  <si>
    <t>Risk area code</t>
  </si>
  <si>
    <t>CL740</t>
  </si>
  <si>
    <t>riskAreaCode</t>
  </si>
  <si>
    <t>RiskAreaCodeContentType</t>
  </si>
  <si>
    <t>Control type</t>
  </si>
  <si>
    <t>R0911</t>
  </si>
  <si>
    <t>CL716</t>
  </si>
  <si>
    <t>controlType</t>
  </si>
  <si>
    <t>ControlTypeContentType</t>
  </si>
  <si>
    <t>Control date</t>
  </si>
  <si>
    <t>controlDate</t>
  </si>
  <si>
    <t>Control details</t>
  </si>
  <si>
    <t>G0001</t>
  </si>
  <si>
    <t>C0912</t>
  </si>
  <si>
    <t>ControlDetails</t>
  </si>
  <si>
    <t>MControlDetailsType</t>
  </si>
  <si>
    <t>Type of discrepancies</t>
  </si>
  <si>
    <t>CL790</t>
  </si>
  <si>
    <t>typeOfDiscrepancies</t>
  </si>
  <si>
    <t>DiscrepanciesContentType</t>
  </si>
  <si>
    <t>Attribute pointer</t>
  </si>
  <si>
    <t>G0004</t>
  </si>
  <si>
    <t>attributePointer</t>
  </si>
  <si>
    <t>Corrected value</t>
  </si>
  <si>
    <t>G0980</t>
  </si>
  <si>
    <t>correctedValue</t>
  </si>
  <si>
    <t>C0909</t>
  </si>
  <si>
    <t>CC431B</t>
  </si>
  <si>
    <t>CC431BType</t>
  </si>
  <si>
    <t>MCciOperationType01</t>
  </si>
  <si>
    <t>Timer expiry for supplementary declaration</t>
  </si>
  <si>
    <t>TimerExpiryForSupplementaryDeclaration</t>
  </si>
  <si>
    <t>MTimerExpiryType</t>
  </si>
  <si>
    <t>Lodgement of supplementary declaration start date</t>
  </si>
  <si>
    <t>lodgementOfSupplementaryDeclarationStartDate</t>
  </si>
  <si>
    <t>Lodgement of supplementary declaration expiry date</t>
  </si>
  <si>
    <t>lodgementOfSupplementaryDeclarationExpiryDate</t>
  </si>
  <si>
    <t>Timer expiry information</t>
  </si>
  <si>
    <t>timerExpiryInformation</t>
  </si>
  <si>
    <t>CC438B</t>
  </si>
  <si>
    <t>CC438BType</t>
  </si>
  <si>
    <t>Reminder details</t>
  </si>
  <si>
    <t>ReminderDetails</t>
  </si>
  <si>
    <t>MReminderDetailsType</t>
  </si>
  <si>
    <t>Request date</t>
  </si>
  <si>
    <t>requestDate</t>
  </si>
  <si>
    <t>Expiration date</t>
  </si>
  <si>
    <t>expirationDate</t>
  </si>
  <si>
    <t>CC444B</t>
  </si>
  <si>
    <t>CC444BType</t>
  </si>
  <si>
    <t>MItemControlResultsType01</t>
  </si>
  <si>
    <t>G0927</t>
  </si>
  <si>
    <t>CC447B</t>
  </si>
  <si>
    <t>CC447BType</t>
  </si>
  <si>
    <t>MControlResultType04</t>
  </si>
  <si>
    <t>Supporting documents provided</t>
  </si>
  <si>
    <t>supportingDocumentsProvided</t>
  </si>
  <si>
    <t>MItemControlResultsType03</t>
  </si>
  <si>
    <t>MControlResultType05</t>
  </si>
  <si>
    <t>CC451B</t>
  </si>
  <si>
    <t>CC451BType</t>
  </si>
  <si>
    <t>MCciOperationType05</t>
  </si>
  <si>
    <t>Decision date</t>
  </si>
  <si>
    <t>decisionDate</t>
  </si>
  <si>
    <t>Decision reason</t>
  </si>
  <si>
    <t>decisionReason</t>
  </si>
  <si>
    <t>C0616
C0732
C0697</t>
  </si>
  <si>
    <t>CC456B</t>
  </si>
  <si>
    <t>CC456BType</t>
  </si>
  <si>
    <t>MCciOperationType18</t>
  </si>
  <si>
    <t>C0910</t>
  </si>
  <si>
    <t>Business rejection type</t>
  </si>
  <si>
    <t>CL185</t>
  </si>
  <si>
    <t>businessRejectionType</t>
  </si>
  <si>
    <t>RejectionTypeContentType</t>
  </si>
  <si>
    <t>Rejection date and time</t>
  </si>
  <si>
    <t>rejectionDateAndTime</t>
  </si>
  <si>
    <t>Rejection code</t>
  </si>
  <si>
    <t>R0908</t>
  </si>
  <si>
    <t>CL456</t>
  </si>
  <si>
    <t>rejectionCode</t>
  </si>
  <si>
    <t>RejectionCodeContentType</t>
  </si>
  <si>
    <t>Rejection reason</t>
  </si>
  <si>
    <t>C0492</t>
  </si>
  <si>
    <t>rejectionReason</t>
  </si>
  <si>
    <t>Functional error</t>
  </si>
  <si>
    <t>G0123</t>
  </si>
  <si>
    <t>C0733</t>
  </si>
  <si>
    <t>FunctionalError</t>
  </si>
  <si>
    <t>MFunctionalErrorType01</t>
  </si>
  <si>
    <t>Error pointer</t>
  </si>
  <si>
    <t>G0909</t>
  </si>
  <si>
    <t>errorPointer</t>
  </si>
  <si>
    <t>Error code</t>
  </si>
  <si>
    <t>CL180</t>
  </si>
  <si>
    <t>errorCode</t>
  </si>
  <si>
    <t>ErrorCodeContentType</t>
  </si>
  <si>
    <t>Error reason</t>
  </si>
  <si>
    <t>G0910</t>
  </si>
  <si>
    <t>errorReason</t>
  </si>
  <si>
    <t>ErrorReasonContentType</t>
  </si>
  <si>
    <t>C0908</t>
  </si>
  <si>
    <t>Original attribute value</t>
  </si>
  <si>
    <t>originalAttributeValue</t>
  </si>
  <si>
    <t>CC457B</t>
  </si>
  <si>
    <t>CC457BType</t>
  </si>
  <si>
    <t>MCciOperationType30</t>
  </si>
  <si>
    <t>Presentation notification registration date and time</t>
  </si>
  <si>
    <t>presentationNotificationRegistrationDateAndTime</t>
  </si>
  <si>
    <t>CL754
CL380
CL213</t>
  </si>
  <si>
    <t>MRequestedDocumentsType02</t>
  </si>
  <si>
    <t>C0455</t>
  </si>
  <si>
    <t>MControlDecisionType</t>
  </si>
  <si>
    <t>TypeOfControls</t>
  </si>
  <si>
    <t>C0452</t>
  </si>
  <si>
    <t>Type of controls</t>
  </si>
  <si>
    <t>anticipatedControlDate</t>
  </si>
  <si>
    <t>Anticipated control date</t>
  </si>
  <si>
    <t>NotificationTypeContentType</t>
  </si>
  <si>
    <t>notificationType</t>
  </si>
  <si>
    <t>CL384</t>
  </si>
  <si>
    <t>Notification type</t>
  </si>
  <si>
    <t>notificationDate</t>
  </si>
  <si>
    <t>Notification date</t>
  </si>
  <si>
    <t>MCciOperationType13</t>
  </si>
  <si>
    <t>CC460BType</t>
  </si>
  <si>
    <t>CC460B</t>
  </si>
  <si>
    <t>CC462B</t>
  </si>
  <si>
    <t>CC462BType</t>
  </si>
  <si>
    <t>MCciOperationType35</t>
  </si>
  <si>
    <t>Date of request</t>
  </si>
  <si>
    <t>dateOfRequest</t>
  </si>
  <si>
    <t>Presentation notification period</t>
  </si>
  <si>
    <t>R0876</t>
  </si>
  <si>
    <t>C0677</t>
  </si>
  <si>
    <t>PresentationNotificationPeriod</t>
  </si>
  <si>
    <t>MPresentationNotificationPeriodType</t>
  </si>
  <si>
    <t>Start date</t>
  </si>
  <si>
    <t>startDate</t>
  </si>
  <si>
    <t>End date</t>
  </si>
  <si>
    <t>endDate</t>
  </si>
  <si>
    <t>MAuthorisationType03</t>
  </si>
  <si>
    <t>R0937</t>
  </si>
  <si>
    <t>MCommodityType05</t>
  </si>
  <si>
    <t>R0893</t>
  </si>
  <si>
    <t>R0877</t>
  </si>
  <si>
    <t>MLocationOfGoodsType02</t>
  </si>
  <si>
    <t>C0926
C0685</t>
  </si>
  <si>
    <t>C0683</t>
  </si>
  <si>
    <t>n..5
pattern: [0-9]{0,5}
minInclusive: 0
maxInclusive: 99999</t>
  </si>
  <si>
    <t>an..7
pattern: [a-zA-Z0-9]{1,7}
maxLength: 7</t>
  </si>
  <si>
    <t>an..3
pattern: [a-zA-Z0-9]{1,3}
maxLength: 3</t>
  </si>
  <si>
    <t>an..2
pattern: [a-zA-Z0-9]{1,2}
maxLength: 2</t>
  </si>
  <si>
    <t>an..10
pattern: \P{Z}(.*\P{Z})?
maxLength: 10</t>
  </si>
  <si>
    <t>MCciOperationType10</t>
  </si>
  <si>
    <t>MDeclarantType01</t>
  </si>
  <si>
    <t>MGuaranteeType</t>
  </si>
  <si>
    <t>MGoodsShipmentType01</t>
  </si>
  <si>
    <t>MDeliveryTermsType</t>
  </si>
  <si>
    <t>MSupportingDocumentType02</t>
  </si>
  <si>
    <t>MAdditionsAndDeductionsType</t>
  </si>
  <si>
    <t>MConsignmentType05</t>
  </si>
  <si>
    <t>MGoodsShipmentItemType01</t>
  </si>
  <si>
    <t>MCommodityType01</t>
  </si>
  <si>
    <t>MCommodityCodeType04</t>
  </si>
  <si>
    <t>MCalculationOfTaxesType01</t>
  </si>
  <si>
    <t>MDutiesAndTaxesType01</t>
  </si>
  <si>
    <t>MTaxBaseType01</t>
  </si>
  <si>
    <t>MPackagingType03</t>
  </si>
  <si>
    <t>MSupportingDocumentType01</t>
  </si>
  <si>
    <t>MCustomsValuationType</t>
  </si>
  <si>
    <t>18 01 000 000
18 02 000 000
18 04 000 000</t>
  </si>
  <si>
    <t>18 05 000 000
18 08 000 000</t>
  </si>
  <si>
    <t>18 09 000 000
18 10 000 000</t>
  </si>
  <si>
    <r>
      <rPr>
        <b/>
        <sz val="10"/>
        <color indexed="8"/>
        <rFont val="Arial"/>
      </rPr>
      <t>Name</t>
    </r>
  </si>
  <si>
    <r>
      <rPr>
        <b/>
        <sz val="10"/>
        <color indexed="8"/>
        <rFont val="Arial"/>
      </rPr>
      <t>Description</t>
    </r>
  </si>
  <si>
    <r>
      <rPr>
        <b/>
        <sz val="10"/>
        <color indexed="8"/>
        <rFont val="Arial"/>
      </rPr>
      <t>Rule/Condition/
Guideline/
Sequencing Rule</t>
    </r>
  </si>
  <si>
    <r>
      <rPr>
        <sz val="10"/>
        <color indexed="8"/>
        <rFont val="Arial"/>
      </rPr>
      <t>C0002</t>
    </r>
  </si>
  <si>
    <r>
      <rPr>
        <sz val="10"/>
        <color indexed="8"/>
        <rFont val="Arial"/>
      </rPr>
      <t>If this DG/DI is declared at SI level for at least one Goods Item _x000D_
THEN it must be declared in all Goods Items and it cannot be declared at GS level _x000D_
ELSE It must be declared at GS level.</t>
    </r>
  </si>
  <si>
    <r>
      <rPr>
        <sz val="10"/>
        <color indexed="8"/>
        <rFont val="Arial"/>
      </rPr>
      <t>Condition</t>
    </r>
  </si>
  <si>
    <r>
      <rPr>
        <sz val="10"/>
        <color indexed="8"/>
        <rFont val="Arial"/>
      </rPr>
      <t>C0060</t>
    </r>
  </si>
  <si>
    <r>
      <rPr>
        <sz val="10"/>
        <color indexed="8"/>
        <rFont val="Arial"/>
      </rPr>
      <t>C0130</t>
    </r>
  </si>
  <si>
    <r>
      <rPr>
        <sz val="10"/>
        <color indexed="8"/>
        <rFont val="Arial"/>
      </rPr>
      <t>IF &lt;GRN&gt; = 'N'_x000D_
THEN &lt;Other guarantee reference&gt; = 'R' and &lt;CC qualifier&gt; = 'R'_x000D_
ELSE &lt;Other guarantee reference&gt; = 'N' and &lt;CC qualifier&gt; = 'O'</t>
    </r>
  </si>
  <si>
    <r>
      <rPr>
        <sz val="10"/>
        <color indexed="8"/>
        <rFont val="Arial"/>
      </rPr>
      <t>C0298</t>
    </r>
  </si>
  <si>
    <r>
      <rPr>
        <sz val="10"/>
        <color indexed="8"/>
        <rFont val="Arial"/>
      </rPr>
      <t>IF &lt;quantity&gt; is PRESENT _x000D_
THEN &lt;measurementUnitAndQualifier&gt; = 'R' _x000D_
ELSE &lt;measurementUnitAndQualifier&gt; = 'N'</t>
    </r>
  </si>
  <si>
    <r>
      <rPr>
        <sz val="10"/>
        <color indexed="8"/>
        <rFont val="Arial"/>
      </rPr>
      <t>C0382</t>
    </r>
  </si>
  <si>
    <r>
      <rPr>
        <sz val="10"/>
        <color indexed="8"/>
        <rFont val="Arial"/>
      </rPr>
      <t>IF /*/GoodsShipment/Consignment/LocationOfGoods/PostcodeAddress/country is in SET CL198_x000D_
THEN /*/GoodsShipment/Consignment/LocationOfGoods/PostcodeAddress/houseNumber = 'O'_x000D_
ELSE /*/GoodsShipment/Consignment/LocationOfGoods/PostcodeAddress/houseNumber = 'R';</t>
    </r>
  </si>
  <si>
    <r>
      <rPr>
        <sz val="10"/>
        <color indexed="8"/>
        <rFont val="Arial"/>
      </rPr>
      <t>C0394</t>
    </r>
  </si>
  <si>
    <r>
      <rPr>
        <sz val="10"/>
        <color indexed="8"/>
        <rFont val="Arial"/>
      </rPr>
      <t>IF &lt;qualifierOfIdentification&gt; = 'Z'_x000D_
THEN Address = "R", UNLocode = "N", CustomsOffice = "N", GNSS = "N", authorisationNumber = "N", EconomicOperator = "N", PostcodeAddress = "N"_x000D_
ELSE IF &lt;qualifierOfIdentification&gt; = 'X'_x000D_
THEN Address = "N", UNLocode = "N", CustomsOffice = "N", GNSS = "N", authorisationNumber = "N",  EconomicOperator = "R", PostcodeAddress = "N"_x000D_
ELSE IF &lt;qualifierOfIdentification&gt; = 'Y'_x000D_
THEN Address = "N", UNLocode = "N", CustomsOffice = "N", GNSS = "N", authorisationNumber = "R",  EconomicOperator = "N", PostcodeAddress = "N"_x000D_
ELSE IF &lt;qualifierOfIdentification&gt; = 'W'_x000D_
THEN Address = "N", UNLocode = "N", CustomsOffice = "N", GNSS = "R", authorisationNumber = "N",  EconomicOperator = "N", PostcodeAddress = "N"_x000D_
ELSE IF &lt;qualifierOfIdentification&gt; = 'V'_x000D_
THEN Address = "N", UNLocode = "N", CustomsOffice = "R", GNSS = "N", authorisationNumber = "N",  EconomicOperator = "N", PostcodeAddress = "N"_x000D_
ELSE IF &lt;qualifierOfIdentification&gt; = 'U'_x000D_
THEN Address = "N", UNLocode = "R", CustomsOffice = "N", GNSS = "N", authorisationNumber = "N",  EconomicOperator = "N", PostcodeAddress = "N"_x000D_
ELSE IF &lt;qualifierOfIdentification&gt; = 'T'_x000D_
THEN Address = "N", UNLocode = "N", CustomsOffice = "N", GNSS = "N", authorisationNumber = "N",  EconomicOperator = "N", PostcodeAddress = "R"</t>
    </r>
  </si>
  <si>
    <r>
      <rPr>
        <sz val="10"/>
        <color indexed="8"/>
        <rFont val="Arial"/>
      </rPr>
      <t>C0505</t>
    </r>
  </si>
  <si>
    <r>
      <rPr>
        <sz val="10"/>
        <color indexed="8"/>
        <rFont val="Arial"/>
      </rPr>
      <t>IF &lt;Country&gt; is in SET CL505_x000D_
THEN &lt;Postcode&gt; = "O"_x000D_
ELSE &lt;Postcode&gt; = "R"</t>
    </r>
  </si>
  <si>
    <r>
      <rPr>
        <sz val="10"/>
        <color indexed="8"/>
        <rFont val="Arial"/>
      </rPr>
      <t>C0596</t>
    </r>
  </si>
  <si>
    <r>
      <rPr>
        <sz val="10"/>
        <color indexed="8"/>
        <rFont val="Arial"/>
      </rPr>
      <t>IF /*/GoodsShipment/DeliveryTerms/incotermCode is EQUAL to 'XXX'_x000D_
THEN_x000D_
/*/GoodsShipment/DeliveryTerms/text = "R" AND_x000D_
/*/GoodsShipment/DeliveryTerms/UNLocode = "O" AND_x000D_
/*/GoodsShipment/DeliveryTerms/location = "O" AND_x000D_
/*/GoodsShipment/DeliveryTerms/country = "O"_x000D_
ELSE_x000D_
(/*/GoodsShipment/DeliveryTerms/UNLocode = "R" AND_x000D_
/*/GoodsShipment/DeliveryTerms/location = "O" AND_x000D_
/*/GoodsShipment/DeliveryTerms/country = "O" AND_x000D_
/*/GoodsShipment/DeliveryTerms/text = "N")_x000D_
OR_x000D_
(/*/GoodsShipment/DeliveryTerms/UNLocode = "O" AND_x000D_
/*/GoodsShipment/DeliveryTerms/location = "R" AND_x000D_
/*/GoodsShipment/DeliveryTerms/country = "R" AND_x000D_
/*/GoodsShipment/DeliveryTerms/text = "N")</t>
    </r>
  </si>
  <si>
    <r>
      <rPr>
        <sz val="10"/>
        <color indexed="8"/>
        <rFont val="Arial"/>
      </rPr>
      <t>C0616</t>
    </r>
  </si>
  <si>
    <r>
      <rPr>
        <sz val="10"/>
        <color indexed="8"/>
        <rFont val="Arial"/>
      </rPr>
      <t>IF &lt;Requested procedure&gt; IN [01, 07, 40, 42, 43, 45, 53, 61, 63, 68] and method Of Payment IN [‘O’, ‘R’, ‘S’, ‘T’, ‘U’, ‘V’, ‘G’] THEN this DG/DI = ‘R’_x000D_
ELSE IF ( &lt;Requested procedure&gt; = 51 AND &lt;Previous procedure&gt; &lt;&gt; '11') OR (&lt;Requested procedure&gt; IN [44, 46, 48]) THEN this DG/DI = ‘R’_x000D_
ELSE IF &lt;Requested procedure&gt; = 71 OR (&lt;Requested procedure&gt; = 51 AND &lt;Previous procedure&gt; = 11) THEN this DG/DI = ‘N’_x000D_
ELSE this DG/DI = ‘O’</t>
    </r>
  </si>
  <si>
    <r>
      <rPr>
        <sz val="10"/>
        <color indexed="8"/>
        <rFont val="Arial"/>
      </rPr>
      <t>C0617</t>
    </r>
  </si>
  <si>
    <r>
      <rPr>
        <sz val="10"/>
        <color indexed="8"/>
        <rFont val="Arial"/>
      </rPr>
      <t xml:space="preserve">IF &lt;DECLARANT.Identification number&gt; is PRESENT AND is resolvable by the national application_x000D_
THEN &lt;DECLARANT.Name&gt; = "N" AND&lt;DECLARANT.Address&gt; = "N"_x000D_
ELSE&lt;DECLARANT.Name&gt; = "R" AND&lt;DECLARANT.Address&gt; = "R";_x000D_
IF &lt;EXPORTER.Identification number&gt; is PRESENT AND is resolvable by the national application_x000D_
THEN&lt;EXPORTER.Name&gt; = "N" AND&lt;EXPORTER.Address&gt; = "N"_x000D_
ELSE&lt;EXPORTER.Name&gt; = "R" AND&lt;EXPORTER.Address&gt; = "R";_x000D_
IF &lt;IMPORTER.Identification number&gt; is PRESENT AND is resolvable by the national application_x000D_
THEN&lt;IMPORTER.Name&gt; = "N" AND&lt;IMPORTER.Address&gt; = "N"_x000D_
ELSE&lt;IMPORTER.Name&gt; = "R" AND&lt;IMPORTER.Address&gt; = "R";_x000D_
IF &lt;BUYER.Identification number&gt; is PRESENT AND is resolvable by the national application_x000D_
THEN&lt;BUYER.Name&gt; = "N" AND&lt;BUYER.Address&gt; = "N"_x000D_
ELSE&lt;BUYER.Name&gt; = "R" AND&lt;BUYER.Address&gt; = "R";_x000D_
IF &lt;SELLER.Identification number&gt; is PRESENT AND is resolvable by the national application_x000D_
THEN&lt;SELLER.Name&gt; = "N" AND&lt;SELLER.Address&gt; = "N"_x000D_
ELSE&lt;SELLER.Name&gt; = "R" AND&lt;SELLER.Address&gt; = "R"; _x000D_
[DA note 6] </t>
    </r>
  </si>
  <si>
    <r>
      <rPr>
        <sz val="10"/>
        <color indexed="8"/>
        <rFont val="Arial"/>
      </rPr>
      <t>C0618</t>
    </r>
  </si>
  <si>
    <r>
      <rPr>
        <sz val="10"/>
        <color indexed="8"/>
        <rFont val="Arial"/>
      </rPr>
      <t>IF &lt;Requested procedure&gt; = '71'_x000D_
THEN this DG/DI = 'N'_x000D_
ELSE this DG/DI = 'R', except where additional conditions or rules for the same DG/DI imply something else.</t>
    </r>
  </si>
  <si>
    <r>
      <rPr>
        <sz val="10"/>
        <color indexed="8"/>
        <rFont val="Arial"/>
      </rPr>
      <t>C0619</t>
    </r>
  </si>
  <si>
    <r>
      <rPr>
        <sz val="10"/>
        <color indexed="8"/>
        <rFont val="Arial"/>
      </rPr>
      <t>IF &lt;Requested procedure&gt; = '71'_x000D_
THEN this DG/DI = 'N'_x000D_
ELSE this DG/DI = 'O'</t>
    </r>
  </si>
  <si>
    <r>
      <rPr>
        <sz val="10"/>
        <color indexed="8"/>
        <rFont val="Arial"/>
      </rPr>
      <t>C0623</t>
    </r>
  </si>
  <si>
    <r>
      <rPr>
        <sz val="10"/>
        <color indexed="8"/>
        <rFont val="Arial"/>
      </rPr>
      <t>IF &lt;Additional declaration type&gt; IN ['C', 'F'] OR &lt;Requested procedure&gt; = '71'_x000D_
THEN this DG/DI = 'N'_x000D_
ELSE this DG/DI = 'O', except where additional conditions or rules for the same DG/DI imply something else.</t>
    </r>
  </si>
  <si>
    <r>
      <rPr>
        <sz val="10"/>
        <color indexed="8"/>
        <rFont val="Arial"/>
      </rPr>
      <t>C0624</t>
    </r>
  </si>
  <si>
    <r>
      <rPr>
        <sz val="10"/>
        <color indexed="8"/>
        <rFont val="Arial"/>
      </rPr>
      <t>IF Additional declaration type IN ['C', 'F'] OR Requested procedure IN ['53', '71']_x000D_
THEN this DG / DI = 'N'_x000D_
ELSE this DG / DI = 'O'</t>
    </r>
  </si>
  <si>
    <r>
      <rPr>
        <sz val="10"/>
        <color indexed="8"/>
        <rFont val="Arial"/>
      </rPr>
      <t>C0625</t>
    </r>
  </si>
  <si>
    <r>
      <rPr>
        <sz val="10"/>
        <color indexed="8"/>
        <rFont val="Arial"/>
      </rPr>
      <t>IF &lt;Additional declaration type&gt; IN ['C', 'F']_x000D_
THEN this DG/DI = 'N'_x000D_
ELSE this DG/DI = 'O', except where additional conditions or rules for the same DG/DI imply something else.</t>
    </r>
  </si>
  <si>
    <r>
      <rPr>
        <sz val="10"/>
        <color indexed="8"/>
        <rFont val="Arial"/>
      </rPr>
      <t>C0626</t>
    </r>
  </si>
  <si>
    <r>
      <rPr>
        <sz val="10"/>
        <color indexed="8"/>
        <rFont val="Arial"/>
      </rPr>
      <t>IF &lt;Additional declaration type&gt; IN ['A', 'D'] AND &lt;Requested procedure&gt; = '71'_x000D_
THEN this DG/DI = 'R'_x000D_
ELSE this DG/DI = 'O', except where additional conditions or rules for the same DG/DI imply something else.</t>
    </r>
  </si>
  <si>
    <r>
      <rPr>
        <sz val="10"/>
        <color indexed="8"/>
        <rFont val="Arial"/>
      </rPr>
      <t>C0627</t>
    </r>
  </si>
  <si>
    <r>
      <rPr>
        <sz val="10"/>
        <color indexed="8"/>
        <rFont val="Arial"/>
      </rPr>
      <t>IF &lt;Additional declaration type&gt; IN ['C', 'F']_x000D_
THEN this DG/DI = 'N'_x000D_
ELSE this DG/DI = 'R', except where additional conditions or rules for the same DG/DI imply something else.</t>
    </r>
  </si>
  <si>
    <r>
      <rPr>
        <sz val="10"/>
        <color indexed="8"/>
        <rFont val="Arial"/>
      </rPr>
      <t>C0628</t>
    </r>
  </si>
  <si>
    <r>
      <rPr>
        <sz val="10"/>
        <color indexed="8"/>
        <rFont val="Arial"/>
      </rPr>
      <t>IF &lt;Additional declaration type&gt; IN ['D', 'F']_x000D_
THEN this DG/DI = 'O'_x000D_
ELSE this DG/DI = 'R'</t>
    </r>
  </si>
  <si>
    <r>
      <rPr>
        <sz val="10"/>
        <color indexed="8"/>
        <rFont val="Arial"/>
      </rPr>
      <t>C0630</t>
    </r>
  </si>
  <si>
    <r>
      <rPr>
        <sz val="10"/>
        <color indexed="8"/>
        <rFont val="Arial"/>
      </rPr>
      <t>IF &lt;Additional declaration type&gt; IN ['A', 'D', 'Y'] AND &lt;Requested procedure&gt; = '71'_x000D_
THEN this DG/DI = 'O'_x000D_
ELSE this DG/DI = 'R', except where additional conditions or rules for the same DG/DI imply something else.</t>
    </r>
  </si>
  <si>
    <r>
      <rPr>
        <sz val="10"/>
        <color indexed="8"/>
        <rFont val="Arial"/>
      </rPr>
      <t>C0646</t>
    </r>
  </si>
  <si>
    <r>
      <rPr>
        <sz val="10"/>
        <color indexed="8"/>
        <rFont val="Arial"/>
      </rPr>
      <t>IF  &lt;Mode Of Transport At The Border&gt; is in SET {‘5’, ‘7’}_x000D_
THEN this DG/DI = 'N'_x000D_
ELSE this DG/DI = 'O''</t>
    </r>
  </si>
  <si>
    <r>
      <rPr>
        <sz val="10"/>
        <color indexed="8"/>
        <rFont val="Arial"/>
      </rPr>
      <t>C0648</t>
    </r>
  </si>
  <si>
    <r>
      <rPr>
        <sz val="10"/>
        <color indexed="8"/>
        <rFont val="Arial"/>
      </rPr>
      <t>IF 'Guarantee Type'  IN ['0', '1', '2', '4']_x000D_
THEN 'GRN' = 'R'_x000D_
ELSE 'GRN' = 'N'</t>
    </r>
  </si>
  <si>
    <r>
      <rPr>
        <sz val="10"/>
        <color indexed="8"/>
        <rFont val="Arial"/>
      </rPr>
      <t>C0654</t>
    </r>
  </si>
  <si>
    <r>
      <rPr>
        <sz val="10"/>
        <color indexed="8"/>
        <rFont val="Arial"/>
      </rPr>
      <t>IF &lt;Requested procedure code&gt; = ‘71’  _x000D_
THEN this DG/DI = 'O‘  _x000D_
ELSE this DG/DI = 'R', except where additional conditions or rules for the same DG/DI imply something else.</t>
    </r>
  </si>
  <si>
    <r>
      <rPr>
        <sz val="10"/>
        <color indexed="8"/>
        <rFont val="Arial"/>
      </rPr>
      <t>C0691</t>
    </r>
  </si>
  <si>
    <r>
      <rPr>
        <sz val="10"/>
        <color indexed="8"/>
        <rFont val="Arial"/>
      </rPr>
      <t>IF 'Additional declaration type' IN ['C', 'F'] OR 'Requested procedure' IN ['51', '53', '71'] OR 'Additional procedure' = 'F15' _x000D_
THEN this data group / data item is = 'O' _x000D_
ELSE this data group / data item = 'R'</t>
    </r>
  </si>
  <si>
    <r>
      <rPr>
        <sz val="10"/>
        <color indexed="8"/>
        <rFont val="Arial"/>
      </rPr>
      <t>C0697</t>
    </r>
  </si>
  <si>
    <r>
      <rPr>
        <sz val="10"/>
        <color indexed="8"/>
        <rFont val="Arial"/>
      </rPr>
      <t>IF 'Additional declaration type' = 'C', 'F', OR 'Requested procedure code' = '71' OR 'Additional procedure code' = 'F15' THEN this data group / data item = 'N'ELSE this data group / data item = 'O' except where additional conditions or rules for the same data group/attribute imply something else</t>
    </r>
  </si>
  <si>
    <r>
      <rPr>
        <sz val="10"/>
        <color indexed="8"/>
        <rFont val="Arial"/>
      </rPr>
      <t>C0699</t>
    </r>
  </si>
  <si>
    <r>
      <rPr>
        <sz val="10"/>
        <color indexed="8"/>
        <rFont val="Arial"/>
      </rPr>
      <t>IF the first digit of &lt;Preference&gt; (D.E. 14 11 000 000) IN ['2', '3'] _x000D_
THEN this DG/DI = 'R' _x000D_
ELSE this DG/DI = 'N'</t>
    </r>
  </si>
  <si>
    <r>
      <rPr>
        <sz val="10"/>
        <color indexed="8"/>
        <rFont val="Arial"/>
      </rPr>
      <t>C0710</t>
    </r>
  </si>
  <si>
    <r>
      <rPr>
        <sz val="10"/>
        <color indexed="8"/>
        <rFont val="Arial"/>
      </rPr>
      <t>IF 'Additional declaration type' ='A', 'D', 'Y', 'U', 'V', 'Z' THEN this data group / data element is = 'R' ELSE this data group / data element is = 'O'</t>
    </r>
  </si>
  <si>
    <r>
      <rPr>
        <sz val="10"/>
        <color indexed="8"/>
        <rFont val="Arial"/>
      </rPr>
      <t>C0715</t>
    </r>
  </si>
  <si>
    <r>
      <rPr>
        <sz val="10"/>
        <color indexed="8"/>
        <rFont val="Arial"/>
      </rPr>
      <t>IF &lt;Requested procedure code&gt; in ['53', '71'] OR &lt;Additional procedure code&gt; = 'F15'  _x000D_
THEN this data group / data item = 'O' _x000D_
ELSE this data group / data item = 'R' except where additional conditions or rules for the same data group/attribute imply something else</t>
    </r>
  </si>
  <si>
    <r>
      <rPr>
        <sz val="10"/>
        <color indexed="8"/>
        <rFont val="Arial"/>
      </rPr>
      <t>C0728</t>
    </r>
  </si>
  <si>
    <r>
      <rPr>
        <sz val="10"/>
        <color indexed="8"/>
        <rFont val="Arial"/>
      </rPr>
      <t xml:space="preserve">IF ‘Requested procedure' = '51', '71', '53' OR 'Additional procedure' = 'F15' OR 'Additional declaration type' = 'C', 'F' _x000D_
THEN this data group/data item = ‘N’ _x000D_
ELSE this data group/data item = ‘O’ </t>
    </r>
  </si>
  <si>
    <r>
      <rPr>
        <sz val="10"/>
        <color indexed="8"/>
        <rFont val="Arial"/>
      </rPr>
      <t>C0729</t>
    </r>
  </si>
  <si>
    <r>
      <rPr>
        <sz val="10"/>
        <color indexed="8"/>
        <rFont val="Arial"/>
      </rPr>
      <t>IF &lt;Additional declaration type&gt; IN ['A', 'D', 'Y'] AND &lt;Requested procedure&gt; in ['71', ‘53’] _x000D_
THEN this DG/DI = 'O' _x000D_
ELSE this DG/DI = 'R', except where additional conditions or rules for the same DG/DI imply something else.</t>
    </r>
  </si>
  <si>
    <r>
      <rPr>
        <sz val="10"/>
        <color indexed="8"/>
        <rFont val="Arial"/>
      </rPr>
      <t>C0737</t>
    </r>
  </si>
  <si>
    <r>
      <rPr>
        <sz val="10"/>
        <color indexed="8"/>
        <rFont val="Arial"/>
      </rPr>
      <t>IF the data group / data item is used on SI level AND ValuationMethod.Code = '1'_x000D_
THEN the data group / data item = 'R'_x000D_
ELSE this data group / data item = ‘O’</t>
    </r>
  </si>
  <si>
    <r>
      <rPr>
        <sz val="10"/>
        <color indexed="8"/>
        <rFont val="Arial"/>
      </rPr>
      <t>C0738</t>
    </r>
  </si>
  <si>
    <r>
      <rPr>
        <sz val="10"/>
        <color indexed="8"/>
        <rFont val="Arial"/>
      </rPr>
      <t xml:space="preserve"> IF ValuationMethod.Code = '1' for AT LEAST ONE ITEM _x000D_
THEN the data group / data item = 'R' _x000D_
ELSE this data group / data item = ‘O’ except where additional rules and additional conditions for the same data group/attribute imply something else.</t>
    </r>
  </si>
  <si>
    <r>
      <rPr>
        <sz val="10"/>
        <color indexed="8"/>
        <rFont val="Arial"/>
      </rPr>
      <t>C0739</t>
    </r>
  </si>
  <si>
    <r>
      <rPr>
        <sz val="10"/>
        <color indexed="8"/>
        <rFont val="Arial"/>
      </rPr>
      <t xml:space="preserve">IF Additional declaration type IN ['Z', 'V'] _x000D_
THEN this DG / DI = 'R' _x000D_
ELSE this DG / DI = 'N' </t>
    </r>
  </si>
  <si>
    <r>
      <rPr>
        <sz val="10"/>
        <color indexed="8"/>
        <rFont val="Arial"/>
      </rPr>
      <t>C0806</t>
    </r>
  </si>
  <si>
    <r>
      <rPr>
        <sz val="10"/>
        <color indexed="8"/>
        <rFont val="Arial"/>
      </rPr>
      <t>IF 'Requested procedure' = '01', '07', '40', '42', '43', '44', '45', '46', '48', '51', ‘53’, ‘61', '63', '68' OR 'Additional procedure' = 'F15' THEN this data group / data item = 'R' ELSE 'Requested procedure' = '71' THEN this data group / data item = 'O'</t>
    </r>
  </si>
  <si>
    <r>
      <rPr>
        <sz val="10"/>
        <color indexed="8"/>
        <rFont val="Arial"/>
      </rPr>
      <t>C0809</t>
    </r>
  </si>
  <si>
    <r>
      <rPr>
        <sz val="10"/>
        <color indexed="8"/>
        <rFont val="Arial"/>
      </rPr>
      <t>IF 'Requested procedure' = "51" OR "71" OR IF 'Person Paying the Customs Duty identification No.' = 'Declarant identification No.'THEN this data group / data item = 'N'ELSE this data group / data item = 'O' except where additional conditions or rules for the same data group/attribute imply something else</t>
    </r>
  </si>
  <si>
    <r>
      <rPr>
        <sz val="10"/>
        <color indexed="8"/>
        <rFont val="Arial"/>
      </rPr>
      <t>C0810</t>
    </r>
  </si>
  <si>
    <r>
      <rPr>
        <sz val="10"/>
        <color indexed="8"/>
        <rFont val="Arial"/>
      </rPr>
      <t xml:space="preserve">IF 'Additional procedure' = 'F15'THEN this data group / data item = ‘O’ELSE this data group / data item = ‘R’ </t>
    </r>
  </si>
  <si>
    <r>
      <rPr>
        <sz val="10"/>
        <color indexed="8"/>
        <rFont val="Arial"/>
      </rPr>
      <t>C0816</t>
    </r>
  </si>
  <si>
    <r>
      <rPr>
        <sz val="10"/>
        <color indexed="8"/>
        <rFont val="Arial"/>
      </rPr>
      <t>IF 'Additional declaration type' = 'C', 'F' THEN this data group / data item = ‘N’ ELSE IF 'Additional procedure code' = 'F15' THEN this data group / data item = ‘O’ ELSE this data group / data item = ‘R’ except where additional conditions or rules for the same data group/attribute imply something else.</t>
    </r>
  </si>
  <si>
    <r>
      <rPr>
        <sz val="10"/>
        <color indexed="8"/>
        <rFont val="Arial"/>
      </rPr>
      <t>C0820</t>
    </r>
  </si>
  <si>
    <r>
      <rPr>
        <sz val="10"/>
        <color indexed="8"/>
        <rFont val="Arial"/>
      </rPr>
      <t>IF 'Additional procedure code' = 'F15' THEN this data group / data item = ‘O’ ELSE this data group / data item = ‘R’, except where additional conditions or rules for the same DG/DI imply something else.</t>
    </r>
  </si>
  <si>
    <r>
      <rPr>
        <sz val="10"/>
        <color indexed="8"/>
        <rFont val="Arial"/>
      </rPr>
      <t>C0824</t>
    </r>
  </si>
  <si>
    <r>
      <rPr>
        <sz val="10"/>
        <color indexed="8"/>
        <rFont val="Arial"/>
      </rPr>
      <t>IF Additional declaration type' = 'C', 'F' OR 'Requested procedure' = '71' OR 'Additional procedure' = 'F15' OR IF 'Person Providing a Guarantee identification No.' = 'Declarant identification No.' THEN this data group / data element = ‘N’ELSE this data group / data element = ‘O’</t>
    </r>
  </si>
  <si>
    <r>
      <rPr>
        <sz val="10"/>
        <color indexed="8"/>
        <rFont val="Arial"/>
      </rPr>
      <t>C0829</t>
    </r>
  </si>
  <si>
    <r>
      <rPr>
        <sz val="10"/>
        <color indexed="8"/>
        <rFont val="Arial"/>
      </rPr>
      <t>IF 'Requested procedure'  =  '07',  '45',  '68', '95','96' THEN this data group / data item ='R' ELSE this data group / data item ='O' except where additional conditions or rules for the same data group/attribute imply something else.</t>
    </r>
  </si>
  <si>
    <r>
      <rPr>
        <sz val="10"/>
        <color indexed="8"/>
        <rFont val="Arial"/>
      </rPr>
      <t>C0834</t>
    </r>
  </si>
  <si>
    <r>
      <rPr>
        <sz val="10"/>
        <color indexed="8"/>
        <rFont val="Arial"/>
      </rPr>
      <t>IF  'Requested Procedure code' = '51', '53', '71' OR 'Additional procedure code' = 'F15'   THEN this data group / data item = 'N'  ELSE IF  'Requested Procedure code' = '42', '63'  THEN this data group / data item = 'R'   ELSE this data group / data item = 'O' except where additional conditions or rules for the same data group/attribute imply something else .</t>
    </r>
  </si>
  <si>
    <r>
      <rPr>
        <sz val="10"/>
        <color indexed="8"/>
        <rFont val="Arial"/>
      </rPr>
      <t>C0848</t>
    </r>
  </si>
  <si>
    <r>
      <rPr>
        <sz val="10"/>
        <color indexed="8"/>
        <rFont val="Arial"/>
      </rPr>
      <t>IF /*/Authorisation/type IN ['C626', 'C627']_x000D_
THEN /*/Authorisation/holderOfAuthorisation = 'R'_x000D_
ELSE /*/Authorisation/holderOfAuthorisation = 'O'</t>
    </r>
  </si>
  <si>
    <r>
      <rPr>
        <sz val="10"/>
        <color indexed="8"/>
        <rFont val="Arial"/>
      </rPr>
      <t>C0850</t>
    </r>
  </si>
  <si>
    <r>
      <rPr>
        <sz val="10"/>
        <color indexed="8"/>
        <rFont val="Arial"/>
      </rPr>
      <t>IF /*/TaxBase/amount is PRESENT _x000D_
THEN /*/TaxBase/quantity = 'N' _x000D_
ELSE /*/TaxBase/quantity = 'R'</t>
    </r>
  </si>
  <si>
    <r>
      <rPr>
        <sz val="10"/>
        <color indexed="8"/>
        <rFont val="Arial"/>
      </rPr>
      <t>C0852</t>
    </r>
  </si>
  <si>
    <r>
      <rPr>
        <sz val="10"/>
        <color indexed="8"/>
        <rFont val="Arial"/>
      </rPr>
      <t>IF TaxBase/quantity is PRESENT _x000D_
THEN TaxBase/amount = "N" _x000D_
ELSE TaxBase/amount = "R"</t>
    </r>
  </si>
  <si>
    <r>
      <rPr>
        <sz val="10"/>
        <color indexed="8"/>
        <rFont val="Arial"/>
      </rPr>
      <t>C0853</t>
    </r>
  </si>
  <si>
    <r>
      <rPr>
        <sz val="10"/>
        <color indexed="8"/>
        <rFont val="Arial"/>
      </rPr>
      <t>IF 'Requested procedure code' = '01', '07', '40', '42', '43', '44', '45', '46', '48', '51', 53, '61', '63', '68' AND  "Previous procedure code= '71'THEN this data group / data item ='R' ELSE this data group / data item ='N' except where additional conditions or rules for the same data group/attribute imply something else.</t>
    </r>
  </si>
  <si>
    <r>
      <rPr>
        <sz val="10"/>
        <color indexed="8"/>
        <rFont val="Arial"/>
      </rPr>
      <t>C0869</t>
    </r>
  </si>
  <si>
    <r>
      <rPr>
        <sz val="10"/>
        <color indexed="8"/>
        <rFont val="Arial"/>
      </rPr>
      <t>IF TARIC demands providing additional code(s)_x000D_
THEN this DG/DI = 'R'_x000D_
ELSE this DG/DI = 'N'</t>
    </r>
  </si>
  <si>
    <r>
      <rPr>
        <sz val="10"/>
        <color indexed="8"/>
        <rFont val="Arial"/>
      </rPr>
      <t>C0905</t>
    </r>
  </si>
  <si>
    <r>
      <rPr>
        <sz val="10"/>
        <color indexed="8"/>
        <rFont val="Arial"/>
      </rPr>
      <t>IF TARIC provides supplementary units_x000D_
THEN this DG/DI = 'R'_x000D_
ELSE this DG/DI = 'N'</t>
    </r>
  </si>
  <si>
    <r>
      <rPr>
        <sz val="10"/>
        <color indexed="8"/>
        <rFont val="Arial"/>
      </rPr>
      <t>C0907</t>
    </r>
  </si>
  <si>
    <r>
      <rPr>
        <sz val="10"/>
        <color indexed="8"/>
        <rFont val="Arial"/>
      </rPr>
      <t>IF /*/GoodsShipment/Consignment/TransportEquipment is PRESENT only once AND /*/GoodsShipment/Consignment/TransportEquipment/containerIdentificationNumber is PRESENT THEN this DG/DI = 'O'_x000D_
ELSE this DG/DI = 'R'</t>
    </r>
  </si>
  <si>
    <r>
      <rPr>
        <sz val="10"/>
        <color indexed="8"/>
        <rFont val="Arial"/>
      </rPr>
      <t>C0911</t>
    </r>
  </si>
  <si>
    <r>
      <rPr>
        <sz val="10"/>
        <color indexed="8"/>
        <rFont val="Arial"/>
      </rPr>
      <t>IF Country of destination is in SET CL142,_x000D_
THEN Region of destination = "R"_x000D_
ELSE Region of destination = "N"</t>
    </r>
  </si>
  <si>
    <r>
      <rPr>
        <sz val="10"/>
        <color indexed="8"/>
        <rFont val="Arial"/>
      </rPr>
      <t>C0917</t>
    </r>
  </si>
  <si>
    <r>
      <rPr>
        <sz val="10"/>
        <color indexed="8"/>
        <rFont val="Arial"/>
      </rPr>
      <t>This DI is Required if the code value for the corresponding Data Element is defined on national level and not part of the CS/RD2 codelists _x000D_
ELSE it is Optional.</t>
    </r>
  </si>
  <si>
    <r>
      <rPr>
        <sz val="10"/>
        <color indexed="8"/>
        <rFont val="Arial"/>
      </rPr>
      <t>C0918</t>
    </r>
  </si>
  <si>
    <r>
      <rPr>
        <sz val="10"/>
        <color indexed="8"/>
        <rFont val="Arial"/>
      </rPr>
      <t>IF &lt;Region of destination&gt; is not empty_x000D_
THEN CC qualifier = ‘R’_x000D_
ELSE CC qualifier = ‘N’</t>
    </r>
  </si>
  <si>
    <r>
      <rPr>
        <sz val="10"/>
        <color indexed="8"/>
        <rFont val="Arial"/>
      </rPr>
      <t>C0919</t>
    </r>
  </si>
  <si>
    <r>
      <rPr>
        <sz val="10"/>
        <color indexed="8"/>
        <rFont val="Arial"/>
      </rPr>
      <t>IF the first digit of &lt;Preference&gt; (D.E. 14 11 000 000) IN ['1‘, ‘4’]_x000D_
THEN 'Country of origin' = 'R' _x000D_
ELSE 'Country of origin' = 'Ο'</t>
    </r>
  </si>
  <si>
    <r>
      <rPr>
        <sz val="10"/>
        <color indexed="8"/>
        <rFont val="Arial"/>
      </rPr>
      <t>C0921</t>
    </r>
  </si>
  <si>
    <r>
      <rPr>
        <sz val="10"/>
        <color indexed="8"/>
        <rFont val="Arial"/>
      </rPr>
      <t>IF &lt;Requested procedure&gt; = '71'_x000D_
THEN this DG/DI = 'N'_x000D_
ELSE IF &lt;Additional declaration type&gt; IN [‘C’, ‘F’]_x000D_
THEN this DG/DI = 'O'_x000D_
ELSE this DG/DI = 'R'</t>
    </r>
  </si>
  <si>
    <r>
      <rPr>
        <sz val="10"/>
        <color indexed="8"/>
        <rFont val="Arial"/>
      </rPr>
      <t>C0923</t>
    </r>
  </si>
  <si>
    <r>
      <rPr>
        <sz val="10"/>
        <color indexed="8"/>
        <rFont val="Arial"/>
      </rPr>
      <t>IF /*/Authorisation/referenceNumber includes 'BTI' or 'BOI' or 'EUS' _x000D_
THEN this DG/DI ='R' _x000D_
ELSE this DG/DI ='O'</t>
    </r>
  </si>
  <si>
    <r>
      <rPr>
        <sz val="10"/>
        <color indexed="8"/>
        <rFont val="Arial"/>
      </rPr>
      <t>C0925</t>
    </r>
  </si>
  <si>
    <r>
      <rPr>
        <sz val="10"/>
        <color indexed="8"/>
        <rFont val="Arial"/>
      </rPr>
      <t>IF &lt;Guarantee type&gt; = '5'_x000D_
THEN &lt;Customs Office of Guarantee&gt; = ‘N’_x000D_
ELSE &lt; Customs Office of Guarantee &gt; = ‘R’</t>
    </r>
  </si>
  <si>
    <r>
      <rPr>
        <sz val="10"/>
        <color indexed="8"/>
        <rFont val="Arial"/>
      </rPr>
      <t>C0926</t>
    </r>
  </si>
  <si>
    <r>
      <rPr>
        <sz val="10"/>
        <color indexed="8"/>
        <rFont val="Arial"/>
      </rPr>
      <t>IF qualifierOfIdentification IN ['X', 'Y']_x000D_
THEN additionalIdentifier = 'O'_x000D_
ELSE additionalIdentifier = 'N'</t>
    </r>
  </si>
  <si>
    <r>
      <rPr>
        <sz val="10"/>
        <color indexed="8"/>
        <rFont val="Arial"/>
      </rPr>
      <t>C0931</t>
    </r>
  </si>
  <si>
    <r>
      <rPr>
        <sz val="10"/>
        <color indexed="8"/>
        <rFont val="Arial"/>
      </rPr>
      <t>IF &lt;Additional declaration type&gt; IN ['C', 'F'] OR &lt;Requested procedure&gt; = '71' OR &lt;Mode Of Transport At The Border&gt; is in SET {2, 5, 7}  _x000D_
THEN this DG/DI = 'N'  _x000D_
ELSE this DG/DI = 'R' except where additional conditions or rules for the same DG/DI imply something else</t>
    </r>
  </si>
  <si>
    <r>
      <rPr>
        <sz val="10"/>
        <color indexed="8"/>
        <rFont val="Arial"/>
      </rPr>
      <t>C0934</t>
    </r>
  </si>
  <si>
    <r>
      <rPr>
        <sz val="10"/>
        <color indexed="8"/>
        <rFont val="Arial"/>
      </rPr>
      <t>IF &lt;Requested procedure&gt; = '44' AND in DG AUTHORISATION at Declaration level does not exist any referenceNumber which includes 'EUS' _x000D_
THEN this DG shall contain at least one valid referenceNumber which includes 'EUS'_x000D_
ELSE this DG = ‘O’</t>
    </r>
  </si>
  <si>
    <r>
      <rPr>
        <sz val="10"/>
        <color indexed="8"/>
        <rFont val="Arial"/>
      </rPr>
      <t>C0935</t>
    </r>
  </si>
  <si>
    <r>
      <rPr>
        <sz val="10"/>
        <color indexed="8"/>
        <rFont val="Arial"/>
      </rPr>
      <t>IF &lt;Requested procedure&gt; = '71' _x000D_
THEN this DG/DI = 'N' _x000D_
ELSE IF &lt;Additional declaration type&gt; IN [‘C’, ‘F’] or ‘Additional procedure’ = ‘F15’ _x000D_
THEN this DG/DI = 'O' _x000D_
ELSE this DG/DI = 'R'</t>
    </r>
  </si>
  <si>
    <r>
      <rPr>
        <sz val="10"/>
        <color indexed="8"/>
        <rFont val="Arial"/>
      </rPr>
      <t>C0936</t>
    </r>
  </si>
  <si>
    <r>
      <rPr>
        <sz val="10"/>
        <color indexed="8"/>
        <rFont val="Arial"/>
      </rPr>
      <t>IF &lt;Additional declaration type&gt; IN [‘C’, ‘F’] or ‘Additional procedure’ = ‘F15’ _x000D_
THEN this DG/DI = 'O' _x000D_
ELSE this DG/DI = 'R' except where additional conditions or rules for the same DG/DI imply something else</t>
    </r>
  </si>
  <si>
    <r>
      <rPr>
        <sz val="10"/>
        <color indexed="8"/>
        <rFont val="Arial"/>
      </rPr>
      <t>C0937</t>
    </r>
  </si>
  <si>
    <r>
      <rPr>
        <sz val="10"/>
        <color indexed="8"/>
        <rFont val="Arial"/>
      </rPr>
      <t>IF &lt;Additional declaration type&gt; IN ['C', 'F'] OR 'Additional procedure' = 'F15'_x000D_
THEN this DG/DI = 'N'_x000D_
ELSE this DG/DI = 'R', except where additional conditions or rules for the same DG/DI imply something else</t>
    </r>
  </si>
  <si>
    <r>
      <rPr>
        <sz val="10"/>
        <color indexed="8"/>
        <rFont val="Arial"/>
      </rPr>
      <t>C0938</t>
    </r>
  </si>
  <si>
    <r>
      <rPr>
        <sz val="10"/>
        <color indexed="8"/>
        <rFont val="Arial"/>
      </rPr>
      <t>IF Additional declaration type IN ['C', 'F'] OR Requested procedure IN ['51', '53', '71']_x000D_
THEN this DG / DI = 'N'_x000D_
ELSE this DG / DI = 'O'</t>
    </r>
  </si>
  <si>
    <r>
      <rPr>
        <sz val="10"/>
        <color indexed="8"/>
        <rFont val="Arial"/>
      </rPr>
      <t>C0940</t>
    </r>
  </si>
  <si>
    <r>
      <rPr>
        <sz val="10"/>
        <color indexed="8"/>
        <rFont val="Arial"/>
      </rPr>
      <t xml:space="preserve">IF &lt;Additional declaration type&gt; IN ['A', 'D', 'Y', ‘Z’, ‘U’, ‘V’] AND &lt;Requested procedure&gt; IN ['01', '07', '40', '42', '43', '44', '45', '46','48', '61', '63', '68']_x000D_
THEN this DG/DI = 'R'_x000D_
ELSE IF (&lt;Additional declaration type&gt; IN ['C', 'F']) OR (&lt;Additional declaration type&gt; IN ['A', 'D', 'Y', ‘Z’, ‘U’, ‘V’] AND &lt;Requested procedure&gt; = '71')_x000D_
THEN this DG/DI = 'N'_x000D_
ELSE this DG/DI = 'O' </t>
    </r>
  </si>
  <si>
    <r>
      <rPr>
        <sz val="10"/>
        <color indexed="8"/>
        <rFont val="Arial"/>
      </rPr>
      <t>Guideline</t>
    </r>
  </si>
  <si>
    <r>
      <rPr>
        <sz val="10"/>
        <color indexed="8"/>
        <rFont val="Arial"/>
      </rPr>
      <t>G0003</t>
    </r>
  </si>
  <si>
    <r>
      <rPr>
        <sz val="10"/>
        <color indexed="8"/>
        <rFont val="Arial"/>
      </rPr>
      <t>SCI must send to PCI the amounts of customs duties calculated in EUR.</t>
    </r>
  </si>
  <si>
    <r>
      <rPr>
        <sz val="10"/>
        <color indexed="8"/>
        <rFont val="Arial"/>
      </rPr>
      <t>G0007</t>
    </r>
  </si>
  <si>
    <r>
      <rPr>
        <sz val="10"/>
        <color indexed="8"/>
        <rFont val="Arial"/>
      </rPr>
      <t>- Goods Shipment related information shall be recorded under &lt;GOODS SHIPMENT-PREVIOUS DOCUMENT&gt;, &lt;GOODS SHIPMENT-ADDITIONAL INFORMATION&gt;, &lt;GOODS SHIPMENT-SUPPORTING DOCUMENT&gt;, &lt;GOODS SHIPMENT-ADDITIONAL REFERENCE&gt; [if the information is related to the whole Shipment, there's no need to repeat it at Item level per each Item; same applies in case the Declaration contains only one Goods Item] _x000D_
- Goods Shipment Item related information shall be recorded under &lt;GOODS SHIPMENT-GOODS SHIPMENT ITEM-PREVIOUS DOCUMENT&gt;, &lt;GOODS SHIPMENT-GOODS SHIPMENT ITEM-ADDITIONAL INFORMATION&gt;, &lt;GOODS SHIPMENT-GOODS SHIPMENT ITEM-SUPPORTING DOCUMENT&gt;, &lt;GOODS SHIPMENT-GOODS SHIPMENT ITEM-TRANSPORT DOCUMENT&gt;, &lt;GOODS SHIPMENT- GOODS SHIPMENT ITEM-ADDITIONAL REFERENCE&gt; _x000D_
- Consignment related information shall be recorded under &lt;GOODS SHIPMENT-CONSIGNMENT-TRANSPORT DOCUMENT&gt; [if the information is related to the whole Consignment, there's no need to repeat it at Item level per each Item; same applies in case the Declaration contains only one Goods Item]</t>
    </r>
  </si>
  <si>
    <r>
      <rPr>
        <sz val="10"/>
        <color indexed="8"/>
        <rFont val="Arial"/>
      </rPr>
      <t>G0009</t>
    </r>
  </si>
  <si>
    <r>
      <rPr>
        <sz val="10"/>
        <color indexed="8"/>
        <rFont val="Arial"/>
      </rPr>
      <t>Using the relevant Union code, enter the code for the Member State where the goods are located at the time of release into the customs procedure. However, where it is known at the time of drawing up the customs declaration, that the goods will be dispatched to another Member State after the release, enter the code for this latter Member State._x000D_
Where goods are imported with a view to place them under the inward processing procedure, the Member State of destination shall be the Member State where the first processing activity is carried out.</t>
    </r>
  </si>
  <si>
    <r>
      <rPr>
        <sz val="10"/>
        <color indexed="8"/>
        <rFont val="Arial"/>
      </rPr>
      <t>G0010</t>
    </r>
  </si>
  <si>
    <r>
      <rPr>
        <sz val="10"/>
        <color indexed="8"/>
        <rFont val="Arial"/>
      </rPr>
      <t>The valuation indicators should be declared considering the contractual conditions of the transaction._x000D_
The valuation indicator code comprises four digits, each of which being either a "0" or a "1". Each "1" or "0" digit reflects whether or not a valuation indicator is relevant to the valuation of the goods concerned._x000D_
1st digit: Party relationship, whether there is price influence or not_x000D_
2nd digit: Restrictions as to the disposal or use of the goods by the buyer in accordance with Article 70(3)(a) of the Code._x000D_
3rd digit: Sale or price is subject to some condition or consideration in accordance with Article 70(3)(b) of the Code._x000D_
4th digit: The sale is subject to an arrangement under which part of the proceeds of any subsequent resale, disposal or use accrues directly or indirectly to the seller._x000D_
Example: Goods subject to party relationship, but not to any of the other situations defined under 2nd, 3rd and 4th digits would entail the use of code combination "1000"</t>
    </r>
  </si>
  <si>
    <r>
      <rPr>
        <sz val="10"/>
        <color indexed="8"/>
        <rFont val="Arial"/>
      </rPr>
      <t>G0019</t>
    </r>
  </si>
  <si>
    <r>
      <rPr>
        <sz val="10"/>
        <color indexed="8"/>
        <rFont val="Arial"/>
      </rPr>
      <t>A zero '0' is to be considered as a valid number in this field.</t>
    </r>
  </si>
  <si>
    <r>
      <rPr>
        <sz val="10"/>
        <color indexed="8"/>
        <rFont val="Arial"/>
      </rPr>
      <t>G0021</t>
    </r>
  </si>
  <si>
    <r>
      <rPr>
        <sz val="10"/>
        <color indexed="8"/>
        <rFont val="Arial"/>
      </rPr>
      <t>This Data Item can take the value "0" (zero) in the following cases: _x000D_
a. a document number is missing, it shall not be filled in with a dummy number (dummy values are generally avoided); _x000D_
b. the length of a document number exceeds the allowed 70 characters, it is also preferable not to truncate the document reference number; _x000D_
c. a missing document reference number (due to the above or any other case) is not a valid reason for the rejection of the declaration.</t>
    </r>
  </si>
  <si>
    <r>
      <rPr>
        <sz val="10"/>
        <color indexed="8"/>
        <rFont val="Arial"/>
      </rPr>
      <t>G0031</t>
    </r>
  </si>
  <si>
    <r>
      <rPr>
        <sz val="10"/>
        <color indexed="8"/>
        <rFont val="Arial"/>
      </rPr>
      <t>Enter the authorisation number of the warehouse or temporary storage facility concerned.</t>
    </r>
  </si>
  <si>
    <r>
      <rPr>
        <sz val="10"/>
        <color indexed="8"/>
        <rFont val="Arial"/>
      </rPr>
      <t>G0037</t>
    </r>
  </si>
  <si>
    <r>
      <rPr>
        <sz val="10"/>
        <color indexed="8"/>
        <rFont val="Arial"/>
      </rPr>
      <t>This Data Item must have a non-zero value if the Data Item &lt;GOODS SHIPMENT ITEM - PREVIOUS DOCUMENT.Type &gt; refers to a specific Goods Item; οtherwise, it must be omitted.</t>
    </r>
  </si>
  <si>
    <r>
      <rPr>
        <sz val="10"/>
        <color indexed="8"/>
        <rFont val="Arial"/>
      </rPr>
      <t>G0105</t>
    </r>
  </si>
  <si>
    <r>
      <rPr>
        <sz val="10"/>
        <color indexed="8"/>
        <rFont val="Arial"/>
      </rPr>
      <t>Information recorded under this data group is solely for communication purposes. No legal liabilities exist upon the specific contact person.</t>
    </r>
  </si>
  <si>
    <r>
      <rPr>
        <sz val="10"/>
        <color indexed="8"/>
        <rFont val="Arial"/>
      </rPr>
      <t>G0113</t>
    </r>
  </si>
  <si>
    <r>
      <rPr>
        <sz val="10"/>
        <color indexed="8"/>
        <rFont val="Arial"/>
      </rPr>
      <t>The CC qualifier in DG Guarantee Reference is referring either to GRN or to Other guarantee reference, depending which of these data items is used.</t>
    </r>
  </si>
  <si>
    <r>
      <rPr>
        <sz val="10"/>
        <color indexed="8"/>
        <rFont val="Arial"/>
      </rPr>
      <t>G0349</t>
    </r>
  </si>
  <si>
    <r>
      <rPr>
        <sz val="10"/>
        <color indexed="8"/>
        <rFont val="Arial"/>
      </rPr>
      <t>The measurement units and qualifiers defined in TARIC shall be used.</t>
    </r>
  </si>
  <si>
    <r>
      <rPr>
        <sz val="10"/>
        <color indexed="8"/>
        <rFont val="Arial"/>
      </rPr>
      <t>G0405</t>
    </r>
  </si>
  <si>
    <r>
      <rPr>
        <sz val="10"/>
        <color indexed="8"/>
        <rFont val="Arial"/>
      </rPr>
      <t>Declarations made in Member States which, during the transitional period for the introduction of the euro, give the opportunity to economic operators to opt for the use of the euro unit for the establishment of their customs declarations, must include in this field an indicator of the currency unit, national unit or euro unit, used.</t>
    </r>
  </si>
  <si>
    <r>
      <rPr>
        <sz val="10"/>
        <color indexed="8"/>
        <rFont val="Arial"/>
      </rPr>
      <t>G0616</t>
    </r>
  </si>
  <si>
    <r>
      <rPr>
        <sz val="10"/>
        <color indexed="8"/>
        <rFont val="Arial"/>
      </rPr>
      <t>Member States may waive this information where the customs value of the goods in question cannot be determined under the provisions of Article 70 of the Code. In such cases the declarant shall furnish or cause to be furnished to the customs authorities such other information as may be requested for the purposes of determining the customs value. [DA note 10]</t>
    </r>
  </si>
  <si>
    <r>
      <rPr>
        <sz val="10"/>
        <color indexed="8"/>
        <rFont val="Arial"/>
      </rPr>
      <t>G0617</t>
    </r>
  </si>
  <si>
    <r>
      <rPr>
        <sz val="10"/>
        <color indexed="8"/>
        <rFont val="Arial"/>
      </rPr>
      <t>This information is not to be provided when customs administrations calculate duties on behalf of economic operators on the basis of information elsewhere in the declaration. It is otherwise optional for the Member States. [DA note 11]</t>
    </r>
  </si>
  <si>
    <r>
      <rPr>
        <sz val="10"/>
        <color indexed="8"/>
        <rFont val="Arial"/>
      </rPr>
      <t>G0618</t>
    </r>
  </si>
  <si>
    <r>
      <rPr>
        <sz val="10"/>
        <color indexed="8"/>
        <rFont val="Arial"/>
      </rPr>
      <t>This information is not required for goods eligible for relief from import duties, unless the customs authorities consider it necessary for the application of the provisions governing the release for free circulation of the goods concerned [DA note 12]</t>
    </r>
  </si>
  <si>
    <r>
      <rPr>
        <sz val="10"/>
        <color indexed="8"/>
        <rFont val="Arial"/>
      </rPr>
      <t>G0620</t>
    </r>
  </si>
  <si>
    <r>
      <rPr>
        <sz val="10"/>
        <color indexed="8"/>
        <rFont val="Arial"/>
      </rPr>
      <t>Except where it is essential for the correct determination of the customs value, the Member State of acceptance of the declaration shall waive the obligation to provide this information, where the customs value of the imported goods in a consignment does not exceed EUR 20 000 provided that they do not constitute split or multiple consignments from the_x000D_
same consignor to the same consignee,_x000D_
OR where the importation is of a non-commercial nature_x000D_
OR in case of continuing traffic in goods supplied by the same seller to the same buyer under the same commercial conditions._x000D_
[DA note 14]</t>
    </r>
  </si>
  <si>
    <r>
      <rPr>
        <sz val="10"/>
        <color indexed="8"/>
        <rFont val="Arial"/>
      </rPr>
      <t>G0628</t>
    </r>
  </si>
  <si>
    <r>
      <rPr>
        <sz val="10"/>
        <color indexed="8"/>
        <rFont val="Arial"/>
      </rPr>
      <t>In case preferential treatment is applied (the first digit of &lt;Preference&gt; (D.E. 14 11 000 000) IN ['2', '3']), this information is required only where it is different to the country of preferential origin._x000D_
[DA note 20]</t>
    </r>
  </si>
  <si>
    <r>
      <rPr>
        <sz val="10"/>
        <color indexed="8"/>
        <rFont val="Arial"/>
      </rPr>
      <t>G0631</t>
    </r>
  </si>
  <si>
    <r>
      <rPr>
        <sz val="10"/>
        <color indexed="8"/>
        <rFont val="Arial"/>
      </rPr>
      <t>This information shall only be used in case the declaration for temporary storage or the customs declaration to place the goods under a special procedure other than transit is lodged at a customs office different to the supervising customs office as indicated in the respective authorisation. [DA note 23]</t>
    </r>
  </si>
  <si>
    <r>
      <rPr>
        <sz val="10"/>
        <color indexed="8"/>
        <rFont val="Arial"/>
      </rPr>
      <t>G0641</t>
    </r>
  </si>
  <si>
    <r>
      <rPr>
        <sz val="10"/>
        <color indexed="8"/>
        <rFont val="Arial"/>
      </rPr>
      <t>This data element must not be provided where the import formalities are carried out at the point of entry into the customs territory of the Union [DA note 32]</t>
    </r>
  </si>
  <si>
    <r>
      <rPr>
        <sz val="10"/>
        <color indexed="8"/>
        <rFont val="Arial"/>
      </rPr>
      <t>G0642</t>
    </r>
  </si>
  <si>
    <r>
      <rPr>
        <sz val="10"/>
        <color indexed="8"/>
        <rFont val="Arial"/>
      </rPr>
      <t>IF the data item/data group is used and has the same value(s) for all other goods items _x000D_
THEN the data group/data item on GS level is used,_x000D_
ELSE the data group/data item on SI level is used.</t>
    </r>
  </si>
  <si>
    <r>
      <rPr>
        <sz val="10"/>
        <color indexed="8"/>
        <rFont val="Arial"/>
      </rPr>
      <t>G0647</t>
    </r>
  </si>
  <si>
    <r>
      <rPr>
        <sz val="10"/>
        <color indexed="8"/>
        <rFont val="Arial"/>
      </rPr>
      <t>For CCI systems that cannot retrieve the Access Code from other guarantee systems, the following applies:_x000D_
IF 'Guarantee Type' = '0', '1', '2', '4' AND Declarant.identificationNumber &lt;&gt; PersonProvidingAGuarantee.identificationNumber_x000D_
THEN 'Access code' = 'R'_x000D_
ELSE 'Access code' = 'O‘</t>
    </r>
  </si>
  <si>
    <r>
      <rPr>
        <sz val="10"/>
        <color indexed="8"/>
        <rFont val="Arial"/>
      </rPr>
      <t>G0651</t>
    </r>
  </si>
  <si>
    <r>
      <rPr>
        <sz val="10"/>
        <color indexed="8"/>
        <rFont val="Arial"/>
      </rPr>
      <t>The Member State of acceptance of the declaration may waive the obligation to provide this information where it is in the position to assess it correctly and has implemented calculation routines to provide a result compatible with statistical requirements. [DA note 40]</t>
    </r>
  </si>
  <si>
    <r>
      <rPr>
        <sz val="10"/>
        <color indexed="8"/>
        <rFont val="Arial"/>
      </rPr>
      <t>G0654</t>
    </r>
  </si>
  <si>
    <r>
      <rPr>
        <sz val="10"/>
        <color indexed="8"/>
        <rFont val="Arial"/>
      </rPr>
      <t>This data group/data item is optional and economic operators may decide to supply.</t>
    </r>
  </si>
  <si>
    <r>
      <rPr>
        <sz val="10"/>
        <color indexed="8"/>
        <rFont val="Arial"/>
      </rPr>
      <t>G0656</t>
    </r>
  </si>
  <si>
    <r>
      <rPr>
        <sz val="10"/>
        <color indexed="8"/>
        <rFont val="Arial"/>
      </rPr>
      <t>This data element may be Required only in cases when the rate of exchange is fixed in advance by a contract between the parties concerned._x000D_
IF &lt;Invoice Currency&gt; is present AND &lt;Exchange rate&gt; is fixed in advance by a contract between the parties concerned_x000D_
THEN &lt;Exchange rate&gt; = "O"_x000D_
ELSE &lt;Exchange rate&gt; = "N"</t>
    </r>
  </si>
  <si>
    <r>
      <rPr>
        <sz val="10"/>
        <color indexed="8"/>
        <rFont val="Arial"/>
      </rPr>
      <t>G0671</t>
    </r>
  </si>
  <si>
    <r>
      <rPr>
        <sz val="10"/>
        <color indexed="8"/>
        <rFont val="Arial"/>
      </rPr>
      <t>Where the buyer and the importer are identical this information does not need to be provided. Where the buyer is different to the person provided in D.E. 13 04 000 000 Importer, enter the name and address of the buyer of the goods where his EORI number is not available to the declarant. In case the customs value is calculated in accordance with Article 74 of the Code, this information shall be provided, if available.</t>
    </r>
  </si>
  <si>
    <r>
      <rPr>
        <sz val="10"/>
        <color indexed="8"/>
        <rFont val="Arial"/>
      </rPr>
      <t>G0672</t>
    </r>
  </si>
  <si>
    <r>
      <rPr>
        <sz val="10"/>
        <color indexed="8"/>
        <rFont val="Arial"/>
      </rPr>
      <t>Where the seller and the exporter are identical this information does not need to be provided. Where the seller is different to the person provided in D.E. 13 01 000 000 Exporter, enter the full name and address of the seller of the goods, if his EORI number is not available to the declarant. In case the customs value is calculated in accordance with Article 74 of the Code, this information shall be provided, if available.</t>
    </r>
  </si>
  <si>
    <r>
      <rPr>
        <sz val="10"/>
        <color indexed="8"/>
        <rFont val="Arial"/>
      </rPr>
      <t>G0673</t>
    </r>
  </si>
  <si>
    <r>
      <rPr>
        <sz val="10"/>
        <color indexed="8"/>
        <rFont val="Arial"/>
      </rPr>
      <t>This data element shall only be used when a document is used for write-off.</t>
    </r>
  </si>
  <si>
    <r>
      <rPr>
        <sz val="10"/>
        <color indexed="8"/>
        <rFont val="Arial"/>
      </rPr>
      <t>G0880</t>
    </r>
  </si>
  <si>
    <r>
      <rPr>
        <sz val="10"/>
        <color indexed="8"/>
        <rFont val="Arial"/>
      </rPr>
      <t>If the VAT will be paid in the VAT return, provide the VAT identification number of the person concerned. When procedure code 42 or 63 is used, the information required by Article 143 (2) of Directive 2006/112/EC shall be entered - VAT Identification Number must be provided for the Role code FR2 (Customer), and either FR1 (Importer) or FR3 (Tax Representative).</t>
    </r>
  </si>
  <si>
    <r>
      <rPr>
        <sz val="10"/>
        <color indexed="8"/>
        <rFont val="Arial"/>
      </rPr>
      <t>G0901</t>
    </r>
  </si>
  <si>
    <r>
      <rPr>
        <sz val="10"/>
        <color indexed="8"/>
        <rFont val="Arial"/>
      </rPr>
      <t>Where the goods concerned are subject to a TARIC measure in relation with a CUS code, the code CUS shall be provided.</t>
    </r>
  </si>
  <si>
    <r>
      <rPr>
        <sz val="10"/>
        <color indexed="8"/>
        <rFont val="Arial"/>
      </rPr>
      <t>G0904</t>
    </r>
  </si>
  <si>
    <r>
      <rPr>
        <sz val="10"/>
        <color indexed="8"/>
        <rFont val="Arial"/>
      </rPr>
      <t>Eastern longitude and Northern latitude will use the optional '+' sign._x000D_
Western longitude and Southern latitude will use the '-' sign.</t>
    </r>
  </si>
  <si>
    <r>
      <rPr>
        <sz val="10"/>
        <color indexed="8"/>
        <rFont val="Arial"/>
      </rPr>
      <t>G0905</t>
    </r>
  </si>
  <si>
    <r>
      <rPr>
        <sz val="10"/>
        <color indexed="8"/>
        <rFont val="Arial"/>
      </rPr>
      <t>If different types of goods items of the declaration are packed together in such a way that it is impossible to determine the gross mass for each individual item, then Gross Mass must be provided at GS level; otherwise it must be provided at SI level.</t>
    </r>
  </si>
  <si>
    <r>
      <rPr>
        <sz val="10"/>
        <color indexed="8"/>
        <rFont val="Arial"/>
      </rPr>
      <t>G0907</t>
    </r>
  </si>
  <si>
    <r>
      <rPr>
        <sz val="10"/>
        <color indexed="8"/>
        <rFont val="Arial"/>
      </rPr>
      <t>In the cases where Article 166(2) of the Code (simplified declarations based on authorisations) is applicable, Member States may waive the obligation to provide this information where the conditions prescribed in the authorisations associated with the procedures concerned allow them to defer the collection of this data element in the supplementary declaration.</t>
    </r>
  </si>
  <si>
    <r>
      <rPr>
        <sz val="10"/>
        <color indexed="8"/>
        <rFont val="Arial"/>
      </rPr>
      <t>G0918</t>
    </r>
  </si>
  <si>
    <r>
      <rPr>
        <sz val="10"/>
        <color indexed="8"/>
        <rFont val="Arial"/>
      </rPr>
      <t>For Centralised Clearance at Import where more than one MS is involved, the information relating to the national codes shall be provided for the Authorising and Presentation MS [DA note 58]</t>
    </r>
  </si>
  <si>
    <r>
      <rPr>
        <sz val="10"/>
        <color indexed="8"/>
        <rFont val="Arial"/>
      </rPr>
      <t>G0920</t>
    </r>
  </si>
  <si>
    <r>
      <rPr>
        <sz val="10"/>
        <color indexed="8"/>
        <rFont val="Arial"/>
      </rPr>
      <t>This data group is to be provided when an authorisation exists according to the relevant section of the Commission Delegated Regulation (EU) 2015/2446 Annex A Title I Chapter 1. [DA note 60]</t>
    </r>
  </si>
  <si>
    <r>
      <rPr>
        <sz val="10"/>
        <color indexed="8"/>
        <rFont val="Arial"/>
      </rPr>
      <t>G0921</t>
    </r>
  </si>
  <si>
    <r>
      <rPr>
        <sz val="10"/>
        <color indexed="8"/>
        <rFont val="Arial"/>
      </rPr>
      <t>CC qualifier is required only for national SCI / PCI codes and can be empty for common European codes. If PCI requires a common European code, this should also use the CC qualifier. SCI shall validate and manage the codes with no CC qualifier and the codes with SCI CC qualifier, while PCI shall validate and manage the codes with PCI CC qualifier.</t>
    </r>
  </si>
  <si>
    <r>
      <rPr>
        <sz val="10"/>
        <color indexed="8"/>
        <rFont val="Arial"/>
      </rPr>
      <t>G0922</t>
    </r>
  </si>
  <si>
    <r>
      <rPr>
        <sz val="10"/>
        <color indexed="8"/>
        <rFont val="Arial"/>
      </rPr>
      <t>This information shall relate to the situation at the moment when the declaration is made.</t>
    </r>
  </si>
  <si>
    <r>
      <rPr>
        <sz val="10"/>
        <color indexed="8"/>
        <rFont val="Arial"/>
      </rPr>
      <t>G0923</t>
    </r>
  </si>
  <si>
    <r>
      <rPr>
        <sz val="10"/>
        <color indexed="8"/>
        <rFont val="Arial"/>
      </rPr>
      <t>The CC qualifier in this DG shall refer to the Region of destination.</t>
    </r>
  </si>
  <si>
    <r>
      <rPr>
        <sz val="10"/>
        <color indexed="8"/>
        <rFont val="Arial"/>
      </rPr>
      <t>G0924</t>
    </r>
  </si>
  <si>
    <r>
      <rPr>
        <sz val="10"/>
        <color indexed="8"/>
        <rFont val="Arial"/>
      </rPr>
      <t>These DE's are only needed if there is more than one previous document to write-off in the same goods item. In case only one previous document has to be written-off, then the same elements already available in the declaration can be used.</t>
    </r>
  </si>
  <si>
    <r>
      <rPr>
        <sz val="10"/>
        <color indexed="8"/>
        <rFont val="Arial"/>
      </rPr>
      <t>G0925</t>
    </r>
  </si>
  <si>
    <r>
      <rPr>
        <sz val="10"/>
        <color indexed="8"/>
        <rFont val="Arial"/>
      </rPr>
      <t>Not for use in the case of postal consignments or carriage by fixed transport installations [DA note 34].</t>
    </r>
  </si>
  <si>
    <r>
      <rPr>
        <sz val="10"/>
        <color indexed="8"/>
        <rFont val="Arial"/>
      </rPr>
      <t>G0929</t>
    </r>
  </si>
  <si>
    <r>
      <rPr>
        <sz val="10"/>
        <color indexed="8"/>
        <rFont val="Arial"/>
      </rPr>
      <t>If neither a commercial transaction (e.g. sale or processing), nor a stoppage unrelated to the transport of goods has taken place in an intermediate country, enter the relevant Union code to indicate the country from which goods were initially dispatched to the Member State in which the goods are located at the time of their release into the customs procedure. If such a stoppage or commercial transaction has taken place, indicate the last intermediate country. For the purpose of this data requirement, a stoppage to enable consolidation of the goods en-route shall be considered as being related to the transport of the goods.</t>
    </r>
  </si>
  <si>
    <r>
      <rPr>
        <sz val="10"/>
        <color indexed="8"/>
        <rFont val="Arial"/>
      </rPr>
      <t>G0930</t>
    </r>
  </si>
  <si>
    <r>
      <rPr>
        <sz val="10"/>
        <color indexed="8"/>
        <rFont val="Arial"/>
      </rPr>
      <t>For CCI declarations, the Authorisation corresponding to the Requested procedure code must be filled-in at Declaration level, with the exception of End Use authorisation. For End Use (Requested procedure 44), if the same Authorisation is covering all items, it must be declared at Declaration level; otherwise, it must be declared at Item level. The Authorisation corresponding to the Previous procedure (if any) must always be filled-in at Item level.</t>
    </r>
  </si>
  <si>
    <r>
      <rPr>
        <sz val="10"/>
        <color indexed="8"/>
        <rFont val="Arial"/>
      </rPr>
      <t>G0981</t>
    </r>
  </si>
  <si>
    <r>
      <rPr>
        <sz val="10"/>
        <color indexed="8"/>
        <rFont val="Arial"/>
      </rPr>
      <t>Enter the date when the goods were entered in the declarant's records.</t>
    </r>
  </si>
  <si>
    <r>
      <rPr>
        <sz val="10"/>
        <color indexed="8"/>
        <rFont val="Arial"/>
      </rPr>
      <t>G0984</t>
    </r>
  </si>
  <si>
    <r>
      <rPr>
        <sz val="10"/>
        <color indexed="8"/>
        <rFont val="Arial"/>
      </rPr>
      <t>In case of declarations for the introduction of goods in the context of trade with special fiscal territories, this information shall only be required in case of commercial transactions involving at least two Member States. [DA note 24]</t>
    </r>
  </si>
  <si>
    <r>
      <rPr>
        <sz val="10"/>
        <color indexed="8"/>
        <rFont val="Arial"/>
      </rPr>
      <t>G0985</t>
    </r>
  </si>
  <si>
    <r>
      <rPr>
        <sz val="10"/>
        <color indexed="8"/>
        <rFont val="Arial"/>
      </rPr>
      <t>When the requested procedure is 51 or 53 then the DE is required for completion only where Union legislation so provides. [DA note 16]</t>
    </r>
  </si>
  <si>
    <r>
      <rPr>
        <sz val="10"/>
        <color indexed="8"/>
        <rFont val="Arial"/>
      </rPr>
      <t>G0999</t>
    </r>
  </si>
  <si>
    <r>
      <rPr>
        <sz val="10"/>
        <color indexed="8"/>
        <rFont val="Arial"/>
      </rPr>
      <t>If the 'Requested procedure' = '07', '45', '68','95','96' when goods will be placed in a non-customs warehouse, e.g. tax warehouse with "type" "Y" the authorisation number for tax warehouse should be provided under DG Warehouse.</t>
    </r>
  </si>
  <si>
    <r>
      <rPr>
        <sz val="10"/>
        <color indexed="8"/>
        <rFont val="Arial"/>
      </rPr>
      <t>R0007</t>
    </r>
  </si>
  <si>
    <r>
      <rPr>
        <sz val="10"/>
        <color indexed="8"/>
        <rFont val="Arial"/>
      </rPr>
      <t>Rule</t>
    </r>
  </si>
  <si>
    <r>
      <rPr>
        <sz val="10"/>
        <color indexed="8"/>
        <rFont val="Arial"/>
      </rPr>
      <t>R0010</t>
    </r>
  </si>
  <si>
    <r>
      <rPr>
        <sz val="10"/>
        <color indexed="8"/>
        <rFont val="Arial"/>
      </rPr>
      <t>IF a specific dataset is declared at D/GS level THEN it must not be duplicated at SI level.</t>
    </r>
  </si>
  <si>
    <r>
      <rPr>
        <sz val="10"/>
        <color indexed="8"/>
        <rFont val="Arial"/>
      </rPr>
      <t>R0011</t>
    </r>
  </si>
  <si>
    <r>
      <rPr>
        <sz val="10"/>
        <color indexed="8"/>
        <rFont val="Arial"/>
      </rPr>
      <t>For CCI declarations,  if "Requested procedure" = '51', the "Previous procedure" must be the same for all Goods Items included in the declaration.</t>
    </r>
  </si>
  <si>
    <r>
      <rPr>
        <sz val="10"/>
        <color indexed="8"/>
        <rFont val="Arial"/>
      </rPr>
      <t>R0012</t>
    </r>
  </si>
  <si>
    <r>
      <rPr>
        <sz val="10"/>
        <color indexed="8"/>
        <rFont val="Arial"/>
      </rPr>
      <t>If this DG/DI is declared at SI level (in any Goods Item) then it cannot be declared at GS level ELSE If this DG/DI is declared at GS level then it cannot be declared at SI level.</t>
    </r>
  </si>
  <si>
    <r>
      <rPr>
        <sz val="10"/>
        <color indexed="8"/>
        <rFont val="Arial"/>
      </rPr>
      <t>R0014</t>
    </r>
  </si>
  <si>
    <r>
      <rPr>
        <sz val="10"/>
        <color indexed="8"/>
        <rFont val="Arial"/>
      </rPr>
      <t>For CCI declarations, the Method of payment must be the same for all Goods Items included in the declaration.</t>
    </r>
  </si>
  <si>
    <r>
      <rPr>
        <sz val="10"/>
        <color indexed="8"/>
        <rFont val="Arial"/>
      </rPr>
      <t>R0364</t>
    </r>
  </si>
  <si>
    <r>
      <rPr>
        <sz val="10"/>
        <color indexed="8"/>
        <rFont val="Arial"/>
      </rPr>
      <t>IF &lt;GOODS SHIPMENT-GOODS ITEM-PACKAGING.Number of Packages&gt; is EQUAL to 0 _x000D_
THEN at least one &lt;GOODS SHIPMENT-GOODS ITEM&gt; must exist with _x000D_
(the same &lt;GOODS SHIPMENT-GOODS ITEM-PACKAGING.Shipping marks&gt; AND with &lt;GOODS SHIPMENT-GOODS ITEM-PACKAGING.Number of packages&gt; having a value GREATER than 0)</t>
    </r>
  </si>
  <si>
    <r>
      <rPr>
        <sz val="10"/>
        <color indexed="8"/>
        <rFont val="Arial"/>
      </rPr>
      <t>R0520</t>
    </r>
  </si>
  <si>
    <r>
      <rPr>
        <sz val="10"/>
        <color indexed="8"/>
        <rFont val="Arial"/>
      </rPr>
      <t>/*/Representative/identificationNumber must NOT BE EQUAL to /*/Declarant/identificationNumber</t>
    </r>
  </si>
  <si>
    <r>
      <rPr>
        <sz val="10"/>
        <color indexed="8"/>
        <rFont val="Arial"/>
      </rPr>
      <t>R0521</t>
    </r>
  </si>
  <si>
    <r>
      <rPr>
        <sz val="10"/>
        <color indexed="8"/>
        <rFont val="Arial"/>
      </rPr>
      <t>Only value '2' is valid for this field</t>
    </r>
  </si>
  <si>
    <r>
      <rPr>
        <sz val="10"/>
        <color indexed="8"/>
        <rFont val="Arial"/>
      </rPr>
      <t>R0686</t>
    </r>
  </si>
  <si>
    <r>
      <rPr>
        <sz val="10"/>
        <color indexed="8"/>
        <rFont val="Arial"/>
      </rPr>
      <t>IF &lt;Type of location&gt; = ‘A’_x000D_
THEN &lt;Qualifier of identification&gt; = ‘T’, ‘U’, ‘V’, ‘W’, ‘Z’ _x000D_
ELSE IF &lt;Type of location&gt; = ‘B’ _x000D_
THEN &lt;Qualifier of identification&gt; = ‘T’, ‘U’, ‘W’, ‘X’, ‘Y’ _x000D_
ELSE IF &lt;Type of location&gt; = ‘C’ _x000D_
THEN &lt;Qualifier of identification&gt; = ‘T’, ‘U’, ‘W’, ‘X’, ‘Z’ _x000D_
ELSE IF &lt;Type of location&gt; = ‘D’ _x000D_
THEN &lt;Qualifier of identification&gt; = ‘T’, ‘U’, ‘W’, ‘Z’</t>
    </r>
  </si>
  <si>
    <r>
      <rPr>
        <sz val="10"/>
        <color indexed="8"/>
        <rFont val="Arial"/>
      </rPr>
      <t>R0764</t>
    </r>
  </si>
  <si>
    <r>
      <rPr>
        <sz val="10"/>
        <color indexed="8"/>
        <rFont val="Arial"/>
      </rPr>
      <t>IF the Additional Declaration Type is U or V THEN the Multiplicity of the Goods Shipment is up to 999x ELSE it is 1x</t>
    </r>
  </si>
  <si>
    <r>
      <rPr>
        <sz val="10"/>
        <color indexed="8"/>
        <rFont val="Arial"/>
      </rPr>
      <t>R0868</t>
    </r>
  </si>
  <si>
    <r>
      <rPr>
        <sz val="10"/>
        <color indexed="8"/>
        <rFont val="Arial"/>
      </rPr>
      <t>When the Additional declaration type is Y or U , then the D.E. Type is nMRN if it is Z or V , then the D.E. Type should be nCLE.</t>
    </r>
  </si>
  <si>
    <r>
      <rPr>
        <sz val="10"/>
        <color indexed="8"/>
        <rFont val="Arial"/>
      </rPr>
      <t>R0900</t>
    </r>
  </si>
  <si>
    <r>
      <rPr>
        <sz val="10"/>
        <color indexed="8"/>
        <rFont val="Arial"/>
      </rPr>
      <t>For CCI declarations, the Requested procedure code must be the same for all Goods Items included in the declaration.</t>
    </r>
  </si>
  <si>
    <r>
      <rPr>
        <sz val="10"/>
        <color indexed="8"/>
        <rFont val="Arial"/>
      </rPr>
      <t>R0906</t>
    </r>
  </si>
  <si>
    <r>
      <rPr>
        <sz val="10"/>
        <color indexed="8"/>
        <rFont val="Arial"/>
      </rPr>
      <t>The country code of the CC qualifier must be identical with either the SCI country code or the PCI country code.</t>
    </r>
  </si>
  <si>
    <r>
      <rPr>
        <sz val="10"/>
        <color indexed="8"/>
        <rFont val="Arial"/>
      </rPr>
      <t>R0907</t>
    </r>
  </si>
  <si>
    <r>
      <rPr>
        <sz val="10"/>
        <color indexed="8"/>
        <rFont val="Arial"/>
      </rPr>
      <t>No amendment allowed for &lt;REPRESENTATIVE&gt;_x000D_
No amendment allowed for &lt;DECLARANT&gt; _x000D_
No amendment allowed for &lt;CUSTOMS OFFICE OF PRESENTATION&gt; _x000D_
No amendment allowed for &lt;IMPORT OPERATION.MRN&gt; _x000D_
No amendment allowed for &lt;IMPORT OPERATION.LRN&gt; _x000D_
No amendment allowed for &lt;IMPORT OPERATION.Declaration type&gt; _x000D_
No amendment allowed for &lt;IMPORT OPERATION.Additional declaration type&gt; _x000D_
Restrictions should not apply to amendments sent for Customs Declarations with Additional declaration type "D" or "F"</t>
    </r>
  </si>
  <si>
    <r>
      <rPr>
        <sz val="10"/>
        <color indexed="8"/>
        <rFont val="Arial"/>
      </rPr>
      <t>R0928</t>
    </r>
  </si>
  <si>
    <r>
      <rPr>
        <sz val="10"/>
        <color indexed="8"/>
        <rFont val="Arial"/>
      </rPr>
      <t>For this DI only a valid EORI or TCUIN shall be used._x000D_
The EORI/TCUIN values should comply with the following pattern:_x000D_
&lt;xs:pattern value="[A-Z]{2}[\x21-\x7E]{1,15}"/&gt;</t>
    </r>
  </si>
  <si>
    <r>
      <rPr>
        <sz val="10"/>
        <color indexed="8"/>
        <rFont val="Arial"/>
      </rPr>
      <t>R0932</t>
    </r>
  </si>
  <si>
    <r>
      <rPr>
        <sz val="10"/>
        <color indexed="8"/>
        <rFont val="Arial"/>
      </rPr>
      <t>IF &lt;Requested procedure&gt; = '51'_x000D_
THEN this DG shall contain at least one valid referenceNumber  which includes 'IPO'_x000D_
ELSE IF &lt;Requested procedure&gt; = '71'_x000D_
THEN this DG shall contain at least one valid referenceNumber  which includes 'CWP’ or ‘CW1’ or ‘CW2_x000D_
ELSE IF &lt;Requested procedure&gt; IN ['46, 48']_x000D_
THEN this DG shall contain at least one valid referenceNumber which includes 'OPO'_x000D_
ELSE IF &lt;Requested procedure&gt; = ‘44’ AND in DG AUTHORISATION at Item level does not exist any referenceNumber which includes 'EUS'_x000D_
THEN this DG shall contain at least one valid referenceNumber which includes 'EUS'</t>
    </r>
  </si>
  <si>
    <r>
      <rPr>
        <sz val="10"/>
        <color indexed="8"/>
        <rFont val="Arial"/>
      </rPr>
      <t>R0933</t>
    </r>
  </si>
  <si>
    <r>
      <rPr>
        <sz val="10"/>
        <color indexed="8"/>
        <rFont val="Arial"/>
      </rPr>
      <t xml:space="preserve">IF &lt;Additional declaration type&gt; IN [‘C’, ‘F’] _x000D_
THEN this DG shall contain at least one valid /Authorisation/referenceNumber which includes 'SDE' </t>
    </r>
  </si>
  <si>
    <r>
      <rPr>
        <sz val="10"/>
        <color indexed="8"/>
        <rFont val="Arial"/>
      </rPr>
      <t>R0987</t>
    </r>
  </si>
  <si>
    <r>
      <rPr>
        <sz val="10"/>
        <color indexed="8"/>
        <rFont val="Arial"/>
      </rPr>
      <t>Each &lt;Sequence number&gt; is unique for the Data Group it belongs to. The sequence numbers shall be sequential, starting from '1' for the first iteration of the Data Group and increasing by '1' for each iteration".</t>
    </r>
  </si>
  <si>
    <r>
      <rPr>
        <sz val="10"/>
        <color indexed="8"/>
        <rFont val="Arial"/>
      </rPr>
      <t>R0995</t>
    </r>
  </si>
  <si>
    <r>
      <rPr>
        <sz val="10"/>
        <color indexed="8"/>
        <rFont val="Arial"/>
      </rPr>
      <t>For this DI only an EORI number is valid.</t>
    </r>
  </si>
  <si>
    <r>
      <rPr>
        <sz val="10"/>
        <color indexed="8"/>
        <rFont val="Arial"/>
      </rPr>
      <t>R0998</t>
    </r>
  </si>
  <si>
    <r>
      <rPr>
        <sz val="10"/>
        <color indexed="8"/>
        <rFont val="Arial"/>
      </rPr>
      <t>This DG shall contain at least one valid /Authorisation/referenceNumber which includes 'CCL'.</t>
    </r>
  </si>
  <si>
    <r>
      <rPr>
        <sz val="10"/>
        <color indexed="8"/>
        <rFont val="Arial"/>
      </rPr>
      <t>S0001</t>
    </r>
  </si>
  <si>
    <r>
      <rPr>
        <sz val="10"/>
        <color indexed="8"/>
        <rFont val="Arial"/>
      </rPr>
      <t>The validation of rules and conditions on this DG/DI shall be performed in the following sequence: C0625-&gt;C0911</t>
    </r>
  </si>
  <si>
    <r>
      <rPr>
        <sz val="10"/>
        <color indexed="8"/>
        <rFont val="Arial"/>
      </rPr>
      <t>Sequencing Rule</t>
    </r>
  </si>
  <si>
    <r>
      <rPr>
        <sz val="10"/>
        <color indexed="8"/>
        <rFont val="Arial"/>
      </rPr>
      <t>S0003</t>
    </r>
  </si>
  <si>
    <r>
      <rPr>
        <sz val="10"/>
        <color indexed="8"/>
        <rFont val="Arial"/>
      </rPr>
      <t>The validation of rules and conditions on this DG/DI shall be performed in the following sequence: C0627-&gt;C0630</t>
    </r>
  </si>
  <si>
    <r>
      <rPr>
        <sz val="10"/>
        <color indexed="8"/>
        <rFont val="Arial"/>
      </rPr>
      <t>S0009</t>
    </r>
  </si>
  <si>
    <r>
      <rPr>
        <sz val="10"/>
        <color indexed="8"/>
        <rFont val="Arial"/>
      </rPr>
      <t>The validation of rules and conditions on this DG/DI shall be performed in the following sequence:  C0623-&gt;C0646</t>
    </r>
  </si>
  <si>
    <r>
      <rPr>
        <sz val="10"/>
        <color indexed="8"/>
        <rFont val="Arial"/>
      </rPr>
      <t>S0014</t>
    </r>
  </si>
  <si>
    <r>
      <rPr>
        <sz val="10"/>
        <color indexed="8"/>
        <rFont val="Arial"/>
      </rPr>
      <t>The validation of rules and conditions on this DG/DI shall be performed in the following sequence:C0697-&gt;C0616</t>
    </r>
  </si>
  <si>
    <r>
      <rPr>
        <sz val="10"/>
        <color indexed="8"/>
        <rFont val="Arial"/>
      </rPr>
      <t>S0016</t>
    </r>
  </si>
  <si>
    <r>
      <rPr>
        <sz val="10"/>
        <color indexed="8"/>
        <rFont val="Arial"/>
      </rPr>
      <t xml:space="preserve">The validation of rules and conditions on this DG/DI shall be performed in the following sequence: C0627&gt;C0729&gt;C0738 </t>
    </r>
  </si>
  <si>
    <r>
      <rPr>
        <sz val="10"/>
        <color indexed="8"/>
        <rFont val="Arial"/>
      </rPr>
      <t>S0017</t>
    </r>
  </si>
  <si>
    <t>The validation of rules and conditions on this DG/DI shall be performed in the following sequence: C0625-&gt;C0626-&gt;C0829-&gt;C0853</t>
  </si>
  <si>
    <r>
      <rPr>
        <sz val="10"/>
        <color indexed="8"/>
        <rFont val="Arial"/>
      </rPr>
      <t>S0019</t>
    </r>
  </si>
  <si>
    <r>
      <rPr>
        <sz val="10"/>
        <color indexed="8"/>
        <rFont val="Arial"/>
      </rPr>
      <t>The validation of rules and conditions on this DG/DI shall be performed in the following sequence:C0905-&gt;C0936</t>
    </r>
  </si>
  <si>
    <r>
      <rPr>
        <sz val="10"/>
        <color indexed="8"/>
        <rFont val="Arial"/>
      </rPr>
      <t>S0020</t>
    </r>
  </si>
  <si>
    <r>
      <rPr>
        <sz val="10"/>
        <color indexed="8"/>
        <rFont val="Arial"/>
      </rPr>
      <t xml:space="preserve">The validation of rules and conditions on this DG/DI shall be performed in the following sequence:  C0931-&gt; C0810 </t>
    </r>
  </si>
  <si>
    <r>
      <rPr>
        <sz val="10"/>
        <color indexed="8"/>
        <rFont val="Arial"/>
      </rPr>
      <t>S0022</t>
    </r>
  </si>
  <si>
    <r>
      <rPr>
        <sz val="10"/>
        <color indexed="8"/>
        <rFont val="Arial"/>
      </rPr>
      <t>The validation of rules and conditions on this DG/DI shall be performed in the following sequence: C0618-&gt;C0710</t>
    </r>
  </si>
  <si>
    <r>
      <rPr>
        <sz val="10"/>
        <color indexed="8"/>
        <rFont val="Arial"/>
      </rPr>
      <t>S0023</t>
    </r>
  </si>
  <si>
    <r>
      <rPr>
        <sz val="10"/>
        <color indexed="8"/>
        <rFont val="Arial"/>
      </rPr>
      <t>The validation of rules and conditions on this DG/DI shall be performed in the following sequence:  C0937-&gt;C0630</t>
    </r>
  </si>
  <si>
    <r>
      <rPr>
        <sz val="10"/>
        <color indexed="8"/>
        <rFont val="Arial"/>
      </rPr>
      <t>S0024</t>
    </r>
  </si>
  <si>
    <r>
      <rPr>
        <sz val="10"/>
        <color indexed="8"/>
        <rFont val="Arial"/>
      </rPr>
      <t>The validation of rules and conditions on this DG/DI shall be performed in the following sequence: C0628-&gt;C0810</t>
    </r>
  </si>
  <si>
    <r>
      <rPr>
        <sz val="10"/>
        <color indexed="8"/>
        <rFont val="Arial"/>
      </rPr>
      <t>S0025</t>
    </r>
  </si>
  <si>
    <r>
      <rPr>
        <sz val="10"/>
        <color indexed="8"/>
        <rFont val="Arial"/>
      </rPr>
      <t>The validation of rules and conditions on this DG/DI shall be performed in the following sequence:C0820-&gt;C0060</t>
    </r>
  </si>
  <si>
    <r>
      <rPr>
        <sz val="10"/>
        <color indexed="8"/>
        <rFont val="Arial"/>
      </rPr>
      <t>S0026</t>
    </r>
  </si>
  <si>
    <r>
      <rPr>
        <sz val="10"/>
        <color indexed="8"/>
        <rFont val="Arial"/>
      </rPr>
      <t>The validation of rules and conditions on this DG/DI shall be performed in the following sequence: C0938-&gt;C0737</t>
    </r>
  </si>
  <si>
    <r>
      <rPr>
        <sz val="10"/>
        <color indexed="8"/>
        <rFont val="Arial"/>
      </rPr>
      <t>S0027</t>
    </r>
  </si>
  <si>
    <r>
      <rPr>
        <sz val="10"/>
        <color indexed="8"/>
        <rFont val="Arial"/>
      </rPr>
      <t>The validation of rules and conditions on this DG/DI shall be performed in the following sequence:C0627-&gt;C0002.</t>
    </r>
  </si>
  <si>
    <r>
      <rPr>
        <sz val="10"/>
        <color indexed="8"/>
        <rFont val="Arial"/>
      </rPr>
      <t>S0028</t>
    </r>
  </si>
  <si>
    <r>
      <rPr>
        <sz val="10"/>
        <color indexed="8"/>
        <rFont val="Arial"/>
      </rPr>
      <t>The validation of rules and conditions on this DG/DI shall be performed in the following sequence:C0654-&gt;C0002.</t>
    </r>
  </si>
  <si>
    <r>
      <rPr>
        <sz val="10"/>
        <color indexed="8"/>
        <rFont val="Arial"/>
      </rPr>
      <t>S0029</t>
    </r>
  </si>
  <si>
    <r>
      <rPr>
        <sz val="10"/>
        <color indexed="8"/>
        <rFont val="Arial"/>
      </rPr>
      <t>The validation of rules and conditions on this DG/DI shall be performed in the following sequence:C0618-&gt;C0002.</t>
    </r>
  </si>
  <si>
    <r>
      <rPr>
        <sz val="10"/>
        <color indexed="8"/>
        <rFont val="Arial"/>
      </rPr>
      <t>S0031</t>
    </r>
  </si>
  <si>
    <r>
      <rPr>
        <sz val="10"/>
        <color indexed="8"/>
        <rFont val="Arial"/>
      </rPr>
      <t>The validation of rules and conditions on this DG/DI shall be performed in the following sequence: C0627-&gt;C0715&gt;C0002.</t>
    </r>
  </si>
  <si>
    <r>
      <rPr>
        <sz val="10"/>
        <color indexed="8"/>
        <rFont val="Arial"/>
      </rPr>
      <t>S0032</t>
    </r>
  </si>
  <si>
    <r>
      <rPr>
        <sz val="10"/>
        <color indexed="8"/>
        <rFont val="Arial"/>
      </rPr>
      <t>The validation of rules and conditions on this DG/DI shall be performed in the following sequence: C0820-&gt;C0869.</t>
    </r>
  </si>
  <si>
    <r>
      <rPr>
        <sz val="10"/>
        <color indexed="8"/>
        <rFont val="Arial"/>
      </rPr>
      <t>S0033</t>
    </r>
  </si>
  <si>
    <r>
      <rPr>
        <sz val="10"/>
        <color indexed="8"/>
        <rFont val="Arial"/>
      </rPr>
      <t>The validation of rules and conditions on this DG/DI shall be performed in the following sequence:C0627-&gt;C0630-&gt;C0806.</t>
    </r>
  </si>
  <si>
    <t>99 00 000 000</t>
  </si>
  <si>
    <t>16 03 000 000
16 04 000 000</t>
  </si>
  <si>
    <t xml:space="preserve">Each ‘Goods Item Number’ is unique throughout the declaration. The items shall be numbered in a sequential fashion, starting from '1' for the first item and incrementing the numbering by '1' for each following item". Goods item number is filled in with the item number of the goods concerned as provided in D.E. Goods Item number of Annex B. </t>
  </si>
  <si>
    <t>FOOTNOTE</t>
  </si>
  <si>
    <t>[1]</t>
  </si>
  <si>
    <t>This information shall not be required in case a customs declaration has been lodged prior to the presentation of the goods pursuant to Article 171 of the Code.</t>
  </si>
  <si>
    <t>[2]</t>
  </si>
  <si>
    <t>In the cases where Article 166(2) of the Code (simplified declarations based on authorizations) is applicable, Member States may waive the obligation to provide this information where the conditions prescribed in the authorizations associated with the procedures concerned allow them to defer the collection of this data element in the supplementary declaration.</t>
  </si>
  <si>
    <t>[3]</t>
  </si>
  <si>
    <t>This element is an alternative to the unique consignment reference number [UCR] when the latter is not available. It provides a link to other useful sources of information.</t>
  </si>
  <si>
    <t>[4]</t>
  </si>
  <si>
    <t>This information needs to be provided only where Article 166(2) of the Code (simplified decla-rations based on authorizations) is applicable; in this case, it is the number of the authorization for simplified procedure. However, this data element can also contain the transport document number concerned.</t>
  </si>
  <si>
    <t>[5]</t>
  </si>
  <si>
    <t>This information is only required where the declaration of placing of goods under a customs procedure is used to discharge a customs warehousing procedure.</t>
  </si>
  <si>
    <t>[6]</t>
  </si>
  <si>
    <t>Where the EORI number or a third country unique identification number recognized by the Union is provided, the name and address shall not be provided.</t>
  </si>
  <si>
    <t>[7]</t>
  </si>
  <si>
    <t>The Holder of the transit procedure Identification number is mandatory only in the cases where the EORI number or a third country unique identification number recognized by the Union of the person concerned is not provided. Where the EORI number or a third country unique identifica-tion number recognized by the Union is provided, the name and address shall not be provided._x000D_
The TIR Holder identification number is mandatory in case the Declaration type is TIR; other-wise, it cannot be used.</t>
  </si>
  <si>
    <t>[8]</t>
  </si>
  <si>
    <t>This information shall only be provided where available.</t>
  </si>
  <si>
    <t>[9]</t>
  </si>
  <si>
    <t>This information shall not be provided in respect of cargo remaining on board (FROB) or trans-shipped cargo for which the destination is located outside the Customs territory of the Union.</t>
  </si>
  <si>
    <t>[10]</t>
  </si>
  <si>
    <t>Member States may waive this information where the customs value of the goods in question cannot be determined under the provisions of Article 70 of the Code. In such cases the declarant shall furnish or cause to be furnished to the customs authorities such other information as may be requested for the purposes of determining the customs value.</t>
  </si>
  <si>
    <t>[11]</t>
  </si>
  <si>
    <t>This information is not to be provided when customs administrations calculate duties on behalf of economic operators on the basis of information elsewhere in the declaration. It is otherwise optional for the Member States.</t>
  </si>
  <si>
    <t>[12]</t>
  </si>
  <si>
    <t>This information is not required for goods eligible for relief from import duties, unless the cus-toms authorities consider it necessary for the application of the provisions governing the re-lease for free circulation of the goods concerned.</t>
  </si>
  <si>
    <t>[13]</t>
  </si>
  <si>
    <t>This information is not to be provided when customs administrations calculate duties on behalf of economic operators on the basis of information elsewhere in the declaration.</t>
  </si>
  <si>
    <t>[14]</t>
  </si>
  <si>
    <t>Except where it is essential for the correct determination of the customs value, the Member State of acceptance of the declaration shall waive the obligation to provide this information, if any of the following is the case:_x000D_
•	where the customs value of the imported goods in a consignment does not exceed EUR 20.000 provided that they do not constitute split or multiple consignments from the same consignor to the same consignee,_x000D_
•	where the importation is of a non-commercial nature_x000D_
•	in case of continuing traffic in goods supplied by the same seller to the same buyer un-der the same commercial conditions.</t>
  </si>
  <si>
    <t>[15]</t>
  </si>
  <si>
    <t>Member States may require this information only in cases when the rate of exchange is fixed in advance by a contract between the parties concerned.</t>
  </si>
  <si>
    <t>[16]</t>
  </si>
  <si>
    <t>For completion only where Union legislation so provides.</t>
  </si>
  <si>
    <t>[17]</t>
  </si>
  <si>
    <t>This information shall only be required where the simplified declaration is not lodged together with an exit summary declaration.</t>
  </si>
  <si>
    <t>[18]</t>
  </si>
  <si>
    <t>This data element is mandatory for agricultural products with export refunds.</t>
  </si>
  <si>
    <t>[19]</t>
  </si>
  <si>
    <t>This data element is mandatory for agricultural products subject to refunds and for those goods which Union legislation requires the origin of the goods in the context of trade with special fiscal territories.</t>
  </si>
  <si>
    <t>[20]</t>
  </si>
  <si>
    <t>This information is required where:_x000D_
a)	no preferential treatment is applied or_x000D_
b)	the country of non-preferential origin is different to the country of preferential origin.</t>
  </si>
  <si>
    <t>[21]</t>
  </si>
  <si>
    <t>This information is required where a preferential treatment is applied using the appropriate code in D.E. 14 11 000 000 Preference.</t>
  </si>
  <si>
    <t>[22]</t>
  </si>
  <si>
    <t>This information shall only be used in case of centralized clearance.</t>
  </si>
  <si>
    <t>[23]</t>
  </si>
  <si>
    <t>This information shall only be used in case the declaration for temporary storage or the customs declaration to place the goods under a special procedure other than transit is lodged at a cus-toms office different to the supervising customs office as indicated in the respective authoriza-tion.</t>
  </si>
  <si>
    <t>[24]</t>
  </si>
  <si>
    <t>This information shall only be required in case of commercial transactions involving at least two Member States.</t>
  </si>
  <si>
    <t>[25]</t>
  </si>
  <si>
    <t>This information shall only be provided for entry into the declarants’ records and only if the discharge of the goods under temporary storage concerns only parts of the declaration for tem-porary storage lodged previously in relation with the goods concerned.</t>
  </si>
  <si>
    <t>[26]</t>
  </si>
  <si>
    <t>This data element is an alternative to the Commodity code when it is not provided.</t>
  </si>
  <si>
    <t>[27]</t>
  </si>
  <si>
    <t>This data element can be provided to identify goods covered by a notification for re-exportation of goods under temporary storage where part of the goods covered by the declaration for tem-porary storage concerned are not re-exported.</t>
  </si>
  <si>
    <t>[28]</t>
  </si>
  <si>
    <t>This data element is an alternative to the description of goods when it is not provided.</t>
  </si>
  <si>
    <t>[29]</t>
  </si>
  <si>
    <t>This data element is not mandatory in case the declaration type is TIR.</t>
  </si>
  <si>
    <t>[30]</t>
  </si>
  <si>
    <t>Member States may waive this requirement for modes of transport other than rail in case the transit movement doesn’t cross the external border of the Union.</t>
  </si>
  <si>
    <t>[31]</t>
  </si>
  <si>
    <t>This information does not have to be provided when export formalities are carried out at the point of exit from the customs territory of the Union.</t>
  </si>
  <si>
    <t>[32]</t>
  </si>
  <si>
    <t>This data element does not have to be provided where the import formalities are carried out at the point of entry into the customs territory of the Union.</t>
  </si>
  <si>
    <t>[33]</t>
  </si>
  <si>
    <t>[34]</t>
  </si>
  <si>
    <t>Not for use in the case of postal consignments or carriage by fixed transport installations.</t>
  </si>
  <si>
    <t>[35]</t>
  </si>
  <si>
    <t>Where goods are carried in multimodal transport units, such as containers, swap bodies and semi-trailers, the customs authorities may authorize the holder of the transit procedure not to provide this information where the logistical pattern at the point of departure may prevent the identity and nationality of the means of transport from being provided at the time the goods are released for transit, providing multimodal transport units bear unique numbers and such num-bers are indicated in D.E. 19 07 063 000 Container identification number.</t>
  </si>
  <si>
    <t>[36]</t>
  </si>
  <si>
    <t>In the following cases, Member States shall waive the obligation to enter this information on a transit declaration lodged at the office of departure in relation with the means of transport on which the goods are directly loaded:_x000D_
-	where the logistical pattern does not allow this data element to be provided and the holder of the transit procedure has the AEOC status and_x000D_
-	where the relevant information may be traced where needed by the customs authori-ties via the records of the holder of the transit procedure.</t>
  </si>
  <si>
    <t>[37]</t>
  </si>
  <si>
    <t>Not for use in the case of postal consignments or carriage by fixed transport installations or rail.</t>
  </si>
  <si>
    <t>[38]</t>
  </si>
  <si>
    <t>[39]</t>
  </si>
  <si>
    <t>This information shall only be required where the release of the goods is subject to the provi-sion of a comprehensive guarantee.</t>
  </si>
  <si>
    <t>[40]</t>
  </si>
  <si>
    <t>The Member State of acceptance of the declaration may waive the obligation to provide this information where it is in the position to assess it correctly and has implemented calculation routines to provide a result compatible with statistical requirements.</t>
  </si>
  <si>
    <t>[41]</t>
  </si>
  <si>
    <t>This data element shall only be used in the context of a supplementary declaration for Entry into the declarant’s records.</t>
  </si>
  <si>
    <t>[42]</t>
  </si>
  <si>
    <t>This data element shall only be used in the context of TIR Carnet.</t>
  </si>
  <si>
    <t>[43]</t>
  </si>
  <si>
    <t>Each goods item number must be unique throughout the consignment (master level). The items shall be numbered in a sequential fashion, starting from 1 for the first item and incrementing the numbering by 1 for each following item.</t>
  </si>
  <si>
    <t>[44]</t>
  </si>
  <si>
    <t>Each goods item number must be unique throughout the consignment (house level). The items shall be numbered in a sequential fashion, starting from 1 for the first item and incrementing the numbering by 1 for each following item.</t>
  </si>
  <si>
    <t>[45]</t>
  </si>
  <si>
    <t>This information shall be provided either at consignment or consignment/goods item level. Where the same information is applicable to all goods items of the same consignment it shall be provided at consignment level only.</t>
  </si>
  <si>
    <t>[46]</t>
  </si>
  <si>
    <t>EORI number shall be declared.</t>
  </si>
  <si>
    <t>[47]</t>
  </si>
  <si>
    <t>Where an EORI number or third country unique identification number (TCUIN) was assigned, it shall be declared.</t>
  </si>
  <si>
    <t>[48]</t>
  </si>
  <si>
    <t>At least one of the following shall be declared: Estimated date and time of arrival (D.E. 15 03 000 000); transport document (D.E. 12 05 000 000) or previous document (D.E. 12 01 000 000). In maritime traffic in addition the entry key may be used.</t>
  </si>
  <si>
    <t>[49]</t>
  </si>
  <si>
    <t>In the address either street and number or P.O. box is to be declared.</t>
  </si>
  <si>
    <t>[50]</t>
  </si>
  <si>
    <t>This data element does not need to be provided where the declaration is lodged prior to depar-ture.</t>
  </si>
  <si>
    <t>[51]</t>
  </si>
  <si>
    <t>This information shall only be provided when the declaration is amended.</t>
  </si>
  <si>
    <t>[52]</t>
  </si>
  <si>
    <t>This information can be provided alternatively on master consignment or on house consign-ment level upon referral request.</t>
  </si>
  <si>
    <t>[53]</t>
  </si>
  <si>
    <t>This information can be provided alternatively on master consignment item or on house con-signment item level.</t>
  </si>
  <si>
    <t>[54]</t>
  </si>
  <si>
    <t>This information is not required:_x000D_
a)	when the goods are declared for release for free circulation under the special scheme for distance sales of goods imported from third countries and territories set out in Title XII Chapter 6 Section 4 of Directive 2006/112/EC; or_x000D_
b)	when the goods are of a non-commercial character sent from a third country by private persons to other private persons in a Member State and exempt from VAT pursuant to Article 1 of Council Directive 2006/79/EC (1).</t>
  </si>
  <si>
    <t>[55]</t>
  </si>
  <si>
    <t>This information is only required when the goods are declared for release for free circulation under the special scheme for distance sales of goods imported from third countries and territo-ries set out in Title XII Chapter 6 Section 4 of Directive 2006/112/EC.</t>
  </si>
  <si>
    <t>[56]</t>
  </si>
  <si>
    <t>This information is only required if the declaration concerns goods referred to in Article 27 of Council Regulation (EC) No 1186/2009.</t>
  </si>
  <si>
    <t>[57]</t>
  </si>
  <si>
    <t>This information is not required in cases of multiple goods packed together and for postal con-signments.</t>
  </si>
  <si>
    <t>[58]</t>
  </si>
  <si>
    <t>For Centralized Clearance at Import where more than one MS is involved, the information relat-ing to the national codes shall be provided for the Authorizing and Presentation MS.</t>
  </si>
  <si>
    <t>[59]</t>
  </si>
  <si>
    <t>When this data element is used at least either the code or text shall be provided.</t>
  </si>
  <si>
    <t>[60]</t>
  </si>
  <si>
    <t>This data element is to be provided when an authorization exists according to the relevant section of Annex A to this Regulation, Title I Chapter 1.</t>
  </si>
  <si>
    <t>[61]</t>
  </si>
  <si>
    <t>This data element is optional when the declaration is submitted prior to presentation of goods.</t>
  </si>
  <si>
    <t>[62]</t>
  </si>
  <si>
    <t>This information shall relate to the situation at the moment when the declaration is made.</t>
  </si>
  <si>
    <t>[63]</t>
  </si>
  <si>
    <t>This information shall be provided for decisions relating to binding information.</t>
  </si>
  <si>
    <t>[64]</t>
  </si>
  <si>
    <t>The gross mass on item level does not need to be declared if the total gross mass is declared on “MC” or “HC” level.</t>
  </si>
  <si>
    <t>[65]</t>
  </si>
  <si>
    <t>This information shall only be provided when customs authority decided to seal the goods.</t>
  </si>
  <si>
    <t>[66]</t>
  </si>
  <si>
    <t>EORI number or third country unique identification number (TCUIN) shall be declared, where available.</t>
  </si>
  <si>
    <t>[67]</t>
  </si>
  <si>
    <t>This information shall be required when Region of dispatch is provided.</t>
  </si>
  <si>
    <t>[68]</t>
  </si>
  <si>
    <t>This information shall not be provided in the case of a pre-lodged declaration.</t>
  </si>
  <si>
    <t>[69]</t>
  </si>
  <si>
    <t>This information shall only be provided when codes are defined by the Member State con-cerned.</t>
  </si>
  <si>
    <t>[70]</t>
  </si>
  <si>
    <t>Not for use in the case there is no Customs office of transit (17 04 000 000) declared.</t>
  </si>
  <si>
    <t>[71]</t>
  </si>
  <si>
    <t>This information shall not be provided if it is the same as the Departure transport means (19 05 000 000).</t>
  </si>
  <si>
    <t>[72]</t>
  </si>
  <si>
    <t>Member States may waive this obligation if their systems allow them to deduce this information automatically and unambiguously from information elsewhere in the declaration.</t>
  </si>
  <si>
    <t>[73]</t>
  </si>
  <si>
    <t>This information shall be provided in the case of end-use authorization.</t>
  </si>
  <si>
    <t>[84]</t>
  </si>
  <si>
    <t>This information shall not be provided where it relates to a customs declaration in postal traffic for release for free circulation.</t>
  </si>
  <si>
    <t>[85]</t>
  </si>
  <si>
    <t xml:space="preserve">This information shall not be provided where it relates to a customs declaration for release for free circulation in respect of a consignment which benefits from a relief from import duty in accordance with Article 23(1) or Article 25(1) of Regulation (EC) No 1186/2009._x000D_
_x000D_
</t>
  </si>
  <si>
    <t>DESCRIPTION</t>
  </si>
  <si>
    <t>This data element is mandatory for agricultural products with export refunds, unless they are carried by post or fixed transport installations.
[In case of transport by post or fixed installations, this information shall not be required.]</t>
  </si>
  <si>
    <t>This data element is mandatory for agricultural products with export refunds unless they are carried by post, fixed transport installations, or rail.
[In case of transport by post, fixed installations or rail, this information shall not be required.]</t>
  </si>
  <si>
    <t>Guarantee reference number</t>
  </si>
  <si>
    <t xml:space="preserve">IF Type of packages is in SET CL181 THEN Shipping marks = "O" AND Number of packages = "N" 
ELSE IF Type of packages is in SET CL182 THEN Shipping marks = "O" AND Number of packages = "R" 
ELSE Shipping marks = "R" AND Number of packages = "R" </t>
  </si>
  <si>
    <t>CL017
CL181
CL182</t>
  </si>
  <si>
    <t>*/ImportOperation/dateAndTimeOfPresentationOfTheGoods</t>
  </si>
  <si>
    <t>*/Declarant/identificationNumber</t>
  </si>
  <si>
    <t>*/Declarant/RIN</t>
  </si>
  <si>
    <t>*/Representative/RIN</t>
  </si>
  <si>
    <t>*/Guarantee[0]/guaranteeCode</t>
  </si>
  <si>
    <t>*/GoodsShipment[0]/Consignee</t>
  </si>
  <si>
    <t>*/GoodsShipment[0]/DeliveryTerms/status</t>
  </si>
  <si>
    <t>*/GoodsShipment[0]/SupportingDocument[0]/referenceNumber</t>
  </si>
  <si>
    <t>*/GoodsShipment[0]/AdditionsAndDeductions[0]/currency</t>
  </si>
  <si>
    <t>*/GoodsShipment[0]/AdditionsAndDeductions[0]/splitCode</t>
  </si>
  <si>
    <t>*/GoodsShipment[0]/AdditionsAndDeductions[0]/amount</t>
  </si>
  <si>
    <t>*/GoodsShipment[0]/AdditionsAndDeductions[0]/percentage</t>
  </si>
  <si>
    <t>*/GoodsShipment[0]/AdditionsAndDeductions[0]/adjustmentTypeCode</t>
  </si>
  <si>
    <t>*/GoodsShipment[0]/PostalCharges</t>
  </si>
  <si>
    <t>*/GoodsShipment[0]/TransportAndInsuranceCostsToTheDestination</t>
  </si>
  <si>
    <t>*/GoodsShipment[0]/Consignment/containerIndicator</t>
  </si>
  <si>
    <t>*/GoodsShipment[0]/Consignment/TransportEquipment[0]</t>
  </si>
  <si>
    <t>*/GoodsShipment[0]/Consignment/TransportEquipment[0]/GoodsReference[0]</t>
  </si>
  <si>
    <t>*/GoodsShipment[0]/GoodsShipmentItem[0]/Procedure/requestedProcedure</t>
  </si>
  <si>
    <t>*/GoodsShipment[0]/GoodsShipmentItem[0]/Procedure/previousProcedure</t>
  </si>
  <si>
    <t>*/GoodsShipment[0]/GoodsShipmentItem[0]/Consignee</t>
  </si>
  <si>
    <t>*/GoodsShipment[0]/GoodsShipmentItem[0]/IntrinsicValue</t>
  </si>
  <si>
    <t>*/GoodsShipment[0]/GoodsShipmentItem[0]/PostalValue</t>
  </si>
  <si>
    <t>*/GoodsShipment[0]/GoodsShipmentItem[0]/Commodity/CommodityCode/typeOfGood</t>
  </si>
  <si>
    <t>*/GoodsShipment[0]/GoodsShipmentItem[0]/Commodity/GoodsMeasure</t>
  </si>
  <si>
    <t>*/GoodsShipment[0]/GoodsShipmentItem[0]/Commodity/CalculationOfTaxes/DutiesAndTaxes[0]/TaxBase[0]/currencyCode</t>
  </si>
  <si>
    <t>*/GoodsShipment[0]/GoodsShipmentItem[0]/Packaging[0]/sequenceNumber</t>
  </si>
  <si>
    <t>*/GoodsShipment[0]/GoodsShipmentItem[0]/Packaging[0]/typeOfPackages</t>
  </si>
  <si>
    <t>*/GoodsShipment[0]/GoodsShipmentItem[0]/SupportingDocument[0]/referenceNumber</t>
  </si>
  <si>
    <t>*/GoodsShipment[0]/GoodsShipmentItem[0]/CustomsValuation/AdditionsAndDeductions[0]/currency</t>
  </si>
  <si>
    <t>*/GoodsShipment[0]/GoodsShipmentItem[0]/CustomsValuation/AdditionsAndDeductions[0]/percentage</t>
  </si>
  <si>
    <t>*/GoodsShipment[0]/GoodsShipmentItem[0]/CustomsValuation/AdditionsAndDeductions[0]/adjustmentTypeCode</t>
  </si>
  <si>
    <t>*/GoodsShipment[0]/GoodsShipmentItem[0]/TransportAndInsuranceCostsToTheDestination</t>
  </si>
  <si>
    <t>Change</t>
  </si>
  <si>
    <t>Removed</t>
  </si>
  <si>
    <t>Mandatory</t>
  </si>
  <si>
    <t>Limited</t>
  </si>
  <si>
    <t>*/ImportOperation/customsRegistrationNumber</t>
  </si>
  <si>
    <t>IE446: E_SUP_DOC</t>
  </si>
  <si>
    <t>IE413: E_DEC_AMD &amp; IE415: E_IMP_DAT</t>
  </si>
  <si>
    <t>IE414: E_INV_REQ</t>
  </si>
  <si>
    <t>*/RepaymentRemissionAuthorisation</t>
  </si>
  <si>
    <t>IE432: E_PRE_NOT</t>
  </si>
  <si>
    <t>*/Extensions[0]</t>
  </si>
  <si>
    <t>*/SupervisingCustomsOffice</t>
  </si>
  <si>
    <t>Added</t>
  </si>
  <si>
    <t>Optional</t>
  </si>
  <si>
    <t>IE404: E_AMD_ACC</t>
  </si>
  <si>
    <t>IE410: E_INV_DEC</t>
  </si>
  <si>
    <t>*/AdditionalInformation[0]</t>
  </si>
  <si>
    <t>IE426: E_REG_NOT</t>
  </si>
  <si>
    <t>IE428: E_ACC_DEC</t>
  </si>
  <si>
    <t>IE429: E_REL_FIM</t>
  </si>
  <si>
    <t>*/Authorisation[0]</t>
  </si>
  <si>
    <t>*/CustomsOfficeOfPresentation</t>
  </si>
  <si>
    <t>*/GoodsShipment[0]</t>
  </si>
  <si>
    <t>*/ControlResults[0]</t>
  </si>
  <si>
    <t>Enlarged</t>
  </si>
  <si>
    <t>IE431: E_EXP_SUP</t>
  </si>
  <si>
    <t>IE438: E_ADD_DOC</t>
  </si>
  <si>
    <t>IE444: E_CTR_RES</t>
  </si>
  <si>
    <t>IE447: E_DOC_RES</t>
  </si>
  <si>
    <t>IE451: E_CCI_NRL</t>
  </si>
  <si>
    <t>IE456: E_CCI_REJ</t>
  </si>
  <si>
    <t>*/FunctionalError[0]</t>
  </si>
  <si>
    <t>Conditional</t>
  </si>
  <si>
    <t>IE457: E_PRE_REG</t>
  </si>
  <si>
    <t>IE460: E_IMP_CTR</t>
  </si>
  <si>
    <t>IE462: E_PRE_REQ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</si>
</sst>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9"/>
      <color theme="1"/>
      <name val="Calibri"/>
      <family val="2"/>
      <scheme val="minor"/>
    </font>
    <font>
      <sz val="11"/>
      <color indexed="8"/>
      <name val="Calibri"/>
      <family val="2"/>
      <scheme val="minor"/>
    </font>
    <font>
      <b/>
      <sz val="10"/>
      <color rgb="FF000000"/>
      <name val="Arial"/>
    </font>
    <font>
      <b/>
      <sz val="10"/>
      <color indexed="8"/>
      <name val="Arial"/>
    </font>
    <font>
      <sz val="10"/>
      <color rgb="FF000000"/>
      <name val="Arial"/>
    </font>
    <font>
      <sz val="10"/>
      <color indexed="8"/>
      <name val="Arial"/>
    </font>
  </fonts>
  <fills count="6">
    <fill>
      <patternFill patternType="none"/>
    </fill>
    <fill>
      <patternFill patternType="gray125"/>
    </fill>
    <fill>
      <patternFill patternType="solid">
        <fgColor rgb="FFBFBFBF"/>
        <bgColor indexed="64"/>
      </patternFill>
    </fill>
    <fill>
      <patternFill patternType="solid">
        <fgColor theme="0" tint="-0.249977111117893"/>
        <bgColor indexed="64"/>
      </patternFill>
    </fill>
    <fill>
      <patternFill patternType="solid">
        <fgColor rgb="FF7FFFD4"/>
        <bgColor rgb="FFFFFFFF"/>
      </patternFill>
    </fill>
    <fill>
      <patternFill patternType="solid">
        <fgColor rgb="FFFFFFFE"/>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2" fillId="0" borderId="0"/>
  </cellStyleXfs>
  <cellXfs count="31">
    <xf numFmtId="0" fontId="0" fillId="0" borderId="0" xfId="0"/>
    <xf numFmtId="0" fontId="1" fillId="0" borderId="0" xfId="0" applyFont="1" applyAlignment="1">
      <alignment vertical="top"/>
    </xf>
    <xf numFmtId="49" fontId="1" fillId="0" borderId="0" xfId="0" applyNumberFormat="1" applyFont="1" applyAlignment="1">
      <alignment vertical="top"/>
    </xf>
    <xf numFmtId="49" fontId="1" fillId="2" borderId="0" xfId="0" applyNumberFormat="1" applyFont="1" applyFill="1" applyAlignment="1">
      <alignment vertical="top"/>
    </xf>
    <xf numFmtId="0" fontId="1" fillId="2" borderId="0" xfId="0" applyFont="1" applyFill="1" applyAlignment="1">
      <alignment vertical="top"/>
    </xf>
    <xf numFmtId="49" fontId="1" fillId="2" borderId="0" xfId="0" applyNumberFormat="1" applyFont="1" applyFill="1" applyAlignment="1">
      <alignment horizontal="left" vertical="top" indent="1"/>
    </xf>
    <xf numFmtId="49" fontId="1" fillId="0" borderId="0" xfId="0" applyNumberFormat="1" applyFont="1" applyAlignment="1">
      <alignment horizontal="left" vertical="top" indent="2"/>
    </xf>
    <xf numFmtId="49" fontId="1" fillId="0" borderId="0" xfId="0" applyNumberFormat="1" applyFont="1" applyAlignment="1">
      <alignment vertical="top" wrapText="1"/>
    </xf>
    <xf numFmtId="49" fontId="1" fillId="2" borderId="0" xfId="0" applyNumberFormat="1" applyFont="1" applyFill="1" applyAlignment="1">
      <alignment horizontal="left" vertical="top" indent="2"/>
    </xf>
    <xf numFmtId="49" fontId="1" fillId="0" borderId="0" xfId="0" applyNumberFormat="1" applyFont="1" applyAlignment="1">
      <alignment horizontal="left" vertical="top" indent="3"/>
    </xf>
    <xf numFmtId="49" fontId="1" fillId="2" borderId="0" xfId="0" applyNumberFormat="1" applyFont="1" applyFill="1" applyAlignment="1">
      <alignment horizontal="left" vertical="top" indent="3"/>
    </xf>
    <xf numFmtId="49" fontId="1" fillId="0" borderId="0" xfId="0" applyNumberFormat="1" applyFont="1" applyAlignment="1">
      <alignment horizontal="left" vertical="top" indent="4"/>
    </xf>
    <xf numFmtId="49" fontId="1" fillId="2" borderId="0" xfId="0" applyNumberFormat="1" applyFont="1" applyFill="1" applyAlignment="1">
      <alignment horizontal="left" vertical="top" indent="4"/>
    </xf>
    <xf numFmtId="49" fontId="1" fillId="0" borderId="0" xfId="0" applyNumberFormat="1" applyFont="1" applyAlignment="1">
      <alignment horizontal="left" vertical="top" indent="5"/>
    </xf>
    <xf numFmtId="0" fontId="1" fillId="0" borderId="0" xfId="0" applyFont="1" applyAlignment="1">
      <alignment vertical="top" wrapText="1"/>
    </xf>
    <xf numFmtId="0" fontId="1" fillId="2" borderId="0" xfId="0" applyFont="1" applyFill="1" applyAlignment="1">
      <alignment vertical="top" wrapText="1"/>
    </xf>
    <xf numFmtId="49" fontId="1" fillId="2" borderId="0" xfId="0" applyNumberFormat="1" applyFont="1" applyFill="1" applyAlignment="1">
      <alignment vertical="top" wrapText="1"/>
    </xf>
    <xf numFmtId="49" fontId="1" fillId="2" borderId="0" xfId="0" applyNumberFormat="1" applyFont="1" applyFill="1" applyAlignment="1">
      <alignment horizontal="left" vertical="top" indent="5"/>
    </xf>
    <xf numFmtId="49" fontId="1" fillId="0" borderId="0" xfId="0" applyNumberFormat="1" applyFont="1" applyAlignment="1">
      <alignment horizontal="left" vertical="top" indent="6"/>
    </xf>
    <xf numFmtId="49" fontId="1" fillId="2" borderId="0" xfId="0" applyNumberFormat="1" applyFont="1" applyFill="1" applyAlignment="1">
      <alignment horizontal="left" vertical="top" indent="6"/>
    </xf>
    <xf numFmtId="49" fontId="1" fillId="0" borderId="0" xfId="0" applyNumberFormat="1" applyFont="1" applyAlignment="1">
      <alignment horizontal="left" vertical="top" indent="7"/>
    </xf>
    <xf numFmtId="49" fontId="1" fillId="3" borderId="0" xfId="0" applyNumberFormat="1" applyFont="1" applyFill="1" applyAlignment="1">
      <alignment vertical="top"/>
    </xf>
    <xf numFmtId="0" fontId="1" fillId="3" borderId="0" xfId="0" applyFont="1" applyFill="1" applyAlignment="1">
      <alignment vertical="top"/>
    </xf>
    <xf numFmtId="49" fontId="1" fillId="3" borderId="0" xfId="0" applyNumberFormat="1" applyFont="1" applyFill="1" applyAlignment="1">
      <alignment horizontal="left" vertical="top" indent="2"/>
    </xf>
    <xf numFmtId="49" fontId="1" fillId="3" borderId="0" xfId="0" applyNumberFormat="1" applyFont="1" applyFill="1" applyAlignment="1">
      <alignment horizontal="left" vertical="top" indent="1"/>
    </xf>
    <xf numFmtId="0" fontId="1" fillId="3" borderId="0" xfId="0" applyFont="1" applyFill="1" applyAlignment="1">
      <alignment vertical="top" wrapText="1"/>
    </xf>
    <xf numFmtId="0" fontId="2" fillId="0" borderId="0" xfId="1"/>
    <xf numFmtId="0" fontId="3" fillId="4" borderId="1" xfId="1" applyFont="1" applyFill="1" applyBorder="1" applyAlignment="1" applyProtection="1">
      <alignment horizontal="center" vertical="center" wrapText="1"/>
      <protection locked="0"/>
    </xf>
    <xf numFmtId="0" fontId="5" fillId="5" borderId="1" xfId="1" applyFont="1" applyFill="1" applyBorder="1" applyAlignment="1" applyProtection="1">
      <alignment horizontal="left" vertical="top" wrapText="1"/>
      <protection locked="0"/>
    </xf>
    <xf numFmtId="0" fontId="6" fillId="5" borderId="1" xfId="1" applyFont="1" applyFill="1" applyBorder="1" applyAlignment="1" applyProtection="1">
      <alignment horizontal="left" vertical="top" wrapText="1"/>
      <protection locked="0"/>
    </xf>
    <xf numFmtId="0" fontId="2" fillId="0" borderId="0" xfId="1" applyAlignment="1">
      <alignment wrapText="1"/>
    </xf>
  </cellXfs>
  <cellStyles count="2">
    <cellStyle name="Normal" xfId="0" builtinId="0"/>
    <cellStyle name="Normal 2" xfId="1" xr:uid="{E1744648-24C4-460A-B379-762773F19F2A}"/>
  </cellStyles>
  <dxfs count="62">
    <dxf>
      <fill>
        <patternFill patternType="darkUp">
          <fgColor rgb="FFFFCC00"/>
        </patternFill>
      </fill>
    </dxf>
    <dxf>
      <fill>
        <patternFill patternType="darkUp">
          <fgColor rgb="FFAADD88"/>
        </patternFill>
      </fill>
    </dxf>
    <dxf>
      <fill>
        <patternFill patternType="darkUp">
          <fgColor rgb="FFFF0000"/>
        </patternFill>
      </fill>
    </dxf>
    <dxf>
      <fill>
        <patternFill patternType="darkUp">
          <fgColor rgb="FFFFCC00"/>
        </patternFill>
      </fill>
    </dxf>
    <dxf>
      <fill>
        <patternFill patternType="darkUp">
          <fgColor rgb="FFAADD88"/>
        </patternFill>
      </fill>
    </dxf>
    <dxf>
      <fill>
        <patternFill patternType="darkUp">
          <fgColor rgb="FFFF0000"/>
        </patternFill>
      </fill>
    </dxf>
    <dxf>
      <fill>
        <patternFill patternType="darkUp">
          <fgColor rgb="FFFFCC00"/>
        </patternFill>
      </fill>
    </dxf>
    <dxf>
      <fill>
        <patternFill patternType="darkUp">
          <fgColor rgb="FFAADD88"/>
        </patternFill>
      </fill>
    </dxf>
    <dxf>
      <fill>
        <patternFill patternType="darkUp">
          <fgColor rgb="FFFF0000"/>
        </patternFill>
      </fill>
    </dxf>
    <dxf>
      <fill>
        <patternFill patternType="darkUp">
          <fgColor rgb="FFFFCC00"/>
        </patternFill>
      </fill>
    </dxf>
    <dxf>
      <fill>
        <patternFill patternType="darkUp">
          <fgColor rgb="FFAADD88"/>
        </patternFill>
      </fill>
    </dxf>
    <dxf>
      <fill>
        <patternFill patternType="darkUp">
          <fgColor rgb="FFFF0000"/>
        </patternFill>
      </fill>
    </dxf>
    <dxf>
      <fill>
        <patternFill patternType="darkUp">
          <fgColor rgb="FFFFCC00"/>
        </patternFill>
      </fill>
    </dxf>
    <dxf>
      <fill>
        <patternFill patternType="darkUp">
          <fgColor rgb="FFAADD88"/>
        </patternFill>
      </fill>
    </dxf>
    <dxf>
      <fill>
        <patternFill patternType="darkUp">
          <fgColor rgb="FFFF0000"/>
        </patternFill>
      </fill>
    </dxf>
    <dxf>
      <fill>
        <patternFill patternType="darkUp">
          <fgColor rgb="FFFFCC00"/>
        </patternFill>
      </fill>
    </dxf>
    <dxf>
      <fill>
        <patternFill patternType="darkUp">
          <fgColor rgb="FFAADD88"/>
        </patternFill>
      </fill>
    </dxf>
    <dxf>
      <fill>
        <patternFill patternType="darkUp">
          <fgColor rgb="FFFF0000"/>
        </patternFill>
      </fill>
    </dxf>
    <dxf>
      <fill>
        <patternFill patternType="darkUp">
          <fgColor rgb="FFFFCC00"/>
        </patternFill>
      </fill>
    </dxf>
    <dxf>
      <fill>
        <patternFill patternType="darkUp">
          <fgColor rgb="FFAADD88"/>
        </patternFill>
      </fill>
    </dxf>
    <dxf>
      <fill>
        <patternFill patternType="darkUp">
          <fgColor rgb="FFFF0000"/>
        </patternFill>
      </fill>
    </dxf>
    <dxf>
      <fill>
        <patternFill patternType="darkUp">
          <fgColor rgb="FFFFCC00"/>
        </patternFill>
      </fill>
    </dxf>
    <dxf>
      <fill>
        <patternFill patternType="darkUp">
          <fgColor rgb="FFAADD88"/>
        </patternFill>
      </fill>
    </dxf>
    <dxf>
      <fill>
        <patternFill patternType="darkUp">
          <fgColor rgb="FFFF0000"/>
        </patternFill>
      </fill>
    </dxf>
    <dxf>
      <fill>
        <patternFill patternType="darkUp">
          <fgColor rgb="FFFFCC00"/>
        </patternFill>
      </fill>
    </dxf>
    <dxf>
      <fill>
        <patternFill patternType="darkUp">
          <fgColor rgb="FFAADD88"/>
        </patternFill>
      </fill>
    </dxf>
    <dxf>
      <fill>
        <patternFill patternType="darkUp">
          <fgColor rgb="FFFF0000"/>
        </patternFill>
      </fill>
    </dxf>
    <dxf>
      <fill>
        <patternFill patternType="darkUp">
          <fgColor rgb="FFFFCC00"/>
        </patternFill>
      </fill>
    </dxf>
    <dxf>
      <fill>
        <patternFill patternType="darkUp">
          <fgColor rgb="FFAADD88"/>
        </patternFill>
      </fill>
    </dxf>
    <dxf>
      <fill>
        <patternFill patternType="darkUp">
          <fgColor rgb="FFFF0000"/>
        </patternFill>
      </fill>
    </dxf>
    <dxf>
      <fill>
        <patternFill patternType="darkUp">
          <fgColor rgb="FFFFCC00"/>
        </patternFill>
      </fill>
    </dxf>
    <dxf>
      <fill>
        <patternFill patternType="darkUp">
          <fgColor rgb="FFAADD88"/>
        </patternFill>
      </fill>
    </dxf>
    <dxf>
      <fill>
        <patternFill patternType="darkUp">
          <fgColor rgb="FFFF0000"/>
        </patternFill>
      </fill>
    </dxf>
    <dxf>
      <fill>
        <patternFill patternType="darkUp">
          <fgColor rgb="FFFFCC00"/>
        </patternFill>
      </fill>
    </dxf>
    <dxf>
      <fill>
        <patternFill patternType="darkUp">
          <fgColor rgb="FFAADD88"/>
        </patternFill>
      </fill>
    </dxf>
    <dxf>
      <fill>
        <patternFill patternType="darkUp">
          <fgColor rgb="FFFF0000"/>
        </patternFill>
      </fill>
    </dxf>
    <dxf>
      <fill>
        <patternFill patternType="darkUp">
          <fgColor rgb="FFFFCC00"/>
        </patternFill>
      </fill>
    </dxf>
    <dxf>
      <fill>
        <patternFill patternType="darkUp">
          <fgColor rgb="FFAADD88"/>
        </patternFill>
      </fill>
    </dxf>
    <dxf>
      <fill>
        <patternFill patternType="darkUp">
          <fgColor rgb="FFFF0000"/>
        </patternFill>
      </fill>
    </dxf>
    <dxf>
      <fill>
        <patternFill patternType="darkUp">
          <fgColor rgb="FFFFCC00"/>
        </patternFill>
      </fill>
    </dxf>
    <dxf>
      <fill>
        <patternFill patternType="darkUp">
          <fgColor rgb="FFAADD88"/>
        </patternFill>
      </fill>
    </dxf>
    <dxf>
      <fill>
        <patternFill patternType="darkUp">
          <fgColor rgb="FFFF0000"/>
        </patternFill>
      </fill>
    </dxf>
    <dxf>
      <fill>
        <patternFill patternType="darkUp">
          <fgColor rgb="FFFFCC00"/>
        </patternFill>
      </fill>
    </dxf>
    <dxf>
      <fill>
        <patternFill patternType="darkUp">
          <fgColor rgb="FFAADD88"/>
        </patternFill>
      </fill>
    </dxf>
    <dxf>
      <fill>
        <patternFill patternType="darkUp">
          <fgColor rgb="FFFF0000"/>
        </patternFill>
      </fill>
    </dxf>
    <dxf>
      <fill>
        <patternFill patternType="darkUp">
          <fgColor rgb="FFFFCC00"/>
        </patternFill>
      </fill>
    </dxf>
    <dxf>
      <fill>
        <patternFill patternType="darkUp">
          <fgColor rgb="FFAADD88"/>
        </patternFill>
      </fill>
    </dxf>
    <dxf>
      <fill>
        <patternFill patternType="darkUp">
          <fgColor rgb="FFFF0000"/>
        </patternFill>
      </fill>
    </dxf>
    <dxf>
      <fill>
        <patternFill patternType="darkUp">
          <fgColor rgb="FFFFCC00"/>
        </patternFill>
      </fill>
    </dxf>
    <dxf>
      <fill>
        <patternFill patternType="darkUp">
          <fgColor rgb="FFAADD88"/>
        </patternFill>
      </fill>
    </dxf>
    <dxf>
      <fill>
        <patternFill patternType="darkUp">
          <fgColor rgb="FFFF0000"/>
        </patternFill>
      </fill>
    </dxf>
    <dxf>
      <fill>
        <patternFill patternType="darkUp">
          <fgColor rgb="FFFFCC00"/>
        </patternFill>
      </fill>
    </dxf>
    <dxf>
      <fill>
        <patternFill patternType="darkUp">
          <fgColor rgb="FFAADD88"/>
        </patternFill>
      </fill>
    </dxf>
    <dxf>
      <fill>
        <patternFill patternType="darkUp">
          <fgColor rgb="FFFF0000"/>
        </patternFill>
      </fill>
    </dxf>
    <dxf>
      <fill>
        <patternFill patternType="darkUp">
          <fgColor rgb="FFFFCC00"/>
        </patternFill>
      </fill>
    </dxf>
    <dxf>
      <fill>
        <patternFill patternType="darkUp">
          <fgColor rgb="FFAADD88"/>
        </patternFill>
      </fill>
    </dxf>
    <dxf>
      <fill>
        <patternFill patternType="darkUp">
          <fgColor rgb="FFFF0000"/>
        </patternFill>
      </fill>
    </dxf>
    <dxf>
      <fill>
        <patternFill patternType="darkUp">
          <fgColor rgb="FFAADD88"/>
        </patternFill>
      </fill>
    </dxf>
    <dxf>
      <fill>
        <patternFill patternType="darkUp">
          <fgColor rgb="FFAADD88"/>
        </patternFill>
      </fill>
    </dxf>
    <dxf>
      <fill>
        <patternFill patternType="darkUp">
          <fgColor rgb="FFFFCC00"/>
        </patternFill>
      </fill>
    </dxf>
    <dxf>
      <fill>
        <patternFill patternType="darkUp">
          <fgColor rgb="FFFF0000"/>
        </patternFill>
      </fill>
    </dxf>
    <dxf>
      <fill>
        <patternFill patternType="darkUp">
          <fgColor rgb="FFAADD8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theme/theme1.xml><?xml version="1.0" encoding="utf-8"?>
<a:theme xmlns:a="http://schemas.openxmlformats.org/drawingml/2006/main" name="Office 2013 – 2022 T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2A796-2AC6-4225-83C6-F5351FFA025D}">
  <sheetPr codeName="Ark16">
    <tabColor rgb="FF00B050"/>
  </sheetPr>
  <dimension ref="A1:P346"/>
  <sheetViews>
    <sheetView workbookViewId="0">
      <selection activeCell="D2" sqref="D2"/>
    </sheetView>
  </sheetViews>
  <sheetFormatPr defaultRowHeight="14.5" x14ac:dyDescent="0.35"/>
  <sheetData>
    <row r="1" spans="1:16" x14ac:dyDescent="0.35">
      <c r="A1" t="s">
        <v>0</v>
      </c>
      <c r="B1" t="s">
        <v>1</v>
      </c>
      <c r="C1" t="s">
        <v>2</v>
      </c>
      <c r="D1" t="s">
        <v>3</v>
      </c>
      <c r="E1" t="s">
        <v>4</v>
      </c>
      <c r="F1" t="s">
        <v>5</v>
      </c>
      <c r="G1" t="s">
        <v>6</v>
      </c>
      <c r="H1" t="s">
        <v>7</v>
      </c>
      <c r="I1" t="s">
        <v>8</v>
      </c>
      <c r="J1" t="s">
        <v>9</v>
      </c>
      <c r="K1" t="s">
        <v>10</v>
      </c>
      <c r="L1" t="s">
        <v>11</v>
      </c>
      <c r="M1" t="s">
        <v>12</v>
      </c>
      <c r="N1" t="s">
        <v>13</v>
      </c>
      <c r="P1" t="s">
        <v>14</v>
      </c>
    </row>
    <row r="2" spans="1:16" x14ac:dyDescent="0.35">
      <c r="A2" t="s">
        <v>15</v>
      </c>
      <c r="B2">
        <v>0</v>
      </c>
      <c r="C2" t="s">
        <v>16</v>
      </c>
      <c r="E2" t="s">
        <v>15</v>
      </c>
      <c r="M2" t="s">
        <v>17</v>
      </c>
      <c r="P2" t="s">
        <v>18</v>
      </c>
    </row>
    <row r="3" spans="1:16" x14ac:dyDescent="0.35">
      <c r="A3" t="s">
        <v>15</v>
      </c>
      <c r="B3">
        <v>1</v>
      </c>
      <c r="C3" t="s">
        <v>24</v>
      </c>
      <c r="D3" t="s">
        <v>20</v>
      </c>
      <c r="E3" t="s">
        <v>21</v>
      </c>
      <c r="G3" t="s">
        <v>22</v>
      </c>
      <c r="M3" t="s">
        <v>21</v>
      </c>
      <c r="P3" t="s">
        <v>23</v>
      </c>
    </row>
    <row r="4" spans="1:16" x14ac:dyDescent="0.35">
      <c r="A4" t="s">
        <v>15</v>
      </c>
      <c r="B4">
        <v>2</v>
      </c>
      <c r="C4" t="s">
        <v>19</v>
      </c>
      <c r="D4" t="s">
        <v>25</v>
      </c>
      <c r="E4" t="s">
        <v>774</v>
      </c>
      <c r="F4" t="s">
        <v>775</v>
      </c>
      <c r="G4" t="s">
        <v>27</v>
      </c>
      <c r="M4" t="s">
        <v>776</v>
      </c>
    </row>
    <row r="5" spans="1:16" x14ac:dyDescent="0.35">
      <c r="A5" t="s">
        <v>15</v>
      </c>
      <c r="B5">
        <v>2</v>
      </c>
      <c r="C5" t="s">
        <v>19</v>
      </c>
      <c r="D5" t="s">
        <v>30</v>
      </c>
      <c r="E5" t="s">
        <v>777</v>
      </c>
      <c r="F5" t="s">
        <v>778</v>
      </c>
      <c r="G5" t="s">
        <v>22</v>
      </c>
      <c r="M5" t="s">
        <v>779</v>
      </c>
    </row>
    <row r="6" spans="1:16" x14ac:dyDescent="0.35">
      <c r="A6" t="s">
        <v>15</v>
      </c>
      <c r="B6">
        <v>2</v>
      </c>
      <c r="C6" t="s">
        <v>19</v>
      </c>
      <c r="D6" t="s">
        <v>25</v>
      </c>
      <c r="E6" t="s">
        <v>780</v>
      </c>
      <c r="F6" t="s">
        <v>778</v>
      </c>
      <c r="G6" t="s">
        <v>27</v>
      </c>
      <c r="M6" t="s">
        <v>780</v>
      </c>
    </row>
    <row r="7" spans="1:16" x14ac:dyDescent="0.35">
      <c r="A7" t="s">
        <v>15</v>
      </c>
      <c r="B7">
        <v>2</v>
      </c>
      <c r="C7" t="s">
        <v>19</v>
      </c>
      <c r="D7" t="s">
        <v>25</v>
      </c>
      <c r="E7" t="s">
        <v>781</v>
      </c>
      <c r="F7" t="s">
        <v>778</v>
      </c>
      <c r="G7" t="s">
        <v>27</v>
      </c>
      <c r="M7" t="s">
        <v>781</v>
      </c>
    </row>
    <row r="8" spans="1:16" x14ac:dyDescent="0.35">
      <c r="A8" t="s">
        <v>15</v>
      </c>
      <c r="B8">
        <v>2</v>
      </c>
      <c r="C8" t="s">
        <v>19</v>
      </c>
      <c r="D8" t="s">
        <v>25</v>
      </c>
      <c r="E8" t="s">
        <v>782</v>
      </c>
      <c r="F8" t="s">
        <v>783</v>
      </c>
      <c r="G8" t="s">
        <v>27</v>
      </c>
      <c r="M8" t="s">
        <v>784</v>
      </c>
    </row>
    <row r="9" spans="1:16" x14ac:dyDescent="0.35">
      <c r="A9" t="s">
        <v>15</v>
      </c>
      <c r="B9">
        <v>2</v>
      </c>
      <c r="C9" t="s">
        <v>24</v>
      </c>
      <c r="D9" t="s">
        <v>20</v>
      </c>
      <c r="E9" t="s">
        <v>21</v>
      </c>
      <c r="G9" t="s">
        <v>22</v>
      </c>
      <c r="M9" t="s">
        <v>21</v>
      </c>
      <c r="P9" t="s">
        <v>785</v>
      </c>
    </row>
    <row r="10" spans="1:16" x14ac:dyDescent="0.35">
      <c r="A10" t="s">
        <v>15</v>
      </c>
      <c r="B10">
        <v>1</v>
      </c>
      <c r="C10" t="s">
        <v>24</v>
      </c>
      <c r="D10" t="s">
        <v>25</v>
      </c>
      <c r="E10" t="s">
        <v>26</v>
      </c>
      <c r="G10" t="s">
        <v>27</v>
      </c>
      <c r="H10" t="s">
        <v>440</v>
      </c>
      <c r="M10" t="s">
        <v>28</v>
      </c>
      <c r="P10" t="s">
        <v>29</v>
      </c>
    </row>
    <row r="11" spans="1:16" x14ac:dyDescent="0.35">
      <c r="A11" t="s">
        <v>15</v>
      </c>
      <c r="B11">
        <v>2</v>
      </c>
      <c r="C11" t="s">
        <v>19</v>
      </c>
      <c r="D11" t="s">
        <v>30</v>
      </c>
      <c r="E11" t="s">
        <v>31</v>
      </c>
      <c r="F11" t="s">
        <v>32</v>
      </c>
      <c r="G11" t="s">
        <v>396</v>
      </c>
      <c r="I11" t="s">
        <v>441</v>
      </c>
      <c r="L11" t="s">
        <v>1196</v>
      </c>
      <c r="M11" t="s">
        <v>33</v>
      </c>
      <c r="P11" t="s">
        <v>34</v>
      </c>
    </row>
    <row r="12" spans="1:16" x14ac:dyDescent="0.35">
      <c r="A12" t="s">
        <v>15</v>
      </c>
      <c r="B12">
        <v>2</v>
      </c>
      <c r="C12" t="s">
        <v>19</v>
      </c>
      <c r="D12" t="s">
        <v>30</v>
      </c>
      <c r="E12" t="s">
        <v>35</v>
      </c>
      <c r="F12" t="s">
        <v>36</v>
      </c>
      <c r="G12" t="s">
        <v>396</v>
      </c>
      <c r="I12" t="s">
        <v>441</v>
      </c>
      <c r="M12" t="s">
        <v>37</v>
      </c>
      <c r="P12" t="s">
        <v>38</v>
      </c>
    </row>
    <row r="13" spans="1:16" x14ac:dyDescent="0.35">
      <c r="A13" t="s">
        <v>15</v>
      </c>
      <c r="B13">
        <v>2</v>
      </c>
      <c r="C13" t="s">
        <v>19</v>
      </c>
      <c r="D13" t="s">
        <v>25</v>
      </c>
      <c r="E13" t="s">
        <v>39</v>
      </c>
      <c r="F13" t="s">
        <v>40</v>
      </c>
      <c r="G13" t="s">
        <v>27</v>
      </c>
      <c r="J13" t="s">
        <v>389</v>
      </c>
      <c r="L13" t="s">
        <v>1197</v>
      </c>
      <c r="M13" t="s">
        <v>41</v>
      </c>
      <c r="P13" t="s">
        <v>42</v>
      </c>
    </row>
    <row r="14" spans="1:16" x14ac:dyDescent="0.35">
      <c r="A14" t="s">
        <v>15</v>
      </c>
      <c r="B14">
        <v>2</v>
      </c>
      <c r="C14" t="s">
        <v>19</v>
      </c>
      <c r="D14" t="s">
        <v>25</v>
      </c>
      <c r="E14" t="s">
        <v>43</v>
      </c>
      <c r="F14" t="s">
        <v>44</v>
      </c>
      <c r="G14" t="s">
        <v>27</v>
      </c>
      <c r="J14" t="s">
        <v>390</v>
      </c>
      <c r="L14" t="s">
        <v>1198</v>
      </c>
      <c r="M14" t="s">
        <v>45</v>
      </c>
      <c r="P14" t="s">
        <v>46</v>
      </c>
    </row>
    <row r="15" spans="1:16" x14ac:dyDescent="0.35">
      <c r="A15" t="s">
        <v>15</v>
      </c>
      <c r="B15">
        <v>2</v>
      </c>
      <c r="C15" t="s">
        <v>19</v>
      </c>
      <c r="D15" t="s">
        <v>25</v>
      </c>
      <c r="E15" t="s">
        <v>49</v>
      </c>
      <c r="F15" t="s">
        <v>50</v>
      </c>
      <c r="G15" t="s">
        <v>27</v>
      </c>
      <c r="H15" t="s">
        <v>392</v>
      </c>
      <c r="J15" t="s">
        <v>391</v>
      </c>
      <c r="M15" t="s">
        <v>51</v>
      </c>
      <c r="P15" t="s">
        <v>52</v>
      </c>
    </row>
    <row r="16" spans="1:16" x14ac:dyDescent="0.35">
      <c r="A16" t="s">
        <v>15</v>
      </c>
      <c r="B16">
        <v>1</v>
      </c>
      <c r="C16" t="s">
        <v>24</v>
      </c>
      <c r="D16" t="s">
        <v>53</v>
      </c>
      <c r="E16" t="s">
        <v>54</v>
      </c>
      <c r="G16" t="s">
        <v>22</v>
      </c>
      <c r="H16" t="s">
        <v>442</v>
      </c>
      <c r="L16" t="s">
        <v>991</v>
      </c>
      <c r="M16" t="s">
        <v>54</v>
      </c>
      <c r="P16" t="s">
        <v>55</v>
      </c>
    </row>
    <row r="17" spans="1:16" x14ac:dyDescent="0.35">
      <c r="A17" t="s">
        <v>15</v>
      </c>
      <c r="B17">
        <v>2</v>
      </c>
      <c r="C17" t="s">
        <v>19</v>
      </c>
      <c r="D17" t="s">
        <v>25</v>
      </c>
      <c r="E17" t="s">
        <v>56</v>
      </c>
      <c r="F17" t="s">
        <v>57</v>
      </c>
      <c r="G17" t="s">
        <v>27</v>
      </c>
      <c r="H17" t="s">
        <v>393</v>
      </c>
      <c r="M17" t="s">
        <v>58</v>
      </c>
      <c r="P17" t="s">
        <v>59</v>
      </c>
    </row>
    <row r="18" spans="1:16" x14ac:dyDescent="0.35">
      <c r="A18" t="s">
        <v>15</v>
      </c>
      <c r="B18">
        <v>2</v>
      </c>
      <c r="C18" t="s">
        <v>19</v>
      </c>
      <c r="D18" t="s">
        <v>30</v>
      </c>
      <c r="E18" t="s">
        <v>2</v>
      </c>
      <c r="F18" t="s">
        <v>60</v>
      </c>
      <c r="G18" t="s">
        <v>396</v>
      </c>
      <c r="I18" t="s">
        <v>395</v>
      </c>
      <c r="J18" t="s">
        <v>394</v>
      </c>
      <c r="L18" t="s">
        <v>992</v>
      </c>
      <c r="M18" t="s">
        <v>61</v>
      </c>
      <c r="P18" t="s">
        <v>62</v>
      </c>
    </row>
    <row r="19" spans="1:16" x14ac:dyDescent="0.35">
      <c r="A19" t="s">
        <v>15</v>
      </c>
      <c r="B19">
        <v>2</v>
      </c>
      <c r="C19" t="s">
        <v>19</v>
      </c>
      <c r="D19" t="s">
        <v>25</v>
      </c>
      <c r="E19" t="s">
        <v>63</v>
      </c>
      <c r="F19" t="s">
        <v>64</v>
      </c>
      <c r="G19" t="s">
        <v>27</v>
      </c>
      <c r="L19" t="s">
        <v>993</v>
      </c>
      <c r="M19" t="s">
        <v>65</v>
      </c>
      <c r="P19" t="s">
        <v>66</v>
      </c>
    </row>
    <row r="20" spans="1:16" x14ac:dyDescent="0.35">
      <c r="A20" t="s">
        <v>15</v>
      </c>
      <c r="B20">
        <v>2</v>
      </c>
      <c r="C20" t="s">
        <v>19</v>
      </c>
      <c r="D20" t="s">
        <v>30</v>
      </c>
      <c r="E20" t="s">
        <v>67</v>
      </c>
      <c r="F20" t="s">
        <v>68</v>
      </c>
      <c r="G20" t="s">
        <v>396</v>
      </c>
      <c r="H20" t="s">
        <v>397</v>
      </c>
      <c r="I20" t="s">
        <v>398</v>
      </c>
      <c r="L20" t="s">
        <v>994</v>
      </c>
      <c r="M20" t="s">
        <v>69</v>
      </c>
      <c r="P20" t="s">
        <v>70</v>
      </c>
    </row>
    <row r="21" spans="1:16" x14ac:dyDescent="0.35">
      <c r="A21" t="s">
        <v>15</v>
      </c>
      <c r="B21">
        <v>1</v>
      </c>
      <c r="C21" t="s">
        <v>24</v>
      </c>
      <c r="D21" t="s">
        <v>30</v>
      </c>
      <c r="E21" t="s">
        <v>71</v>
      </c>
      <c r="G21" t="s">
        <v>22</v>
      </c>
      <c r="H21" t="s">
        <v>440</v>
      </c>
      <c r="L21" t="s">
        <v>995</v>
      </c>
      <c r="M21" t="s">
        <v>72</v>
      </c>
      <c r="P21" t="s">
        <v>73</v>
      </c>
    </row>
    <row r="22" spans="1:16" x14ac:dyDescent="0.35">
      <c r="A22" t="s">
        <v>15</v>
      </c>
      <c r="B22">
        <v>2</v>
      </c>
      <c r="C22" t="s">
        <v>19</v>
      </c>
      <c r="D22" t="s">
        <v>25</v>
      </c>
      <c r="E22" t="s">
        <v>63</v>
      </c>
      <c r="F22" t="s">
        <v>74</v>
      </c>
      <c r="G22" t="s">
        <v>27</v>
      </c>
      <c r="J22" t="s">
        <v>399</v>
      </c>
      <c r="L22" t="s">
        <v>996</v>
      </c>
      <c r="M22" t="s">
        <v>65</v>
      </c>
      <c r="P22" t="s">
        <v>75</v>
      </c>
    </row>
    <row r="23" spans="1:16" x14ac:dyDescent="0.35">
      <c r="A23" t="s">
        <v>15</v>
      </c>
      <c r="B23">
        <v>1</v>
      </c>
      <c r="C23" t="s">
        <v>24</v>
      </c>
      <c r="D23" t="s">
        <v>30</v>
      </c>
      <c r="E23" t="s">
        <v>76</v>
      </c>
      <c r="G23" t="s">
        <v>22</v>
      </c>
      <c r="H23" t="s">
        <v>400</v>
      </c>
      <c r="L23" t="s">
        <v>997</v>
      </c>
      <c r="M23" t="s">
        <v>77</v>
      </c>
      <c r="P23" t="s">
        <v>78</v>
      </c>
    </row>
    <row r="24" spans="1:16" x14ac:dyDescent="0.35">
      <c r="A24" t="s">
        <v>15</v>
      </c>
      <c r="B24">
        <v>2</v>
      </c>
      <c r="C24" t="s">
        <v>19</v>
      </c>
      <c r="D24" t="s">
        <v>25</v>
      </c>
      <c r="E24" t="s">
        <v>63</v>
      </c>
      <c r="F24" t="s">
        <v>74</v>
      </c>
      <c r="G24" t="s">
        <v>27</v>
      </c>
      <c r="J24" t="s">
        <v>399</v>
      </c>
      <c r="L24" t="s">
        <v>998</v>
      </c>
      <c r="M24" t="s">
        <v>65</v>
      </c>
      <c r="P24" t="s">
        <v>75</v>
      </c>
    </row>
    <row r="25" spans="1:16" x14ac:dyDescent="0.35">
      <c r="A25" t="s">
        <v>15</v>
      </c>
      <c r="B25">
        <v>1</v>
      </c>
      <c r="C25" t="s">
        <v>24</v>
      </c>
      <c r="D25" t="s">
        <v>25</v>
      </c>
      <c r="E25" t="s">
        <v>79</v>
      </c>
      <c r="G25" t="s">
        <v>27</v>
      </c>
      <c r="L25" t="s">
        <v>999</v>
      </c>
      <c r="M25" t="s">
        <v>79</v>
      </c>
      <c r="P25" t="s">
        <v>80</v>
      </c>
    </row>
    <row r="26" spans="1:16" x14ac:dyDescent="0.35">
      <c r="A26" t="s">
        <v>15</v>
      </c>
      <c r="B26">
        <v>2</v>
      </c>
      <c r="C26" t="s">
        <v>19</v>
      </c>
      <c r="D26" t="s">
        <v>30</v>
      </c>
      <c r="E26" t="s">
        <v>81</v>
      </c>
      <c r="F26" t="s">
        <v>68</v>
      </c>
      <c r="G26" t="s">
        <v>22</v>
      </c>
      <c r="H26" t="s">
        <v>397</v>
      </c>
      <c r="L26" t="s">
        <v>1000</v>
      </c>
      <c r="M26" t="s">
        <v>82</v>
      </c>
      <c r="P26" t="s">
        <v>70</v>
      </c>
    </row>
    <row r="27" spans="1:16" x14ac:dyDescent="0.35">
      <c r="A27" t="s">
        <v>15</v>
      </c>
      <c r="B27">
        <v>2</v>
      </c>
      <c r="C27" t="s">
        <v>19</v>
      </c>
      <c r="D27" t="s">
        <v>30</v>
      </c>
      <c r="E27" t="s">
        <v>4</v>
      </c>
      <c r="F27" t="s">
        <v>83</v>
      </c>
      <c r="G27" t="s">
        <v>396</v>
      </c>
      <c r="I27" t="s">
        <v>401</v>
      </c>
      <c r="L27" t="s">
        <v>1001</v>
      </c>
      <c r="M27" t="s">
        <v>84</v>
      </c>
      <c r="P27" t="s">
        <v>85</v>
      </c>
    </row>
    <row r="28" spans="1:16" x14ac:dyDescent="0.35">
      <c r="A28" t="s">
        <v>15</v>
      </c>
      <c r="B28">
        <v>2</v>
      </c>
      <c r="C28" t="s">
        <v>24</v>
      </c>
      <c r="D28" t="s">
        <v>30</v>
      </c>
      <c r="E28" t="s">
        <v>86</v>
      </c>
      <c r="G28" t="s">
        <v>396</v>
      </c>
      <c r="I28" t="s">
        <v>401</v>
      </c>
      <c r="L28" t="s">
        <v>1002</v>
      </c>
      <c r="M28" t="s">
        <v>86</v>
      </c>
      <c r="P28" t="s">
        <v>87</v>
      </c>
    </row>
    <row r="29" spans="1:16" x14ac:dyDescent="0.35">
      <c r="A29" t="s">
        <v>15</v>
      </c>
      <c r="B29">
        <v>3</v>
      </c>
      <c r="C29" t="s">
        <v>19</v>
      </c>
      <c r="D29" t="s">
        <v>25</v>
      </c>
      <c r="E29" t="s">
        <v>88</v>
      </c>
      <c r="F29" t="s">
        <v>83</v>
      </c>
      <c r="G29" t="s">
        <v>27</v>
      </c>
      <c r="L29" t="s">
        <v>1003</v>
      </c>
      <c r="M29" t="s">
        <v>89</v>
      </c>
      <c r="P29" t="s">
        <v>90</v>
      </c>
    </row>
    <row r="30" spans="1:16" x14ac:dyDescent="0.35">
      <c r="A30" t="s">
        <v>15</v>
      </c>
      <c r="B30">
        <v>3</v>
      </c>
      <c r="C30" t="s">
        <v>19</v>
      </c>
      <c r="D30" t="s">
        <v>30</v>
      </c>
      <c r="E30" t="s">
        <v>91</v>
      </c>
      <c r="F30" t="s">
        <v>92</v>
      </c>
      <c r="G30" t="s">
        <v>396</v>
      </c>
      <c r="I30" t="s">
        <v>402</v>
      </c>
      <c r="L30" t="s">
        <v>1004</v>
      </c>
      <c r="M30" t="s">
        <v>93</v>
      </c>
      <c r="P30" t="s">
        <v>94</v>
      </c>
    </row>
    <row r="31" spans="1:16" x14ac:dyDescent="0.35">
      <c r="A31" t="s">
        <v>15</v>
      </c>
      <c r="B31">
        <v>3</v>
      </c>
      <c r="C31" t="s">
        <v>19</v>
      </c>
      <c r="D31" t="s">
        <v>25</v>
      </c>
      <c r="E31" t="s">
        <v>95</v>
      </c>
      <c r="F31" t="s">
        <v>96</v>
      </c>
      <c r="G31" t="s">
        <v>27</v>
      </c>
      <c r="L31" t="s">
        <v>1005</v>
      </c>
      <c r="M31" t="s">
        <v>97</v>
      </c>
      <c r="P31" t="s">
        <v>98</v>
      </c>
    </row>
    <row r="32" spans="1:16" x14ac:dyDescent="0.35">
      <c r="A32" t="s">
        <v>15</v>
      </c>
      <c r="B32">
        <v>3</v>
      </c>
      <c r="C32" t="s">
        <v>19</v>
      </c>
      <c r="D32" t="s">
        <v>25</v>
      </c>
      <c r="E32" t="s">
        <v>99</v>
      </c>
      <c r="F32" t="s">
        <v>50</v>
      </c>
      <c r="G32" t="s">
        <v>27</v>
      </c>
      <c r="J32" t="s">
        <v>403</v>
      </c>
      <c r="L32" t="s">
        <v>1006</v>
      </c>
      <c r="M32" t="s">
        <v>100</v>
      </c>
      <c r="P32" t="s">
        <v>52</v>
      </c>
    </row>
    <row r="33" spans="1:16" x14ac:dyDescent="0.35">
      <c r="A33" t="s">
        <v>15</v>
      </c>
      <c r="B33">
        <v>1</v>
      </c>
      <c r="C33" t="s">
        <v>24</v>
      </c>
      <c r="D33" t="s">
        <v>25</v>
      </c>
      <c r="E33" t="s">
        <v>101</v>
      </c>
      <c r="G33" t="s">
        <v>27</v>
      </c>
      <c r="H33" t="s">
        <v>440</v>
      </c>
      <c r="L33" t="s">
        <v>1007</v>
      </c>
      <c r="M33" t="s">
        <v>101</v>
      </c>
      <c r="P33" t="s">
        <v>102</v>
      </c>
    </row>
    <row r="34" spans="1:16" x14ac:dyDescent="0.35">
      <c r="A34" t="s">
        <v>15</v>
      </c>
      <c r="B34">
        <v>2</v>
      </c>
      <c r="C34" t="s">
        <v>19</v>
      </c>
      <c r="D34" t="s">
        <v>30</v>
      </c>
      <c r="E34" t="s">
        <v>81</v>
      </c>
      <c r="F34" t="s">
        <v>68</v>
      </c>
      <c r="G34" t="s">
        <v>22</v>
      </c>
      <c r="H34" t="s">
        <v>397</v>
      </c>
      <c r="L34" t="s">
        <v>1008</v>
      </c>
      <c r="M34" t="s">
        <v>82</v>
      </c>
      <c r="P34" t="s">
        <v>70</v>
      </c>
    </row>
    <row r="35" spans="1:16" x14ac:dyDescent="0.35">
      <c r="A35" t="s">
        <v>15</v>
      </c>
      <c r="B35">
        <v>2</v>
      </c>
      <c r="C35" t="s">
        <v>19</v>
      </c>
      <c r="D35" t="s">
        <v>30</v>
      </c>
      <c r="E35" t="s">
        <v>4</v>
      </c>
      <c r="F35" t="s">
        <v>83</v>
      </c>
      <c r="G35" t="s">
        <v>396</v>
      </c>
      <c r="I35" t="s">
        <v>401</v>
      </c>
      <c r="L35" t="s">
        <v>1009</v>
      </c>
      <c r="M35" t="s">
        <v>84</v>
      </c>
      <c r="P35" t="s">
        <v>85</v>
      </c>
    </row>
    <row r="36" spans="1:16" x14ac:dyDescent="0.35">
      <c r="A36" t="s">
        <v>15</v>
      </c>
      <c r="B36">
        <v>2</v>
      </c>
      <c r="C36" t="s">
        <v>24</v>
      </c>
      <c r="D36" t="s">
        <v>30</v>
      </c>
      <c r="E36" t="s">
        <v>86</v>
      </c>
      <c r="G36" t="s">
        <v>396</v>
      </c>
      <c r="I36" t="s">
        <v>401</v>
      </c>
      <c r="L36" t="s">
        <v>1010</v>
      </c>
      <c r="M36" t="s">
        <v>86</v>
      </c>
      <c r="P36" t="s">
        <v>87</v>
      </c>
    </row>
    <row r="37" spans="1:16" x14ac:dyDescent="0.35">
      <c r="A37" t="s">
        <v>15</v>
      </c>
      <c r="B37">
        <v>3</v>
      </c>
      <c r="C37" t="s">
        <v>19</v>
      </c>
      <c r="D37" t="s">
        <v>25</v>
      </c>
      <c r="E37" t="s">
        <v>88</v>
      </c>
      <c r="F37" t="s">
        <v>83</v>
      </c>
      <c r="G37" t="s">
        <v>27</v>
      </c>
      <c r="L37" t="s">
        <v>1011</v>
      </c>
      <c r="M37" t="s">
        <v>89</v>
      </c>
      <c r="P37" t="s">
        <v>90</v>
      </c>
    </row>
    <row r="38" spans="1:16" x14ac:dyDescent="0.35">
      <c r="A38" t="s">
        <v>15</v>
      </c>
      <c r="B38">
        <v>3</v>
      </c>
      <c r="C38" t="s">
        <v>19</v>
      </c>
      <c r="D38" t="s">
        <v>30</v>
      </c>
      <c r="E38" t="s">
        <v>91</v>
      </c>
      <c r="F38" t="s">
        <v>92</v>
      </c>
      <c r="G38" t="s">
        <v>396</v>
      </c>
      <c r="I38" t="s">
        <v>402</v>
      </c>
      <c r="L38" t="s">
        <v>1012</v>
      </c>
      <c r="M38" t="s">
        <v>93</v>
      </c>
      <c r="P38" t="s">
        <v>94</v>
      </c>
    </row>
    <row r="39" spans="1:16" x14ac:dyDescent="0.35">
      <c r="A39" t="s">
        <v>15</v>
      </c>
      <c r="B39">
        <v>3</v>
      </c>
      <c r="C39" t="s">
        <v>19</v>
      </c>
      <c r="D39" t="s">
        <v>25</v>
      </c>
      <c r="E39" t="s">
        <v>95</v>
      </c>
      <c r="F39" t="s">
        <v>96</v>
      </c>
      <c r="G39" t="s">
        <v>27</v>
      </c>
      <c r="L39" t="s">
        <v>1013</v>
      </c>
      <c r="M39" t="s">
        <v>97</v>
      </c>
      <c r="P39" t="s">
        <v>98</v>
      </c>
    </row>
    <row r="40" spans="1:16" x14ac:dyDescent="0.35">
      <c r="A40" t="s">
        <v>15</v>
      </c>
      <c r="B40">
        <v>3</v>
      </c>
      <c r="C40" t="s">
        <v>19</v>
      </c>
      <c r="D40" t="s">
        <v>25</v>
      </c>
      <c r="E40" t="s">
        <v>99</v>
      </c>
      <c r="F40" t="s">
        <v>50</v>
      </c>
      <c r="G40" t="s">
        <v>27</v>
      </c>
      <c r="J40" t="s">
        <v>403</v>
      </c>
      <c r="L40" t="s">
        <v>1014</v>
      </c>
      <c r="M40" t="s">
        <v>100</v>
      </c>
      <c r="P40" t="s">
        <v>52</v>
      </c>
    </row>
    <row r="41" spans="1:16" x14ac:dyDescent="0.35">
      <c r="A41" t="s">
        <v>15</v>
      </c>
      <c r="B41">
        <v>2</v>
      </c>
      <c r="C41" t="s">
        <v>24</v>
      </c>
      <c r="D41" t="s">
        <v>30</v>
      </c>
      <c r="E41" t="s">
        <v>105</v>
      </c>
      <c r="G41" t="s">
        <v>22</v>
      </c>
      <c r="H41" t="s">
        <v>409</v>
      </c>
      <c r="L41" t="s">
        <v>1015</v>
      </c>
      <c r="M41" t="s">
        <v>106</v>
      </c>
      <c r="P41" t="s">
        <v>107</v>
      </c>
    </row>
    <row r="42" spans="1:16" x14ac:dyDescent="0.35">
      <c r="A42" t="s">
        <v>15</v>
      </c>
      <c r="B42">
        <v>3</v>
      </c>
      <c r="C42" t="s">
        <v>19</v>
      </c>
      <c r="D42" t="s">
        <v>25</v>
      </c>
      <c r="E42" t="s">
        <v>4</v>
      </c>
      <c r="F42" t="s">
        <v>83</v>
      </c>
      <c r="G42" t="s">
        <v>27</v>
      </c>
      <c r="L42" t="s">
        <v>1030</v>
      </c>
      <c r="M42" t="s">
        <v>84</v>
      </c>
      <c r="P42" t="s">
        <v>85</v>
      </c>
    </row>
    <row r="43" spans="1:16" x14ac:dyDescent="0.35">
      <c r="A43" t="s">
        <v>15</v>
      </c>
      <c r="B43">
        <v>3</v>
      </c>
      <c r="C43" t="s">
        <v>19</v>
      </c>
      <c r="D43" t="s">
        <v>25</v>
      </c>
      <c r="E43" t="s">
        <v>108</v>
      </c>
      <c r="F43" t="s">
        <v>96</v>
      </c>
      <c r="G43" t="s">
        <v>27</v>
      </c>
      <c r="L43" t="s">
        <v>1031</v>
      </c>
      <c r="M43" t="s">
        <v>109</v>
      </c>
      <c r="P43" t="s">
        <v>110</v>
      </c>
    </row>
    <row r="44" spans="1:16" x14ac:dyDescent="0.35">
      <c r="A44" t="s">
        <v>15</v>
      </c>
      <c r="B44">
        <v>3</v>
      </c>
      <c r="C44" t="s">
        <v>19</v>
      </c>
      <c r="D44" t="s">
        <v>25</v>
      </c>
      <c r="E44" t="s">
        <v>111</v>
      </c>
      <c r="F44" t="s">
        <v>112</v>
      </c>
      <c r="G44" t="s">
        <v>27</v>
      </c>
      <c r="L44" t="s">
        <v>1032</v>
      </c>
      <c r="M44" t="s">
        <v>113</v>
      </c>
      <c r="P44" t="s">
        <v>114</v>
      </c>
    </row>
    <row r="45" spans="1:16" x14ac:dyDescent="0.35">
      <c r="A45" t="s">
        <v>15</v>
      </c>
      <c r="B45">
        <v>1</v>
      </c>
      <c r="C45" t="s">
        <v>24</v>
      </c>
      <c r="D45" t="s">
        <v>30</v>
      </c>
      <c r="E45" t="s">
        <v>115</v>
      </c>
      <c r="G45" t="s">
        <v>396</v>
      </c>
      <c r="H45" t="s">
        <v>397</v>
      </c>
      <c r="I45" t="s">
        <v>404</v>
      </c>
      <c r="L45" t="s">
        <v>1016</v>
      </c>
      <c r="M45" t="s">
        <v>116</v>
      </c>
      <c r="P45" t="s">
        <v>117</v>
      </c>
    </row>
    <row r="46" spans="1:16" x14ac:dyDescent="0.35">
      <c r="A46" t="s">
        <v>15</v>
      </c>
      <c r="B46">
        <v>2</v>
      </c>
      <c r="C46" t="s">
        <v>19</v>
      </c>
      <c r="D46" t="s">
        <v>25</v>
      </c>
      <c r="E46" t="s">
        <v>81</v>
      </c>
      <c r="F46" t="s">
        <v>68</v>
      </c>
      <c r="G46" t="s">
        <v>27</v>
      </c>
      <c r="L46" t="s">
        <v>1017</v>
      </c>
      <c r="M46" t="s">
        <v>82</v>
      </c>
      <c r="P46" t="s">
        <v>70</v>
      </c>
    </row>
    <row r="47" spans="1:16" x14ac:dyDescent="0.35">
      <c r="A47" t="s">
        <v>15</v>
      </c>
      <c r="B47">
        <v>1</v>
      </c>
      <c r="C47" t="s">
        <v>24</v>
      </c>
      <c r="D47" t="s">
        <v>30</v>
      </c>
      <c r="E47" t="s">
        <v>118</v>
      </c>
      <c r="G47" t="s">
        <v>396</v>
      </c>
      <c r="H47" t="s">
        <v>397</v>
      </c>
      <c r="I47" t="s">
        <v>405</v>
      </c>
      <c r="L47" t="s">
        <v>1201</v>
      </c>
      <c r="M47" t="s">
        <v>119</v>
      </c>
      <c r="P47" t="s">
        <v>120</v>
      </c>
    </row>
    <row r="48" spans="1:16" x14ac:dyDescent="0.35">
      <c r="A48" t="s">
        <v>15</v>
      </c>
      <c r="B48">
        <v>2</v>
      </c>
      <c r="C48" t="s">
        <v>19</v>
      </c>
      <c r="D48" t="s">
        <v>25</v>
      </c>
      <c r="E48" t="s">
        <v>81</v>
      </c>
      <c r="F48" t="s">
        <v>68</v>
      </c>
      <c r="G48" t="s">
        <v>27</v>
      </c>
      <c r="L48" t="s">
        <v>1202</v>
      </c>
      <c r="M48" t="s">
        <v>82</v>
      </c>
      <c r="P48" t="s">
        <v>70</v>
      </c>
    </row>
    <row r="49" spans="1:16" x14ac:dyDescent="0.35">
      <c r="A49" t="s">
        <v>15</v>
      </c>
      <c r="B49">
        <v>1</v>
      </c>
      <c r="C49" t="s">
        <v>24</v>
      </c>
      <c r="D49" t="s">
        <v>30</v>
      </c>
      <c r="E49" t="s">
        <v>121</v>
      </c>
      <c r="G49" t="s">
        <v>22</v>
      </c>
      <c r="H49" t="s">
        <v>440</v>
      </c>
      <c r="L49" t="s">
        <v>1018</v>
      </c>
      <c r="M49" t="s">
        <v>121</v>
      </c>
      <c r="P49" t="s">
        <v>122</v>
      </c>
    </row>
    <row r="50" spans="1:16" x14ac:dyDescent="0.35">
      <c r="A50" t="s">
        <v>15</v>
      </c>
      <c r="B50">
        <v>2</v>
      </c>
      <c r="C50" t="s">
        <v>19</v>
      </c>
      <c r="D50" t="s">
        <v>25</v>
      </c>
      <c r="E50" t="s">
        <v>81</v>
      </c>
      <c r="F50" t="s">
        <v>68</v>
      </c>
      <c r="G50" t="s">
        <v>27</v>
      </c>
      <c r="H50" t="s">
        <v>406</v>
      </c>
      <c r="L50" t="s">
        <v>1019</v>
      </c>
      <c r="M50" t="s">
        <v>82</v>
      </c>
      <c r="P50" t="s">
        <v>70</v>
      </c>
    </row>
    <row r="51" spans="1:16" x14ac:dyDescent="0.35">
      <c r="A51" t="s">
        <v>15</v>
      </c>
      <c r="B51">
        <v>2</v>
      </c>
      <c r="C51" t="s">
        <v>19</v>
      </c>
      <c r="D51" t="s">
        <v>25</v>
      </c>
      <c r="E51" t="s">
        <v>6</v>
      </c>
      <c r="F51" t="s">
        <v>123</v>
      </c>
      <c r="G51" t="s">
        <v>27</v>
      </c>
      <c r="H51" t="s">
        <v>407</v>
      </c>
      <c r="J51" t="s">
        <v>408</v>
      </c>
      <c r="L51" t="s">
        <v>1020</v>
      </c>
      <c r="M51" t="s">
        <v>124</v>
      </c>
      <c r="P51" t="s">
        <v>125</v>
      </c>
    </row>
    <row r="52" spans="1:16" x14ac:dyDescent="0.35">
      <c r="A52" t="s">
        <v>15</v>
      </c>
      <c r="B52">
        <v>2</v>
      </c>
      <c r="C52" t="s">
        <v>24</v>
      </c>
      <c r="D52" t="s">
        <v>30</v>
      </c>
      <c r="E52" t="s">
        <v>105</v>
      </c>
      <c r="G52" t="s">
        <v>22</v>
      </c>
      <c r="H52" t="s">
        <v>409</v>
      </c>
      <c r="L52" t="s">
        <v>1021</v>
      </c>
      <c r="M52" t="s">
        <v>106</v>
      </c>
      <c r="P52" t="s">
        <v>107</v>
      </c>
    </row>
    <row r="53" spans="1:16" x14ac:dyDescent="0.35">
      <c r="A53" t="s">
        <v>15</v>
      </c>
      <c r="B53">
        <v>3</v>
      </c>
      <c r="C53" t="s">
        <v>19</v>
      </c>
      <c r="D53" t="s">
        <v>25</v>
      </c>
      <c r="E53" t="s">
        <v>4</v>
      </c>
      <c r="F53" t="s">
        <v>83</v>
      </c>
      <c r="G53" t="s">
        <v>27</v>
      </c>
      <c r="L53" t="s">
        <v>1033</v>
      </c>
      <c r="M53" t="s">
        <v>84</v>
      </c>
      <c r="P53" t="s">
        <v>85</v>
      </c>
    </row>
    <row r="54" spans="1:16" x14ac:dyDescent="0.35">
      <c r="A54" t="s">
        <v>15</v>
      </c>
      <c r="B54">
        <v>3</v>
      </c>
      <c r="C54" t="s">
        <v>19</v>
      </c>
      <c r="D54" t="s">
        <v>25</v>
      </c>
      <c r="E54" t="s">
        <v>108</v>
      </c>
      <c r="F54" t="s">
        <v>96</v>
      </c>
      <c r="G54" t="s">
        <v>27</v>
      </c>
      <c r="L54" t="s">
        <v>1034</v>
      </c>
      <c r="M54" t="s">
        <v>109</v>
      </c>
      <c r="P54" t="s">
        <v>110</v>
      </c>
    </row>
    <row r="55" spans="1:16" x14ac:dyDescent="0.35">
      <c r="A55" t="s">
        <v>15</v>
      </c>
      <c r="B55">
        <v>3</v>
      </c>
      <c r="C55" t="s">
        <v>19</v>
      </c>
      <c r="D55" t="s">
        <v>25</v>
      </c>
      <c r="E55" t="s">
        <v>111</v>
      </c>
      <c r="F55" t="s">
        <v>112</v>
      </c>
      <c r="G55" t="s">
        <v>27</v>
      </c>
      <c r="L55" t="s">
        <v>1035</v>
      </c>
      <c r="M55" t="s">
        <v>113</v>
      </c>
      <c r="P55" t="s">
        <v>114</v>
      </c>
    </row>
    <row r="56" spans="1:16" x14ac:dyDescent="0.35">
      <c r="A56" t="s">
        <v>15</v>
      </c>
      <c r="B56">
        <v>1</v>
      </c>
      <c r="C56" t="s">
        <v>24</v>
      </c>
      <c r="D56" t="s">
        <v>53</v>
      </c>
      <c r="E56" t="s">
        <v>126</v>
      </c>
      <c r="G56" t="s">
        <v>396</v>
      </c>
      <c r="H56" t="s">
        <v>410</v>
      </c>
      <c r="I56" t="s">
        <v>411</v>
      </c>
      <c r="M56" t="s">
        <v>126</v>
      </c>
      <c r="P56" t="s">
        <v>127</v>
      </c>
    </row>
    <row r="57" spans="1:16" x14ac:dyDescent="0.35">
      <c r="A57" t="s">
        <v>15</v>
      </c>
      <c r="B57">
        <v>2</v>
      </c>
      <c r="C57" t="s">
        <v>19</v>
      </c>
      <c r="D57" t="s">
        <v>25</v>
      </c>
      <c r="E57" t="s">
        <v>56</v>
      </c>
      <c r="F57" t="s">
        <v>57</v>
      </c>
      <c r="G57" t="s">
        <v>27</v>
      </c>
      <c r="H57" t="s">
        <v>393</v>
      </c>
      <c r="M57" t="s">
        <v>58</v>
      </c>
      <c r="P57" t="s">
        <v>59</v>
      </c>
    </row>
    <row r="58" spans="1:16" x14ac:dyDescent="0.35">
      <c r="A58" t="s">
        <v>15</v>
      </c>
      <c r="B58">
        <v>2</v>
      </c>
      <c r="C58" t="s">
        <v>19</v>
      </c>
      <c r="D58" t="s">
        <v>25</v>
      </c>
      <c r="E58" t="s">
        <v>128</v>
      </c>
      <c r="F58" t="s">
        <v>129</v>
      </c>
      <c r="G58" t="s">
        <v>27</v>
      </c>
      <c r="J58" t="s">
        <v>412</v>
      </c>
      <c r="L58" t="s">
        <v>1022</v>
      </c>
      <c r="M58" t="s">
        <v>130</v>
      </c>
      <c r="P58" t="s">
        <v>131</v>
      </c>
    </row>
    <row r="59" spans="1:16" x14ac:dyDescent="0.35">
      <c r="A59" t="s">
        <v>15</v>
      </c>
      <c r="B59">
        <v>2</v>
      </c>
      <c r="C59" t="s">
        <v>24</v>
      </c>
      <c r="D59" t="s">
        <v>134</v>
      </c>
      <c r="E59" t="s">
        <v>135</v>
      </c>
      <c r="G59" t="s">
        <v>27</v>
      </c>
      <c r="L59" t="s">
        <v>1203</v>
      </c>
      <c r="M59" t="s">
        <v>136</v>
      </c>
      <c r="P59" t="s">
        <v>137</v>
      </c>
    </row>
    <row r="60" spans="1:16" x14ac:dyDescent="0.35">
      <c r="A60" t="s">
        <v>15</v>
      </c>
      <c r="B60">
        <v>3</v>
      </c>
      <c r="C60" t="s">
        <v>19</v>
      </c>
      <c r="D60" t="s">
        <v>25</v>
      </c>
      <c r="E60" t="s">
        <v>56</v>
      </c>
      <c r="F60" t="s">
        <v>57</v>
      </c>
      <c r="G60" t="s">
        <v>27</v>
      </c>
      <c r="H60" t="s">
        <v>393</v>
      </c>
      <c r="M60" t="s">
        <v>58</v>
      </c>
      <c r="P60" t="s">
        <v>59</v>
      </c>
    </row>
    <row r="61" spans="1:16" x14ac:dyDescent="0.35">
      <c r="A61" t="s">
        <v>15</v>
      </c>
      <c r="B61">
        <v>3</v>
      </c>
      <c r="C61" t="s">
        <v>19</v>
      </c>
      <c r="D61" t="s">
        <v>30</v>
      </c>
      <c r="E61" t="s">
        <v>138</v>
      </c>
      <c r="F61" t="s">
        <v>139</v>
      </c>
      <c r="G61" t="s">
        <v>396</v>
      </c>
      <c r="I61" t="s">
        <v>413</v>
      </c>
      <c r="L61" t="s">
        <v>1023</v>
      </c>
      <c r="M61" t="s">
        <v>140</v>
      </c>
      <c r="P61" t="s">
        <v>141</v>
      </c>
    </row>
    <row r="62" spans="1:16" x14ac:dyDescent="0.35">
      <c r="A62" t="s">
        <v>15</v>
      </c>
      <c r="B62">
        <v>3</v>
      </c>
      <c r="C62" t="s">
        <v>19</v>
      </c>
      <c r="D62" t="s">
        <v>30</v>
      </c>
      <c r="E62" t="s">
        <v>142</v>
      </c>
      <c r="F62" t="s">
        <v>50</v>
      </c>
      <c r="G62" t="s">
        <v>396</v>
      </c>
      <c r="H62" t="s">
        <v>414</v>
      </c>
      <c r="I62" t="s">
        <v>415</v>
      </c>
      <c r="J62" t="s">
        <v>416</v>
      </c>
      <c r="M62" t="s">
        <v>143</v>
      </c>
      <c r="P62" t="s">
        <v>52</v>
      </c>
    </row>
    <row r="63" spans="1:16" x14ac:dyDescent="0.35">
      <c r="A63" t="s">
        <v>15</v>
      </c>
      <c r="B63">
        <v>3</v>
      </c>
      <c r="C63" t="s">
        <v>19</v>
      </c>
      <c r="D63" t="s">
        <v>30</v>
      </c>
      <c r="E63" t="s">
        <v>144</v>
      </c>
      <c r="F63" t="s">
        <v>60</v>
      </c>
      <c r="G63" t="s">
        <v>22</v>
      </c>
      <c r="H63" t="s">
        <v>417</v>
      </c>
      <c r="L63" t="s">
        <v>1024</v>
      </c>
      <c r="M63" t="s">
        <v>145</v>
      </c>
      <c r="P63" t="s">
        <v>146</v>
      </c>
    </row>
    <row r="64" spans="1:16" x14ac:dyDescent="0.35">
      <c r="A64" t="s">
        <v>15</v>
      </c>
      <c r="B64">
        <v>3</v>
      </c>
      <c r="C64" t="s">
        <v>19</v>
      </c>
      <c r="D64" t="s">
        <v>25</v>
      </c>
      <c r="E64" t="s">
        <v>147</v>
      </c>
      <c r="F64" t="s">
        <v>148</v>
      </c>
      <c r="G64" t="s">
        <v>27</v>
      </c>
      <c r="J64" t="s">
        <v>418</v>
      </c>
      <c r="L64" t="s">
        <v>1036</v>
      </c>
      <c r="M64" t="s">
        <v>149</v>
      </c>
      <c r="P64" t="s">
        <v>150</v>
      </c>
    </row>
    <row r="65" spans="1:16" x14ac:dyDescent="0.35">
      <c r="A65" t="s">
        <v>15</v>
      </c>
      <c r="B65">
        <v>3</v>
      </c>
      <c r="C65" t="s">
        <v>19</v>
      </c>
      <c r="D65" t="s">
        <v>25</v>
      </c>
      <c r="E65" t="s">
        <v>151</v>
      </c>
      <c r="F65" t="s">
        <v>152</v>
      </c>
      <c r="G65" t="s">
        <v>27</v>
      </c>
      <c r="H65" t="s">
        <v>419</v>
      </c>
      <c r="L65" t="s">
        <v>1025</v>
      </c>
      <c r="M65" t="s">
        <v>153</v>
      </c>
      <c r="P65" t="s">
        <v>154</v>
      </c>
    </row>
    <row r="66" spans="1:16" x14ac:dyDescent="0.35">
      <c r="A66" t="s">
        <v>15</v>
      </c>
      <c r="B66">
        <v>3</v>
      </c>
      <c r="C66" t="s">
        <v>19</v>
      </c>
      <c r="D66" t="s">
        <v>30</v>
      </c>
      <c r="E66" t="s">
        <v>155</v>
      </c>
      <c r="F66" t="s">
        <v>156</v>
      </c>
      <c r="G66" t="s">
        <v>396</v>
      </c>
      <c r="I66" t="s">
        <v>415</v>
      </c>
      <c r="L66" t="s">
        <v>1028</v>
      </c>
      <c r="M66" t="s">
        <v>157</v>
      </c>
      <c r="P66" t="s">
        <v>158</v>
      </c>
    </row>
    <row r="67" spans="1:16" x14ac:dyDescent="0.35">
      <c r="A67" t="s">
        <v>15</v>
      </c>
      <c r="B67">
        <v>3</v>
      </c>
      <c r="C67" t="s">
        <v>24</v>
      </c>
      <c r="D67" t="s">
        <v>30</v>
      </c>
      <c r="E67" t="s">
        <v>159</v>
      </c>
      <c r="G67" t="s">
        <v>396</v>
      </c>
      <c r="I67" t="s">
        <v>420</v>
      </c>
      <c r="L67" t="s">
        <v>1029</v>
      </c>
      <c r="M67" t="s">
        <v>160</v>
      </c>
      <c r="P67" t="s">
        <v>161</v>
      </c>
    </row>
    <row r="68" spans="1:16" x14ac:dyDescent="0.35">
      <c r="A68" t="s">
        <v>15</v>
      </c>
      <c r="B68">
        <v>4</v>
      </c>
      <c r="C68" t="s">
        <v>19</v>
      </c>
      <c r="D68" t="s">
        <v>25</v>
      </c>
      <c r="E68" t="s">
        <v>63</v>
      </c>
      <c r="F68" t="s">
        <v>74</v>
      </c>
      <c r="G68" t="s">
        <v>27</v>
      </c>
      <c r="J68" t="s">
        <v>399</v>
      </c>
      <c r="L68" t="s">
        <v>1029</v>
      </c>
      <c r="M68" t="s">
        <v>65</v>
      </c>
      <c r="P68" t="s">
        <v>75</v>
      </c>
    </row>
    <row r="69" spans="1:16" x14ac:dyDescent="0.35">
      <c r="A69" t="s">
        <v>15</v>
      </c>
      <c r="B69">
        <v>1</v>
      </c>
      <c r="C69" t="s">
        <v>24</v>
      </c>
      <c r="D69" t="s">
        <v>30</v>
      </c>
      <c r="E69" t="s">
        <v>162</v>
      </c>
      <c r="G69" t="s">
        <v>22</v>
      </c>
      <c r="H69" t="s">
        <v>444</v>
      </c>
      <c r="L69" t="s">
        <v>1037</v>
      </c>
      <c r="M69" t="s">
        <v>163</v>
      </c>
      <c r="P69" t="s">
        <v>164</v>
      </c>
    </row>
    <row r="70" spans="1:16" x14ac:dyDescent="0.35">
      <c r="A70" t="s">
        <v>15</v>
      </c>
      <c r="B70">
        <v>2</v>
      </c>
      <c r="C70" t="s">
        <v>19</v>
      </c>
      <c r="D70" t="s">
        <v>30</v>
      </c>
      <c r="E70" t="s">
        <v>165</v>
      </c>
      <c r="F70" t="s">
        <v>148</v>
      </c>
      <c r="G70" t="s">
        <v>396</v>
      </c>
      <c r="H70" t="s">
        <v>445</v>
      </c>
      <c r="I70" t="s">
        <v>446</v>
      </c>
      <c r="J70" t="s">
        <v>418</v>
      </c>
      <c r="L70" t="s">
        <v>1038</v>
      </c>
      <c r="M70" t="s">
        <v>166</v>
      </c>
      <c r="P70" t="s">
        <v>150</v>
      </c>
    </row>
    <row r="71" spans="1:16" x14ac:dyDescent="0.35">
      <c r="A71" t="s">
        <v>15</v>
      </c>
      <c r="B71">
        <v>1</v>
      </c>
      <c r="C71" t="s">
        <v>24</v>
      </c>
      <c r="D71" t="s">
        <v>53</v>
      </c>
      <c r="E71" t="s">
        <v>167</v>
      </c>
      <c r="G71" t="s">
        <v>396</v>
      </c>
      <c r="I71" t="s">
        <v>421</v>
      </c>
      <c r="L71" t="s">
        <v>1026</v>
      </c>
      <c r="M71" t="s">
        <v>168</v>
      </c>
      <c r="P71" t="s">
        <v>169</v>
      </c>
    </row>
    <row r="72" spans="1:16" x14ac:dyDescent="0.35">
      <c r="A72" t="s">
        <v>15</v>
      </c>
      <c r="B72">
        <v>2</v>
      </c>
      <c r="C72" t="s">
        <v>19</v>
      </c>
      <c r="D72" t="s">
        <v>25</v>
      </c>
      <c r="E72" t="s">
        <v>56</v>
      </c>
      <c r="F72" t="s">
        <v>57</v>
      </c>
      <c r="G72" t="s">
        <v>27</v>
      </c>
      <c r="H72" t="s">
        <v>393</v>
      </c>
      <c r="M72" t="s">
        <v>58</v>
      </c>
      <c r="P72" t="s">
        <v>59</v>
      </c>
    </row>
    <row r="73" spans="1:16" x14ac:dyDescent="0.35">
      <c r="A73" t="s">
        <v>15</v>
      </c>
      <c r="B73">
        <v>2</v>
      </c>
      <c r="C73" t="s">
        <v>19</v>
      </c>
      <c r="D73" t="s">
        <v>25</v>
      </c>
      <c r="E73" t="s">
        <v>167</v>
      </c>
      <c r="F73" t="s">
        <v>156</v>
      </c>
      <c r="G73" t="s">
        <v>27</v>
      </c>
      <c r="L73" t="s">
        <v>1027</v>
      </c>
      <c r="M73" t="s">
        <v>170</v>
      </c>
      <c r="P73" t="s">
        <v>171</v>
      </c>
    </row>
    <row r="74" spans="1:16" x14ac:dyDescent="0.35">
      <c r="A74" t="s">
        <v>15</v>
      </c>
      <c r="B74">
        <v>2</v>
      </c>
      <c r="C74" t="s">
        <v>19</v>
      </c>
      <c r="D74" t="s">
        <v>30</v>
      </c>
      <c r="E74" t="s">
        <v>142</v>
      </c>
      <c r="F74" t="s">
        <v>50</v>
      </c>
      <c r="G74" t="s">
        <v>22</v>
      </c>
      <c r="H74" t="s">
        <v>414</v>
      </c>
      <c r="J74" t="s">
        <v>416</v>
      </c>
      <c r="M74" t="s">
        <v>143</v>
      </c>
      <c r="P74" t="s">
        <v>52</v>
      </c>
    </row>
    <row r="75" spans="1:16" x14ac:dyDescent="0.35">
      <c r="A75" t="s">
        <v>15</v>
      </c>
      <c r="B75">
        <v>1</v>
      </c>
      <c r="C75" t="s">
        <v>24</v>
      </c>
      <c r="D75" t="s">
        <v>172</v>
      </c>
      <c r="E75" t="s">
        <v>173</v>
      </c>
      <c r="G75" t="s">
        <v>27</v>
      </c>
      <c r="H75" t="s">
        <v>422</v>
      </c>
      <c r="M75" t="s">
        <v>174</v>
      </c>
      <c r="P75" t="s">
        <v>175</v>
      </c>
    </row>
    <row r="76" spans="1:16" x14ac:dyDescent="0.35">
      <c r="A76" t="s">
        <v>15</v>
      </c>
      <c r="B76">
        <v>2</v>
      </c>
      <c r="C76" t="s">
        <v>19</v>
      </c>
      <c r="D76" t="s">
        <v>25</v>
      </c>
      <c r="E76" t="s">
        <v>56</v>
      </c>
      <c r="F76" t="s">
        <v>57</v>
      </c>
      <c r="G76" t="s">
        <v>27</v>
      </c>
      <c r="H76" t="s">
        <v>393</v>
      </c>
      <c r="M76" t="s">
        <v>58</v>
      </c>
      <c r="P76" t="s">
        <v>59</v>
      </c>
    </row>
    <row r="77" spans="1:16" x14ac:dyDescent="0.35">
      <c r="A77" t="s">
        <v>15</v>
      </c>
      <c r="B77">
        <v>2</v>
      </c>
      <c r="C77" t="s">
        <v>19</v>
      </c>
      <c r="D77" t="s">
        <v>30</v>
      </c>
      <c r="E77" t="s">
        <v>176</v>
      </c>
      <c r="F77" t="s">
        <v>177</v>
      </c>
      <c r="G77" t="s">
        <v>396</v>
      </c>
      <c r="H77" t="s">
        <v>423</v>
      </c>
      <c r="I77" t="s">
        <v>424</v>
      </c>
      <c r="J77" t="s">
        <v>425</v>
      </c>
      <c r="L77" t="s">
        <v>1039</v>
      </c>
      <c r="M77" t="s">
        <v>178</v>
      </c>
      <c r="P77" t="s">
        <v>179</v>
      </c>
    </row>
    <row r="78" spans="1:16" x14ac:dyDescent="0.35">
      <c r="A78" t="s">
        <v>15</v>
      </c>
      <c r="B78">
        <v>2</v>
      </c>
      <c r="C78" t="s">
        <v>19</v>
      </c>
      <c r="D78" t="s">
        <v>30</v>
      </c>
      <c r="E78" t="s">
        <v>180</v>
      </c>
      <c r="F78" t="s">
        <v>181</v>
      </c>
      <c r="G78" t="s">
        <v>396</v>
      </c>
      <c r="I78" t="s">
        <v>426</v>
      </c>
      <c r="L78" t="s">
        <v>1040</v>
      </c>
      <c r="M78" t="s">
        <v>182</v>
      </c>
      <c r="P78" t="s">
        <v>183</v>
      </c>
    </row>
    <row r="79" spans="1:16" x14ac:dyDescent="0.35">
      <c r="A79" t="s">
        <v>15</v>
      </c>
      <c r="B79">
        <v>2</v>
      </c>
      <c r="C79" t="s">
        <v>19</v>
      </c>
      <c r="D79" t="s">
        <v>30</v>
      </c>
      <c r="E79" t="s">
        <v>184</v>
      </c>
      <c r="F79" t="s">
        <v>148</v>
      </c>
      <c r="G79" t="s">
        <v>396</v>
      </c>
      <c r="H79" t="s">
        <v>447</v>
      </c>
      <c r="I79" t="s">
        <v>428</v>
      </c>
      <c r="J79" t="s">
        <v>429</v>
      </c>
      <c r="L79" t="s">
        <v>1041</v>
      </c>
      <c r="M79" t="s">
        <v>185</v>
      </c>
      <c r="P79" t="s">
        <v>150</v>
      </c>
    </row>
    <row r="80" spans="1:16" x14ac:dyDescent="0.35">
      <c r="A80" t="s">
        <v>15</v>
      </c>
      <c r="B80">
        <v>2</v>
      </c>
      <c r="C80" t="s">
        <v>19</v>
      </c>
      <c r="D80" t="s">
        <v>30</v>
      </c>
      <c r="E80" t="s">
        <v>186</v>
      </c>
      <c r="F80" t="s">
        <v>47</v>
      </c>
      <c r="G80" t="s">
        <v>396</v>
      </c>
      <c r="H80" t="s">
        <v>430</v>
      </c>
      <c r="I80" t="s">
        <v>431</v>
      </c>
      <c r="L80" t="s">
        <v>1042</v>
      </c>
      <c r="M80" t="s">
        <v>187</v>
      </c>
      <c r="P80" t="s">
        <v>188</v>
      </c>
    </row>
    <row r="81" spans="1:16" x14ac:dyDescent="0.35">
      <c r="A81" t="s">
        <v>15</v>
      </c>
      <c r="B81">
        <v>2</v>
      </c>
      <c r="C81" t="s">
        <v>19</v>
      </c>
      <c r="D81" t="s">
        <v>30</v>
      </c>
      <c r="E81" t="s">
        <v>189</v>
      </c>
      <c r="F81" t="s">
        <v>190</v>
      </c>
      <c r="G81" t="s">
        <v>22</v>
      </c>
      <c r="H81" t="s">
        <v>448</v>
      </c>
      <c r="M81" t="s">
        <v>191</v>
      </c>
      <c r="P81" t="s">
        <v>192</v>
      </c>
    </row>
    <row r="82" spans="1:16" x14ac:dyDescent="0.35">
      <c r="A82" t="s">
        <v>15</v>
      </c>
      <c r="B82">
        <v>2</v>
      </c>
      <c r="C82" t="s">
        <v>24</v>
      </c>
      <c r="D82" t="s">
        <v>193</v>
      </c>
      <c r="E82" t="s">
        <v>194</v>
      </c>
      <c r="G82" t="s">
        <v>22</v>
      </c>
      <c r="H82" t="s">
        <v>432</v>
      </c>
      <c r="L82" t="s">
        <v>1043</v>
      </c>
      <c r="M82" t="s">
        <v>195</v>
      </c>
      <c r="P82" t="s">
        <v>196</v>
      </c>
    </row>
    <row r="83" spans="1:16" x14ac:dyDescent="0.35">
      <c r="A83" t="s">
        <v>15</v>
      </c>
      <c r="B83">
        <v>3</v>
      </c>
      <c r="C83" t="s">
        <v>19</v>
      </c>
      <c r="D83" t="s">
        <v>25</v>
      </c>
      <c r="E83" t="s">
        <v>56</v>
      </c>
      <c r="F83" t="s">
        <v>57</v>
      </c>
      <c r="G83" t="s">
        <v>27</v>
      </c>
      <c r="H83" t="s">
        <v>393</v>
      </c>
      <c r="M83" t="s">
        <v>58</v>
      </c>
      <c r="P83" t="s">
        <v>59</v>
      </c>
    </row>
    <row r="84" spans="1:16" x14ac:dyDescent="0.35">
      <c r="A84" t="s">
        <v>15</v>
      </c>
      <c r="B84">
        <v>3</v>
      </c>
      <c r="C84" t="s">
        <v>19</v>
      </c>
      <c r="D84" t="s">
        <v>25</v>
      </c>
      <c r="E84" t="s">
        <v>197</v>
      </c>
      <c r="F84" t="s">
        <v>198</v>
      </c>
      <c r="G84" t="s">
        <v>27</v>
      </c>
      <c r="J84" t="s">
        <v>433</v>
      </c>
      <c r="L84" t="s">
        <v>1044</v>
      </c>
      <c r="M84" t="s">
        <v>199</v>
      </c>
      <c r="P84" t="s">
        <v>200</v>
      </c>
    </row>
    <row r="85" spans="1:16" x14ac:dyDescent="0.35">
      <c r="A85" t="s">
        <v>15</v>
      </c>
      <c r="B85">
        <v>3</v>
      </c>
      <c r="C85" t="s">
        <v>19</v>
      </c>
      <c r="D85" t="s">
        <v>25</v>
      </c>
      <c r="E85" t="s">
        <v>81</v>
      </c>
      <c r="F85" t="s">
        <v>68</v>
      </c>
      <c r="G85" t="s">
        <v>27</v>
      </c>
      <c r="H85" t="s">
        <v>434</v>
      </c>
      <c r="L85" t="s">
        <v>1045</v>
      </c>
      <c r="M85" t="s">
        <v>82</v>
      </c>
      <c r="P85" t="s">
        <v>70</v>
      </c>
    </row>
    <row r="86" spans="1:16" x14ac:dyDescent="0.35">
      <c r="A86" t="s">
        <v>15</v>
      </c>
      <c r="B86">
        <v>2</v>
      </c>
      <c r="C86" t="s">
        <v>24</v>
      </c>
      <c r="D86" t="s">
        <v>30</v>
      </c>
      <c r="E86" t="s">
        <v>201</v>
      </c>
      <c r="G86" t="s">
        <v>396</v>
      </c>
      <c r="H86" t="s">
        <v>435</v>
      </c>
      <c r="I86" t="s">
        <v>436</v>
      </c>
      <c r="L86" t="s">
        <v>1046</v>
      </c>
      <c r="M86" t="s">
        <v>201</v>
      </c>
      <c r="P86" t="s">
        <v>202</v>
      </c>
    </row>
    <row r="87" spans="1:16" x14ac:dyDescent="0.35">
      <c r="A87" t="s">
        <v>15</v>
      </c>
      <c r="B87">
        <v>3</v>
      </c>
      <c r="C87" t="s">
        <v>19</v>
      </c>
      <c r="D87" t="s">
        <v>30</v>
      </c>
      <c r="E87" t="s">
        <v>81</v>
      </c>
      <c r="F87" t="s">
        <v>68</v>
      </c>
      <c r="G87" t="s">
        <v>22</v>
      </c>
      <c r="H87" t="s">
        <v>434</v>
      </c>
      <c r="L87" t="s">
        <v>1047</v>
      </c>
      <c r="M87" t="s">
        <v>82</v>
      </c>
      <c r="P87" t="s">
        <v>70</v>
      </c>
    </row>
    <row r="88" spans="1:16" x14ac:dyDescent="0.35">
      <c r="A88" t="s">
        <v>15</v>
      </c>
      <c r="B88">
        <v>3</v>
      </c>
      <c r="C88" t="s">
        <v>19</v>
      </c>
      <c r="D88" t="s">
        <v>30</v>
      </c>
      <c r="E88" t="s">
        <v>4</v>
      </c>
      <c r="F88" t="s">
        <v>83</v>
      </c>
      <c r="G88" t="s">
        <v>396</v>
      </c>
      <c r="I88" t="s">
        <v>401</v>
      </c>
      <c r="L88" t="s">
        <v>1048</v>
      </c>
      <c r="M88" t="s">
        <v>84</v>
      </c>
      <c r="P88" t="s">
        <v>85</v>
      </c>
    </row>
    <row r="89" spans="1:16" x14ac:dyDescent="0.35">
      <c r="A89" t="s">
        <v>15</v>
      </c>
      <c r="B89">
        <v>3</v>
      </c>
      <c r="C89" t="s">
        <v>24</v>
      </c>
      <c r="D89" t="s">
        <v>30</v>
      </c>
      <c r="E89" t="s">
        <v>86</v>
      </c>
      <c r="G89" t="s">
        <v>396</v>
      </c>
      <c r="I89" t="s">
        <v>401</v>
      </c>
      <c r="L89" t="s">
        <v>1049</v>
      </c>
      <c r="M89" t="s">
        <v>86</v>
      </c>
      <c r="P89" t="s">
        <v>87</v>
      </c>
    </row>
    <row r="90" spans="1:16" x14ac:dyDescent="0.35">
      <c r="A90" t="s">
        <v>15</v>
      </c>
      <c r="B90">
        <v>4</v>
      </c>
      <c r="C90" t="s">
        <v>19</v>
      </c>
      <c r="D90" t="s">
        <v>25</v>
      </c>
      <c r="E90" t="s">
        <v>88</v>
      </c>
      <c r="F90" t="s">
        <v>83</v>
      </c>
      <c r="G90" t="s">
        <v>27</v>
      </c>
      <c r="L90" t="s">
        <v>1050</v>
      </c>
      <c r="M90" t="s">
        <v>89</v>
      </c>
      <c r="P90" t="s">
        <v>90</v>
      </c>
    </row>
    <row r="91" spans="1:16" x14ac:dyDescent="0.35">
      <c r="A91" t="s">
        <v>15</v>
      </c>
      <c r="B91">
        <v>4</v>
      </c>
      <c r="C91" t="s">
        <v>19</v>
      </c>
      <c r="D91" t="s">
        <v>30</v>
      </c>
      <c r="E91" t="s">
        <v>91</v>
      </c>
      <c r="F91" t="s">
        <v>92</v>
      </c>
      <c r="G91" t="s">
        <v>396</v>
      </c>
      <c r="I91" t="s">
        <v>402</v>
      </c>
      <c r="L91" t="s">
        <v>1051</v>
      </c>
      <c r="M91" t="s">
        <v>93</v>
      </c>
      <c r="P91" t="s">
        <v>94</v>
      </c>
    </row>
    <row r="92" spans="1:16" x14ac:dyDescent="0.35">
      <c r="A92" t="s">
        <v>15</v>
      </c>
      <c r="B92">
        <v>4</v>
      </c>
      <c r="C92" t="s">
        <v>19</v>
      </c>
      <c r="D92" t="s">
        <v>25</v>
      </c>
      <c r="E92" t="s">
        <v>95</v>
      </c>
      <c r="F92" t="s">
        <v>96</v>
      </c>
      <c r="G92" t="s">
        <v>27</v>
      </c>
      <c r="L92" t="s">
        <v>1052</v>
      </c>
      <c r="M92" t="s">
        <v>97</v>
      </c>
      <c r="P92" t="s">
        <v>98</v>
      </c>
    </row>
    <row r="93" spans="1:16" x14ac:dyDescent="0.35">
      <c r="A93" t="s">
        <v>15</v>
      </c>
      <c r="B93">
        <v>4</v>
      </c>
      <c r="C93" t="s">
        <v>19</v>
      </c>
      <c r="D93" t="s">
        <v>25</v>
      </c>
      <c r="E93" t="s">
        <v>99</v>
      </c>
      <c r="F93" t="s">
        <v>50</v>
      </c>
      <c r="G93" t="s">
        <v>27</v>
      </c>
      <c r="J93" t="s">
        <v>403</v>
      </c>
      <c r="L93" t="s">
        <v>1053</v>
      </c>
      <c r="M93" t="s">
        <v>100</v>
      </c>
      <c r="P93" t="s">
        <v>52</v>
      </c>
    </row>
    <row r="94" spans="1:16" x14ac:dyDescent="0.35">
      <c r="A94" t="s">
        <v>15</v>
      </c>
      <c r="B94">
        <v>2</v>
      </c>
      <c r="C94" t="s">
        <v>24</v>
      </c>
      <c r="D94" t="s">
        <v>30</v>
      </c>
      <c r="E94" t="s">
        <v>203</v>
      </c>
      <c r="G94" t="s">
        <v>396</v>
      </c>
      <c r="H94" t="s">
        <v>437</v>
      </c>
      <c r="I94" t="s">
        <v>436</v>
      </c>
      <c r="L94" t="s">
        <v>1054</v>
      </c>
      <c r="M94" t="s">
        <v>203</v>
      </c>
      <c r="P94" t="s">
        <v>204</v>
      </c>
    </row>
    <row r="95" spans="1:16" x14ac:dyDescent="0.35">
      <c r="A95" t="s">
        <v>15</v>
      </c>
      <c r="B95">
        <v>3</v>
      </c>
      <c r="C95" t="s">
        <v>19</v>
      </c>
      <c r="D95" t="s">
        <v>30</v>
      </c>
      <c r="E95" t="s">
        <v>81</v>
      </c>
      <c r="F95" t="s">
        <v>68</v>
      </c>
      <c r="G95" t="s">
        <v>22</v>
      </c>
      <c r="H95" t="s">
        <v>434</v>
      </c>
      <c r="L95" t="s">
        <v>1055</v>
      </c>
      <c r="M95" t="s">
        <v>82</v>
      </c>
      <c r="P95" t="s">
        <v>70</v>
      </c>
    </row>
    <row r="96" spans="1:16" x14ac:dyDescent="0.35">
      <c r="A96" t="s">
        <v>15</v>
      </c>
      <c r="B96">
        <v>3</v>
      </c>
      <c r="C96" t="s">
        <v>19</v>
      </c>
      <c r="D96" t="s">
        <v>30</v>
      </c>
      <c r="E96" t="s">
        <v>4</v>
      </c>
      <c r="F96" t="s">
        <v>83</v>
      </c>
      <c r="G96" t="s">
        <v>396</v>
      </c>
      <c r="I96" t="s">
        <v>401</v>
      </c>
      <c r="L96" t="s">
        <v>1056</v>
      </c>
      <c r="M96" t="s">
        <v>84</v>
      </c>
      <c r="P96" t="s">
        <v>85</v>
      </c>
    </row>
    <row r="97" spans="1:16" x14ac:dyDescent="0.35">
      <c r="A97" t="s">
        <v>15</v>
      </c>
      <c r="B97">
        <v>3</v>
      </c>
      <c r="C97" t="s">
        <v>24</v>
      </c>
      <c r="D97" t="s">
        <v>30</v>
      </c>
      <c r="E97" t="s">
        <v>86</v>
      </c>
      <c r="G97" t="s">
        <v>396</v>
      </c>
      <c r="I97" t="s">
        <v>401</v>
      </c>
      <c r="L97" t="s">
        <v>1057</v>
      </c>
      <c r="M97" t="s">
        <v>86</v>
      </c>
      <c r="P97" t="s">
        <v>87</v>
      </c>
    </row>
    <row r="98" spans="1:16" x14ac:dyDescent="0.35">
      <c r="A98" t="s">
        <v>15</v>
      </c>
      <c r="B98">
        <v>4</v>
      </c>
      <c r="C98" t="s">
        <v>19</v>
      </c>
      <c r="D98" t="s">
        <v>25</v>
      </c>
      <c r="E98" t="s">
        <v>88</v>
      </c>
      <c r="F98" t="s">
        <v>83</v>
      </c>
      <c r="G98" t="s">
        <v>27</v>
      </c>
      <c r="L98" t="s">
        <v>1058</v>
      </c>
      <c r="M98" t="s">
        <v>89</v>
      </c>
      <c r="P98" t="s">
        <v>90</v>
      </c>
    </row>
    <row r="99" spans="1:16" x14ac:dyDescent="0.35">
      <c r="A99" t="s">
        <v>15</v>
      </c>
      <c r="B99">
        <v>4</v>
      </c>
      <c r="C99" t="s">
        <v>19</v>
      </c>
      <c r="D99" t="s">
        <v>30</v>
      </c>
      <c r="E99" t="s">
        <v>91</v>
      </c>
      <c r="F99" t="s">
        <v>92</v>
      </c>
      <c r="G99" t="s">
        <v>396</v>
      </c>
      <c r="I99" t="s">
        <v>402</v>
      </c>
      <c r="L99" t="s">
        <v>1059</v>
      </c>
      <c r="M99" t="s">
        <v>93</v>
      </c>
      <c r="P99" t="s">
        <v>94</v>
      </c>
    </row>
    <row r="100" spans="1:16" x14ac:dyDescent="0.35">
      <c r="A100" t="s">
        <v>15</v>
      </c>
      <c r="B100">
        <v>4</v>
      </c>
      <c r="C100" t="s">
        <v>19</v>
      </c>
      <c r="D100" t="s">
        <v>25</v>
      </c>
      <c r="E100" t="s">
        <v>95</v>
      </c>
      <c r="F100" t="s">
        <v>96</v>
      </c>
      <c r="G100" t="s">
        <v>27</v>
      </c>
      <c r="L100" t="s">
        <v>1060</v>
      </c>
      <c r="M100" t="s">
        <v>97</v>
      </c>
      <c r="P100" t="s">
        <v>98</v>
      </c>
    </row>
    <row r="101" spans="1:16" x14ac:dyDescent="0.35">
      <c r="A101" t="s">
        <v>15</v>
      </c>
      <c r="B101">
        <v>4</v>
      </c>
      <c r="C101" t="s">
        <v>19</v>
      </c>
      <c r="D101" t="s">
        <v>25</v>
      </c>
      <c r="E101" t="s">
        <v>99</v>
      </c>
      <c r="F101" t="s">
        <v>50</v>
      </c>
      <c r="G101" t="s">
        <v>27</v>
      </c>
      <c r="J101" t="s">
        <v>403</v>
      </c>
      <c r="L101" t="s">
        <v>1061</v>
      </c>
      <c r="M101" t="s">
        <v>100</v>
      </c>
      <c r="P101" t="s">
        <v>52</v>
      </c>
    </row>
    <row r="102" spans="1:16" x14ac:dyDescent="0.35">
      <c r="A102" t="s">
        <v>15</v>
      </c>
      <c r="B102">
        <v>2</v>
      </c>
      <c r="C102" t="s">
        <v>24</v>
      </c>
      <c r="D102" t="s">
        <v>30</v>
      </c>
      <c r="E102" t="s">
        <v>205</v>
      </c>
      <c r="G102" t="s">
        <v>396</v>
      </c>
      <c r="H102" t="s">
        <v>439</v>
      </c>
      <c r="I102" t="s">
        <v>438</v>
      </c>
      <c r="L102" t="s">
        <v>1062</v>
      </c>
      <c r="M102" t="s">
        <v>205</v>
      </c>
      <c r="P102" t="s">
        <v>206</v>
      </c>
    </row>
    <row r="103" spans="1:16" x14ac:dyDescent="0.35">
      <c r="A103" t="s">
        <v>15</v>
      </c>
      <c r="B103">
        <v>3</v>
      </c>
      <c r="C103" t="s">
        <v>19</v>
      </c>
      <c r="D103" t="s">
        <v>30</v>
      </c>
      <c r="E103" t="s">
        <v>81</v>
      </c>
      <c r="F103" t="s">
        <v>68</v>
      </c>
      <c r="G103" t="s">
        <v>22</v>
      </c>
      <c r="H103" t="s">
        <v>434</v>
      </c>
      <c r="L103" t="s">
        <v>1063</v>
      </c>
      <c r="M103" t="s">
        <v>82</v>
      </c>
      <c r="P103" t="s">
        <v>70</v>
      </c>
    </row>
    <row r="104" spans="1:16" x14ac:dyDescent="0.35">
      <c r="A104" t="s">
        <v>15</v>
      </c>
      <c r="B104">
        <v>3</v>
      </c>
      <c r="C104" t="s">
        <v>19</v>
      </c>
      <c r="D104" t="s">
        <v>30</v>
      </c>
      <c r="E104" t="s">
        <v>4</v>
      </c>
      <c r="F104" t="s">
        <v>83</v>
      </c>
      <c r="G104" t="s">
        <v>396</v>
      </c>
      <c r="I104" t="s">
        <v>401</v>
      </c>
      <c r="L104" t="s">
        <v>1064</v>
      </c>
      <c r="M104" t="s">
        <v>84</v>
      </c>
      <c r="P104" t="s">
        <v>85</v>
      </c>
    </row>
    <row r="105" spans="1:16" x14ac:dyDescent="0.35">
      <c r="A105" t="s">
        <v>15</v>
      </c>
      <c r="B105">
        <v>3</v>
      </c>
      <c r="C105" t="s">
        <v>24</v>
      </c>
      <c r="D105" t="s">
        <v>30</v>
      </c>
      <c r="E105" t="s">
        <v>86</v>
      </c>
      <c r="G105" t="s">
        <v>396</v>
      </c>
      <c r="I105" t="s">
        <v>401</v>
      </c>
      <c r="L105" t="s">
        <v>1065</v>
      </c>
      <c r="M105" t="s">
        <v>86</v>
      </c>
      <c r="P105" t="s">
        <v>87</v>
      </c>
    </row>
    <row r="106" spans="1:16" x14ac:dyDescent="0.35">
      <c r="A106" t="s">
        <v>15</v>
      </c>
      <c r="B106">
        <v>4</v>
      </c>
      <c r="C106" t="s">
        <v>19</v>
      </c>
      <c r="D106" t="s">
        <v>25</v>
      </c>
      <c r="E106" t="s">
        <v>88</v>
      </c>
      <c r="F106" t="s">
        <v>83</v>
      </c>
      <c r="G106" t="s">
        <v>27</v>
      </c>
      <c r="L106" t="s">
        <v>1066</v>
      </c>
      <c r="M106" t="s">
        <v>89</v>
      </c>
      <c r="P106" t="s">
        <v>90</v>
      </c>
    </row>
    <row r="107" spans="1:16" x14ac:dyDescent="0.35">
      <c r="A107" t="s">
        <v>15</v>
      </c>
      <c r="B107">
        <v>4</v>
      </c>
      <c r="C107" t="s">
        <v>19</v>
      </c>
      <c r="D107" t="s">
        <v>30</v>
      </c>
      <c r="E107" t="s">
        <v>91</v>
      </c>
      <c r="F107" t="s">
        <v>92</v>
      </c>
      <c r="G107" t="s">
        <v>396</v>
      </c>
      <c r="I107" t="s">
        <v>402</v>
      </c>
      <c r="L107" t="s">
        <v>1067</v>
      </c>
      <c r="M107" t="s">
        <v>93</v>
      </c>
      <c r="P107" t="s">
        <v>94</v>
      </c>
    </row>
    <row r="108" spans="1:16" x14ac:dyDescent="0.35">
      <c r="A108" t="s">
        <v>15</v>
      </c>
      <c r="B108">
        <v>4</v>
      </c>
      <c r="C108" t="s">
        <v>19</v>
      </c>
      <c r="D108" t="s">
        <v>25</v>
      </c>
      <c r="E108" t="s">
        <v>95</v>
      </c>
      <c r="F108" t="s">
        <v>96</v>
      </c>
      <c r="G108" t="s">
        <v>27</v>
      </c>
      <c r="L108" t="s">
        <v>1068</v>
      </c>
      <c r="M108" t="s">
        <v>97</v>
      </c>
      <c r="P108" t="s">
        <v>98</v>
      </c>
    </row>
    <row r="109" spans="1:16" x14ac:dyDescent="0.35">
      <c r="A109" t="s">
        <v>15</v>
      </c>
      <c r="B109">
        <v>4</v>
      </c>
      <c r="C109" t="s">
        <v>19</v>
      </c>
      <c r="D109" t="s">
        <v>25</v>
      </c>
      <c r="E109" t="s">
        <v>99</v>
      </c>
      <c r="F109" t="s">
        <v>50</v>
      </c>
      <c r="G109" t="s">
        <v>27</v>
      </c>
      <c r="J109" t="s">
        <v>403</v>
      </c>
      <c r="L109" t="s">
        <v>1069</v>
      </c>
      <c r="M109" t="s">
        <v>100</v>
      </c>
      <c r="P109" t="s">
        <v>52</v>
      </c>
    </row>
    <row r="110" spans="1:16" x14ac:dyDescent="0.35">
      <c r="A110" t="s">
        <v>15</v>
      </c>
      <c r="B110">
        <v>2</v>
      </c>
      <c r="C110" t="s">
        <v>24</v>
      </c>
      <c r="D110" t="s">
        <v>30</v>
      </c>
      <c r="E110" t="s">
        <v>449</v>
      </c>
      <c r="G110" t="s">
        <v>396</v>
      </c>
      <c r="H110" t="s">
        <v>450</v>
      </c>
      <c r="I110" t="s">
        <v>451</v>
      </c>
      <c r="L110" t="s">
        <v>1070</v>
      </c>
      <c r="M110" t="s">
        <v>452</v>
      </c>
      <c r="P110" t="s">
        <v>453</v>
      </c>
    </row>
    <row r="111" spans="1:16" x14ac:dyDescent="0.35">
      <c r="A111" t="s">
        <v>15</v>
      </c>
      <c r="B111">
        <v>3</v>
      </c>
      <c r="C111" t="s">
        <v>19</v>
      </c>
      <c r="D111" t="s">
        <v>25</v>
      </c>
      <c r="E111" t="s">
        <v>454</v>
      </c>
      <c r="F111" t="s">
        <v>148</v>
      </c>
      <c r="G111" t="s">
        <v>27</v>
      </c>
      <c r="J111" t="s">
        <v>455</v>
      </c>
      <c r="L111" t="s">
        <v>1071</v>
      </c>
      <c r="M111" t="s">
        <v>456</v>
      </c>
      <c r="P111" t="s">
        <v>457</v>
      </c>
    </row>
    <row r="112" spans="1:16" x14ac:dyDescent="0.35">
      <c r="A112" t="s">
        <v>15</v>
      </c>
      <c r="B112">
        <v>3</v>
      </c>
      <c r="C112" t="s">
        <v>19</v>
      </c>
      <c r="D112" t="s">
        <v>30</v>
      </c>
      <c r="E112" t="s">
        <v>270</v>
      </c>
      <c r="F112" t="s">
        <v>103</v>
      </c>
      <c r="G112" t="s">
        <v>396</v>
      </c>
      <c r="I112" t="s">
        <v>458</v>
      </c>
      <c r="J112" t="s">
        <v>459</v>
      </c>
      <c r="L112" t="s">
        <v>1072</v>
      </c>
      <c r="M112" t="s">
        <v>271</v>
      </c>
      <c r="P112" t="s">
        <v>272</v>
      </c>
    </row>
    <row r="113" spans="1:16" x14ac:dyDescent="0.35">
      <c r="A113" t="s">
        <v>15</v>
      </c>
      <c r="B113">
        <v>3</v>
      </c>
      <c r="C113" t="s">
        <v>19</v>
      </c>
      <c r="D113" t="s">
        <v>30</v>
      </c>
      <c r="E113" t="s">
        <v>460</v>
      </c>
      <c r="F113" t="s">
        <v>96</v>
      </c>
      <c r="G113" t="s">
        <v>396</v>
      </c>
      <c r="I113" t="s">
        <v>458</v>
      </c>
      <c r="L113" t="s">
        <v>1073</v>
      </c>
      <c r="M113" t="s">
        <v>461</v>
      </c>
      <c r="P113" t="s">
        <v>462</v>
      </c>
    </row>
    <row r="114" spans="1:16" x14ac:dyDescent="0.35">
      <c r="A114" t="s">
        <v>15</v>
      </c>
      <c r="B114">
        <v>3</v>
      </c>
      <c r="C114" t="s">
        <v>19</v>
      </c>
      <c r="D114" t="s">
        <v>30</v>
      </c>
      <c r="E114" t="s">
        <v>99</v>
      </c>
      <c r="F114" t="s">
        <v>50</v>
      </c>
      <c r="G114" t="s">
        <v>396</v>
      </c>
      <c r="I114" t="s">
        <v>458</v>
      </c>
      <c r="J114" t="s">
        <v>403</v>
      </c>
      <c r="L114" t="s">
        <v>1074</v>
      </c>
      <c r="M114" t="s">
        <v>100</v>
      </c>
      <c r="P114" t="s">
        <v>52</v>
      </c>
    </row>
    <row r="115" spans="1:16" x14ac:dyDescent="0.35">
      <c r="A115" t="s">
        <v>15</v>
      </c>
      <c r="B115">
        <v>3</v>
      </c>
      <c r="C115" t="s">
        <v>19</v>
      </c>
      <c r="D115" t="s">
        <v>30</v>
      </c>
      <c r="E115" t="s">
        <v>226</v>
      </c>
      <c r="F115" t="s">
        <v>216</v>
      </c>
      <c r="G115" t="s">
        <v>396</v>
      </c>
      <c r="I115" t="s">
        <v>458</v>
      </c>
      <c r="L115" t="s">
        <v>1204</v>
      </c>
      <c r="M115" t="s">
        <v>227</v>
      </c>
      <c r="P115" t="s">
        <v>218</v>
      </c>
    </row>
    <row r="116" spans="1:16" x14ac:dyDescent="0.35">
      <c r="A116" t="s">
        <v>15</v>
      </c>
      <c r="B116">
        <v>2</v>
      </c>
      <c r="C116" t="s">
        <v>24</v>
      </c>
      <c r="D116" t="s">
        <v>30</v>
      </c>
      <c r="E116" t="s">
        <v>464</v>
      </c>
      <c r="G116" t="s">
        <v>396</v>
      </c>
      <c r="H116" t="s">
        <v>739</v>
      </c>
      <c r="I116" t="s">
        <v>615</v>
      </c>
      <c r="L116" t="s">
        <v>1075</v>
      </c>
      <c r="M116" t="s">
        <v>465</v>
      </c>
      <c r="P116" t="s">
        <v>466</v>
      </c>
    </row>
    <row r="117" spans="1:16" x14ac:dyDescent="0.35">
      <c r="A117" t="s">
        <v>15</v>
      </c>
      <c r="B117">
        <v>3</v>
      </c>
      <c r="C117" t="s">
        <v>19</v>
      </c>
      <c r="D117" t="s">
        <v>25</v>
      </c>
      <c r="E117" t="s">
        <v>464</v>
      </c>
      <c r="F117" t="s">
        <v>50</v>
      </c>
      <c r="G117" t="s">
        <v>27</v>
      </c>
      <c r="H117" t="s">
        <v>467</v>
      </c>
      <c r="J117" t="s">
        <v>468</v>
      </c>
      <c r="L117" t="s">
        <v>1076</v>
      </c>
      <c r="M117" t="s">
        <v>469</v>
      </c>
      <c r="P117" t="s">
        <v>52</v>
      </c>
    </row>
    <row r="118" spans="1:16" x14ac:dyDescent="0.35">
      <c r="A118" t="s">
        <v>15</v>
      </c>
      <c r="B118">
        <v>2</v>
      </c>
      <c r="C118" t="s">
        <v>24</v>
      </c>
      <c r="D118" t="s">
        <v>30</v>
      </c>
      <c r="E118" t="s">
        <v>470</v>
      </c>
      <c r="G118" t="s">
        <v>396</v>
      </c>
      <c r="H118" t="s">
        <v>740</v>
      </c>
      <c r="I118" t="s">
        <v>743</v>
      </c>
      <c r="L118" t="s">
        <v>1077</v>
      </c>
      <c r="M118" t="s">
        <v>470</v>
      </c>
      <c r="P118" t="s">
        <v>471</v>
      </c>
    </row>
    <row r="119" spans="1:16" x14ac:dyDescent="0.35">
      <c r="A119" t="s">
        <v>15</v>
      </c>
      <c r="B119">
        <v>3</v>
      </c>
      <c r="C119" t="s">
        <v>19</v>
      </c>
      <c r="D119" t="s">
        <v>30</v>
      </c>
      <c r="E119" t="s">
        <v>472</v>
      </c>
      <c r="F119" t="s">
        <v>50</v>
      </c>
      <c r="G119" t="s">
        <v>396</v>
      </c>
      <c r="H119" t="s">
        <v>473</v>
      </c>
      <c r="I119" t="s">
        <v>474</v>
      </c>
      <c r="J119" t="s">
        <v>416</v>
      </c>
      <c r="L119" t="s">
        <v>1078</v>
      </c>
      <c r="M119" t="s">
        <v>475</v>
      </c>
      <c r="P119" t="s">
        <v>52</v>
      </c>
    </row>
    <row r="120" spans="1:16" x14ac:dyDescent="0.35">
      <c r="A120" t="s">
        <v>15</v>
      </c>
      <c r="B120">
        <v>3</v>
      </c>
      <c r="C120" t="s">
        <v>19</v>
      </c>
      <c r="D120" t="s">
        <v>30</v>
      </c>
      <c r="E120" t="s">
        <v>476</v>
      </c>
      <c r="F120" t="s">
        <v>96</v>
      </c>
      <c r="G120" t="s">
        <v>396</v>
      </c>
      <c r="H120" t="s">
        <v>742</v>
      </c>
      <c r="I120" t="s">
        <v>741</v>
      </c>
      <c r="L120" t="s">
        <v>1079</v>
      </c>
      <c r="M120" t="s">
        <v>478</v>
      </c>
      <c r="P120" t="s">
        <v>479</v>
      </c>
    </row>
    <row r="121" spans="1:16" x14ac:dyDescent="0.35">
      <c r="A121" t="s">
        <v>15</v>
      </c>
      <c r="B121">
        <v>3</v>
      </c>
      <c r="C121" t="s">
        <v>19</v>
      </c>
      <c r="D121" t="s">
        <v>30</v>
      </c>
      <c r="E121" t="s">
        <v>142</v>
      </c>
      <c r="F121" t="s">
        <v>50</v>
      </c>
      <c r="G121" t="s">
        <v>396</v>
      </c>
      <c r="H121" t="s">
        <v>744</v>
      </c>
      <c r="I121" t="s">
        <v>480</v>
      </c>
      <c r="J121" t="s">
        <v>416</v>
      </c>
      <c r="M121" t="s">
        <v>143</v>
      </c>
      <c r="P121" t="s">
        <v>52</v>
      </c>
    </row>
    <row r="122" spans="1:16" x14ac:dyDescent="0.35">
      <c r="A122" t="s">
        <v>15</v>
      </c>
      <c r="B122">
        <v>2</v>
      </c>
      <c r="C122" t="s">
        <v>24</v>
      </c>
      <c r="D122" t="s">
        <v>30</v>
      </c>
      <c r="E122" t="s">
        <v>481</v>
      </c>
      <c r="G122" t="s">
        <v>396</v>
      </c>
      <c r="H122" t="s">
        <v>746</v>
      </c>
      <c r="I122" t="s">
        <v>745</v>
      </c>
      <c r="L122" t="s">
        <v>1080</v>
      </c>
      <c r="M122" t="s">
        <v>481</v>
      </c>
      <c r="P122" t="s">
        <v>482</v>
      </c>
    </row>
    <row r="123" spans="1:16" x14ac:dyDescent="0.35">
      <c r="A123" t="s">
        <v>15</v>
      </c>
      <c r="B123">
        <v>3</v>
      </c>
      <c r="C123" t="s">
        <v>19</v>
      </c>
      <c r="D123" t="s">
        <v>25</v>
      </c>
      <c r="E123" t="s">
        <v>2</v>
      </c>
      <c r="F123" t="s">
        <v>44</v>
      </c>
      <c r="G123" t="s">
        <v>27</v>
      </c>
      <c r="J123" t="s">
        <v>483</v>
      </c>
      <c r="L123" t="s">
        <v>1081</v>
      </c>
      <c r="M123" t="s">
        <v>61</v>
      </c>
      <c r="P123" t="s">
        <v>484</v>
      </c>
    </row>
    <row r="124" spans="1:16" x14ac:dyDescent="0.35">
      <c r="A124" t="s">
        <v>15</v>
      </c>
      <c r="B124">
        <v>3</v>
      </c>
      <c r="C124" t="s">
        <v>19</v>
      </c>
      <c r="D124" t="s">
        <v>25</v>
      </c>
      <c r="E124" t="s">
        <v>485</v>
      </c>
      <c r="F124" t="s">
        <v>64</v>
      </c>
      <c r="G124" t="s">
        <v>27</v>
      </c>
      <c r="H124" t="s">
        <v>486</v>
      </c>
      <c r="L124" t="s">
        <v>1082</v>
      </c>
      <c r="M124" t="s">
        <v>487</v>
      </c>
      <c r="P124" t="s">
        <v>488</v>
      </c>
    </row>
    <row r="125" spans="1:16" x14ac:dyDescent="0.35">
      <c r="A125" t="s">
        <v>15</v>
      </c>
      <c r="B125">
        <v>2</v>
      </c>
      <c r="C125" t="s">
        <v>24</v>
      </c>
      <c r="D125" t="s">
        <v>193</v>
      </c>
      <c r="E125" t="s">
        <v>303</v>
      </c>
      <c r="G125" t="s">
        <v>22</v>
      </c>
      <c r="H125" t="s">
        <v>489</v>
      </c>
      <c r="L125" t="s">
        <v>1083</v>
      </c>
      <c r="M125" t="s">
        <v>304</v>
      </c>
      <c r="P125" t="s">
        <v>490</v>
      </c>
    </row>
    <row r="126" spans="1:16" x14ac:dyDescent="0.35">
      <c r="A126" t="s">
        <v>15</v>
      </c>
      <c r="B126">
        <v>3</v>
      </c>
      <c r="C126" t="s">
        <v>19</v>
      </c>
      <c r="D126" t="s">
        <v>25</v>
      </c>
      <c r="E126" t="s">
        <v>56</v>
      </c>
      <c r="F126" t="s">
        <v>57</v>
      </c>
      <c r="G126" t="s">
        <v>27</v>
      </c>
      <c r="H126" t="s">
        <v>393</v>
      </c>
      <c r="M126" t="s">
        <v>58</v>
      </c>
      <c r="P126" t="s">
        <v>59</v>
      </c>
    </row>
    <row r="127" spans="1:16" x14ac:dyDescent="0.35">
      <c r="A127" t="s">
        <v>15</v>
      </c>
      <c r="B127">
        <v>3</v>
      </c>
      <c r="C127" t="s">
        <v>19</v>
      </c>
      <c r="D127" t="s">
        <v>25</v>
      </c>
      <c r="E127" t="s">
        <v>2</v>
      </c>
      <c r="F127" t="s">
        <v>306</v>
      </c>
      <c r="G127" t="s">
        <v>27</v>
      </c>
      <c r="H127" t="s">
        <v>747</v>
      </c>
      <c r="J127" t="s">
        <v>491</v>
      </c>
      <c r="L127" t="s">
        <v>1084</v>
      </c>
      <c r="M127" t="s">
        <v>61</v>
      </c>
      <c r="P127" t="s">
        <v>307</v>
      </c>
    </row>
    <row r="128" spans="1:16" x14ac:dyDescent="0.35">
      <c r="A128" t="s">
        <v>15</v>
      </c>
      <c r="B128">
        <v>3</v>
      </c>
      <c r="C128" t="s">
        <v>19</v>
      </c>
      <c r="D128" t="s">
        <v>30</v>
      </c>
      <c r="E128" t="s">
        <v>142</v>
      </c>
      <c r="F128" t="s">
        <v>50</v>
      </c>
      <c r="G128" t="s">
        <v>396</v>
      </c>
      <c r="H128" t="s">
        <v>748</v>
      </c>
      <c r="I128" t="s">
        <v>493</v>
      </c>
      <c r="J128" t="s">
        <v>416</v>
      </c>
      <c r="M128" t="s">
        <v>143</v>
      </c>
      <c r="P128" t="s">
        <v>52</v>
      </c>
    </row>
    <row r="129" spans="1:16" x14ac:dyDescent="0.35">
      <c r="A129" t="s">
        <v>15</v>
      </c>
      <c r="B129">
        <v>3</v>
      </c>
      <c r="C129" t="s">
        <v>19</v>
      </c>
      <c r="D129" t="s">
        <v>25</v>
      </c>
      <c r="E129" t="s">
        <v>63</v>
      </c>
      <c r="F129" t="s">
        <v>83</v>
      </c>
      <c r="G129" t="s">
        <v>27</v>
      </c>
      <c r="H129" t="s">
        <v>494</v>
      </c>
      <c r="L129" t="s">
        <v>1085</v>
      </c>
      <c r="M129" t="s">
        <v>65</v>
      </c>
      <c r="P129" t="s">
        <v>308</v>
      </c>
    </row>
    <row r="130" spans="1:16" x14ac:dyDescent="0.35">
      <c r="A130" t="s">
        <v>15</v>
      </c>
      <c r="B130">
        <v>2</v>
      </c>
      <c r="C130" t="s">
        <v>24</v>
      </c>
      <c r="D130" t="s">
        <v>193</v>
      </c>
      <c r="E130" t="s">
        <v>495</v>
      </c>
      <c r="G130" t="s">
        <v>22</v>
      </c>
      <c r="H130" t="s">
        <v>489</v>
      </c>
      <c r="L130" t="s">
        <v>1086</v>
      </c>
      <c r="M130" t="s">
        <v>496</v>
      </c>
      <c r="P130" t="s">
        <v>497</v>
      </c>
    </row>
    <row r="131" spans="1:16" x14ac:dyDescent="0.35">
      <c r="A131" t="s">
        <v>15</v>
      </c>
      <c r="B131">
        <v>3</v>
      </c>
      <c r="C131" t="s">
        <v>19</v>
      </c>
      <c r="D131" t="s">
        <v>25</v>
      </c>
      <c r="E131" t="s">
        <v>56</v>
      </c>
      <c r="F131" t="s">
        <v>57</v>
      </c>
      <c r="G131" t="s">
        <v>27</v>
      </c>
      <c r="H131" t="s">
        <v>393</v>
      </c>
      <c r="M131" t="s">
        <v>58</v>
      </c>
      <c r="P131" t="s">
        <v>59</v>
      </c>
    </row>
    <row r="132" spans="1:16" x14ac:dyDescent="0.35">
      <c r="A132" t="s">
        <v>15</v>
      </c>
      <c r="B132">
        <v>3</v>
      </c>
      <c r="C132" t="s">
        <v>19</v>
      </c>
      <c r="D132" t="s">
        <v>25</v>
      </c>
      <c r="E132" t="s">
        <v>2</v>
      </c>
      <c r="F132" t="s">
        <v>306</v>
      </c>
      <c r="G132" t="s">
        <v>27</v>
      </c>
      <c r="H132" t="s">
        <v>477</v>
      </c>
      <c r="J132" t="s">
        <v>498</v>
      </c>
      <c r="L132" t="s">
        <v>1087</v>
      </c>
      <c r="M132" t="s">
        <v>61</v>
      </c>
      <c r="P132" t="s">
        <v>307</v>
      </c>
    </row>
    <row r="133" spans="1:16" x14ac:dyDescent="0.35">
      <c r="A133" t="s">
        <v>15</v>
      </c>
      <c r="B133">
        <v>3</v>
      </c>
      <c r="C133" t="s">
        <v>19</v>
      </c>
      <c r="D133" t="s">
        <v>30</v>
      </c>
      <c r="E133" t="s">
        <v>142</v>
      </c>
      <c r="F133" t="s">
        <v>50</v>
      </c>
      <c r="G133" t="s">
        <v>396</v>
      </c>
      <c r="H133" t="s">
        <v>748</v>
      </c>
      <c r="I133" t="s">
        <v>493</v>
      </c>
      <c r="J133" t="s">
        <v>416</v>
      </c>
      <c r="M133" t="s">
        <v>143</v>
      </c>
      <c r="P133" t="s">
        <v>52</v>
      </c>
    </row>
    <row r="134" spans="1:16" x14ac:dyDescent="0.35">
      <c r="A134" t="s">
        <v>15</v>
      </c>
      <c r="B134">
        <v>3</v>
      </c>
      <c r="C134" t="s">
        <v>19</v>
      </c>
      <c r="D134" t="s">
        <v>30</v>
      </c>
      <c r="E134" t="s">
        <v>63</v>
      </c>
      <c r="F134" t="s">
        <v>83</v>
      </c>
      <c r="G134" t="s">
        <v>22</v>
      </c>
      <c r="H134" t="s">
        <v>494</v>
      </c>
      <c r="L134" t="s">
        <v>1088</v>
      </c>
      <c r="M134" t="s">
        <v>65</v>
      </c>
      <c r="P134" t="s">
        <v>308</v>
      </c>
    </row>
    <row r="135" spans="1:16" x14ac:dyDescent="0.35">
      <c r="A135" t="s">
        <v>15</v>
      </c>
      <c r="B135">
        <v>3</v>
      </c>
      <c r="C135" t="s">
        <v>19</v>
      </c>
      <c r="D135" t="s">
        <v>30</v>
      </c>
      <c r="E135" t="s">
        <v>499</v>
      </c>
      <c r="F135" t="s">
        <v>57</v>
      </c>
      <c r="G135" t="s">
        <v>22</v>
      </c>
      <c r="L135" t="s">
        <v>1089</v>
      </c>
      <c r="M135" t="s">
        <v>500</v>
      </c>
      <c r="P135" t="s">
        <v>255</v>
      </c>
    </row>
    <row r="136" spans="1:16" x14ac:dyDescent="0.35">
      <c r="A136" t="s">
        <v>15</v>
      </c>
      <c r="B136">
        <v>3</v>
      </c>
      <c r="C136" t="s">
        <v>19</v>
      </c>
      <c r="D136" t="s">
        <v>30</v>
      </c>
      <c r="E136" t="s">
        <v>501</v>
      </c>
      <c r="F136" t="s">
        <v>83</v>
      </c>
      <c r="G136" t="s">
        <v>22</v>
      </c>
      <c r="L136" t="s">
        <v>1090</v>
      </c>
      <c r="M136" t="s">
        <v>502</v>
      </c>
      <c r="P136" t="s">
        <v>503</v>
      </c>
    </row>
    <row r="137" spans="1:16" x14ac:dyDescent="0.35">
      <c r="A137" t="s">
        <v>15</v>
      </c>
      <c r="B137">
        <v>3</v>
      </c>
      <c r="C137" t="s">
        <v>19</v>
      </c>
      <c r="D137" t="s">
        <v>30</v>
      </c>
      <c r="E137" t="s">
        <v>504</v>
      </c>
      <c r="F137" t="s">
        <v>505</v>
      </c>
      <c r="G137" t="s">
        <v>22</v>
      </c>
      <c r="L137" t="s">
        <v>1091</v>
      </c>
      <c r="M137" t="s">
        <v>506</v>
      </c>
      <c r="P137" t="s">
        <v>507</v>
      </c>
    </row>
    <row r="138" spans="1:16" x14ac:dyDescent="0.35">
      <c r="A138" t="s">
        <v>15</v>
      </c>
      <c r="B138">
        <v>2</v>
      </c>
      <c r="C138" t="s">
        <v>24</v>
      </c>
      <c r="D138" t="s">
        <v>193</v>
      </c>
      <c r="E138" t="s">
        <v>508</v>
      </c>
      <c r="G138" t="s">
        <v>22</v>
      </c>
      <c r="H138" t="s">
        <v>749</v>
      </c>
      <c r="L138" t="s">
        <v>1092</v>
      </c>
      <c r="M138" t="s">
        <v>509</v>
      </c>
      <c r="P138" t="s">
        <v>510</v>
      </c>
    </row>
    <row r="139" spans="1:16" x14ac:dyDescent="0.35">
      <c r="A139" t="s">
        <v>15</v>
      </c>
      <c r="B139">
        <v>3</v>
      </c>
      <c r="C139" t="s">
        <v>19</v>
      </c>
      <c r="D139" t="s">
        <v>25</v>
      </c>
      <c r="E139" t="s">
        <v>56</v>
      </c>
      <c r="F139" t="s">
        <v>57</v>
      </c>
      <c r="G139" t="s">
        <v>27</v>
      </c>
      <c r="H139" t="s">
        <v>393</v>
      </c>
      <c r="M139" t="s">
        <v>58</v>
      </c>
      <c r="P139" t="s">
        <v>59</v>
      </c>
    </row>
    <row r="140" spans="1:16" x14ac:dyDescent="0.35">
      <c r="A140" t="s">
        <v>15</v>
      </c>
      <c r="B140">
        <v>3</v>
      </c>
      <c r="C140" t="s">
        <v>19</v>
      </c>
      <c r="D140" t="s">
        <v>25</v>
      </c>
      <c r="E140" t="s">
        <v>2</v>
      </c>
      <c r="F140" t="s">
        <v>306</v>
      </c>
      <c r="G140" t="s">
        <v>27</v>
      </c>
      <c r="J140" t="s">
        <v>511</v>
      </c>
      <c r="L140" t="s">
        <v>1093</v>
      </c>
      <c r="M140" t="s">
        <v>61</v>
      </c>
      <c r="P140" t="s">
        <v>307</v>
      </c>
    </row>
    <row r="141" spans="1:16" x14ac:dyDescent="0.35">
      <c r="A141" t="s">
        <v>15</v>
      </c>
      <c r="B141">
        <v>3</v>
      </c>
      <c r="C141" t="s">
        <v>19</v>
      </c>
      <c r="D141" t="s">
        <v>30</v>
      </c>
      <c r="E141" t="s">
        <v>142</v>
      </c>
      <c r="F141" t="s">
        <v>50</v>
      </c>
      <c r="G141" t="s">
        <v>396</v>
      </c>
      <c r="H141" t="s">
        <v>748</v>
      </c>
      <c r="I141" t="s">
        <v>493</v>
      </c>
      <c r="J141" t="s">
        <v>416</v>
      </c>
      <c r="M141" t="s">
        <v>143</v>
      </c>
      <c r="P141" t="s">
        <v>52</v>
      </c>
    </row>
    <row r="142" spans="1:16" x14ac:dyDescent="0.35">
      <c r="A142" t="s">
        <v>15</v>
      </c>
      <c r="B142">
        <v>3</v>
      </c>
      <c r="C142" t="s">
        <v>19</v>
      </c>
      <c r="D142" t="s">
        <v>30</v>
      </c>
      <c r="E142" t="s">
        <v>63</v>
      </c>
      <c r="F142" t="s">
        <v>83</v>
      </c>
      <c r="G142" t="s">
        <v>22</v>
      </c>
      <c r="H142" t="s">
        <v>494</v>
      </c>
      <c r="L142" t="s">
        <v>1094</v>
      </c>
      <c r="M142" t="s">
        <v>65</v>
      </c>
      <c r="P142" t="s">
        <v>308</v>
      </c>
    </row>
    <row r="143" spans="1:16" x14ac:dyDescent="0.35">
      <c r="A143" t="s">
        <v>15</v>
      </c>
      <c r="B143">
        <v>2</v>
      </c>
      <c r="C143" t="s">
        <v>24</v>
      </c>
      <c r="D143" t="s">
        <v>193</v>
      </c>
      <c r="E143" t="s">
        <v>219</v>
      </c>
      <c r="G143" t="s">
        <v>22</v>
      </c>
      <c r="H143" t="s">
        <v>489</v>
      </c>
      <c r="L143" t="s">
        <v>1095</v>
      </c>
      <c r="M143" t="s">
        <v>220</v>
      </c>
      <c r="P143" t="s">
        <v>221</v>
      </c>
    </row>
    <row r="144" spans="1:16" x14ac:dyDescent="0.35">
      <c r="A144" t="s">
        <v>15</v>
      </c>
      <c r="B144">
        <v>3</v>
      </c>
      <c r="C144" t="s">
        <v>19</v>
      </c>
      <c r="D144" t="s">
        <v>25</v>
      </c>
      <c r="E144" t="s">
        <v>56</v>
      </c>
      <c r="F144" t="s">
        <v>57</v>
      </c>
      <c r="G144" t="s">
        <v>27</v>
      </c>
      <c r="H144" t="s">
        <v>393</v>
      </c>
      <c r="M144" t="s">
        <v>58</v>
      </c>
      <c r="P144" t="s">
        <v>59</v>
      </c>
    </row>
    <row r="145" spans="1:16" x14ac:dyDescent="0.35">
      <c r="A145" t="s">
        <v>15</v>
      </c>
      <c r="B145">
        <v>3</v>
      </c>
      <c r="C145" t="s">
        <v>19</v>
      </c>
      <c r="D145" t="s">
        <v>25</v>
      </c>
      <c r="E145" t="s">
        <v>222</v>
      </c>
      <c r="F145" t="s">
        <v>223</v>
      </c>
      <c r="G145" t="s">
        <v>27</v>
      </c>
      <c r="H145" t="s">
        <v>477</v>
      </c>
      <c r="J145" t="s">
        <v>513</v>
      </c>
      <c r="L145" t="s">
        <v>1096</v>
      </c>
      <c r="M145" t="s">
        <v>224</v>
      </c>
      <c r="P145" t="s">
        <v>225</v>
      </c>
    </row>
    <row r="146" spans="1:16" x14ac:dyDescent="0.35">
      <c r="A146" t="s">
        <v>15</v>
      </c>
      <c r="B146">
        <v>3</v>
      </c>
      <c r="C146" t="s">
        <v>19</v>
      </c>
      <c r="D146" t="s">
        <v>30</v>
      </c>
      <c r="E146" t="s">
        <v>142</v>
      </c>
      <c r="F146" t="s">
        <v>50</v>
      </c>
      <c r="G146" t="s">
        <v>396</v>
      </c>
      <c r="H146" t="s">
        <v>748</v>
      </c>
      <c r="I146" t="s">
        <v>493</v>
      </c>
      <c r="J146" t="s">
        <v>416</v>
      </c>
      <c r="M146" t="s">
        <v>143</v>
      </c>
      <c r="P146" t="s">
        <v>52</v>
      </c>
    </row>
    <row r="147" spans="1:16" x14ac:dyDescent="0.35">
      <c r="A147" t="s">
        <v>15</v>
      </c>
      <c r="B147">
        <v>3</v>
      </c>
      <c r="C147" t="s">
        <v>19</v>
      </c>
      <c r="D147" t="s">
        <v>30</v>
      </c>
      <c r="E147" t="s">
        <v>226</v>
      </c>
      <c r="F147" t="s">
        <v>216</v>
      </c>
      <c r="G147" t="s">
        <v>22</v>
      </c>
      <c r="L147" t="s">
        <v>1097</v>
      </c>
      <c r="M147" t="s">
        <v>227</v>
      </c>
      <c r="P147" t="s">
        <v>218</v>
      </c>
    </row>
    <row r="148" spans="1:16" x14ac:dyDescent="0.35">
      <c r="A148" t="s">
        <v>15</v>
      </c>
      <c r="B148">
        <v>2</v>
      </c>
      <c r="C148" t="s">
        <v>24</v>
      </c>
      <c r="D148" t="s">
        <v>193</v>
      </c>
      <c r="E148" t="s">
        <v>514</v>
      </c>
      <c r="G148" t="s">
        <v>396</v>
      </c>
      <c r="H148" t="s">
        <v>750</v>
      </c>
      <c r="I148" t="s">
        <v>515</v>
      </c>
      <c r="L148" t="s">
        <v>1098</v>
      </c>
      <c r="M148" t="s">
        <v>516</v>
      </c>
      <c r="P148" t="s">
        <v>517</v>
      </c>
    </row>
    <row r="149" spans="1:16" x14ac:dyDescent="0.35">
      <c r="A149" t="s">
        <v>15</v>
      </c>
      <c r="B149">
        <v>3</v>
      </c>
      <c r="C149" t="s">
        <v>19</v>
      </c>
      <c r="D149" t="s">
        <v>25</v>
      </c>
      <c r="E149" t="s">
        <v>56</v>
      </c>
      <c r="F149" t="s">
        <v>57</v>
      </c>
      <c r="G149" t="s">
        <v>27</v>
      </c>
      <c r="H149" t="s">
        <v>393</v>
      </c>
      <c r="M149" t="s">
        <v>58</v>
      </c>
      <c r="P149" t="s">
        <v>59</v>
      </c>
    </row>
    <row r="150" spans="1:16" x14ac:dyDescent="0.35">
      <c r="A150" t="s">
        <v>15</v>
      </c>
      <c r="B150">
        <v>3</v>
      </c>
      <c r="C150" t="s">
        <v>19</v>
      </c>
      <c r="D150" t="s">
        <v>25</v>
      </c>
      <c r="E150" t="s">
        <v>222</v>
      </c>
      <c r="F150" t="s">
        <v>518</v>
      </c>
      <c r="G150" t="s">
        <v>27</v>
      </c>
      <c r="J150" t="s">
        <v>519</v>
      </c>
      <c r="L150" t="s">
        <v>1099</v>
      </c>
      <c r="M150" t="s">
        <v>224</v>
      </c>
      <c r="P150" t="s">
        <v>520</v>
      </c>
    </row>
    <row r="151" spans="1:16" x14ac:dyDescent="0.35">
      <c r="A151" t="s">
        <v>15</v>
      </c>
      <c r="B151">
        <v>3</v>
      </c>
      <c r="C151" t="s">
        <v>19</v>
      </c>
      <c r="D151" t="s">
        <v>30</v>
      </c>
      <c r="E151" t="s">
        <v>524</v>
      </c>
      <c r="F151" t="s">
        <v>181</v>
      </c>
      <c r="G151" t="s">
        <v>22</v>
      </c>
      <c r="L151" t="s">
        <v>1100</v>
      </c>
      <c r="M151" t="s">
        <v>525</v>
      </c>
      <c r="P151" t="s">
        <v>183</v>
      </c>
    </row>
    <row r="152" spans="1:16" x14ac:dyDescent="0.35">
      <c r="A152" t="s">
        <v>15</v>
      </c>
      <c r="B152">
        <v>2</v>
      </c>
      <c r="C152" t="s">
        <v>24</v>
      </c>
      <c r="D152" t="s">
        <v>193</v>
      </c>
      <c r="E152" t="s">
        <v>528</v>
      </c>
      <c r="G152" t="s">
        <v>396</v>
      </c>
      <c r="H152" t="s">
        <v>751</v>
      </c>
      <c r="I152" t="s">
        <v>529</v>
      </c>
      <c r="L152" t="s">
        <v>1101</v>
      </c>
      <c r="M152" t="s">
        <v>530</v>
      </c>
      <c r="P152" t="s">
        <v>531</v>
      </c>
    </row>
    <row r="153" spans="1:16" x14ac:dyDescent="0.35">
      <c r="A153" t="s">
        <v>15</v>
      </c>
      <c r="B153">
        <v>3</v>
      </c>
      <c r="C153" t="s">
        <v>19</v>
      </c>
      <c r="D153" t="s">
        <v>25</v>
      </c>
      <c r="E153" t="s">
        <v>56</v>
      </c>
      <c r="F153" t="s">
        <v>57</v>
      </c>
      <c r="G153" t="s">
        <v>27</v>
      </c>
      <c r="H153" t="s">
        <v>393</v>
      </c>
      <c r="M153" t="s">
        <v>58</v>
      </c>
      <c r="P153" t="s">
        <v>59</v>
      </c>
    </row>
    <row r="154" spans="1:16" x14ac:dyDescent="0.35">
      <c r="A154" t="s">
        <v>15</v>
      </c>
      <c r="B154">
        <v>3</v>
      </c>
      <c r="C154" t="s">
        <v>19</v>
      </c>
      <c r="D154" t="s">
        <v>25</v>
      </c>
      <c r="E154" t="s">
        <v>197</v>
      </c>
      <c r="F154" t="s">
        <v>333</v>
      </c>
      <c r="G154" t="s">
        <v>27</v>
      </c>
      <c r="J154" t="s">
        <v>532</v>
      </c>
      <c r="L154" t="s">
        <v>1102</v>
      </c>
      <c r="M154" t="s">
        <v>199</v>
      </c>
      <c r="P154" t="s">
        <v>533</v>
      </c>
    </row>
    <row r="155" spans="1:16" x14ac:dyDescent="0.35">
      <c r="A155" t="s">
        <v>15</v>
      </c>
      <c r="B155">
        <v>3</v>
      </c>
      <c r="C155" t="s">
        <v>19</v>
      </c>
      <c r="D155" t="s">
        <v>25</v>
      </c>
      <c r="E155" t="s">
        <v>534</v>
      </c>
      <c r="F155" t="s">
        <v>103</v>
      </c>
      <c r="G155" t="s">
        <v>27</v>
      </c>
      <c r="L155" t="s">
        <v>1103</v>
      </c>
      <c r="M155" t="s">
        <v>535</v>
      </c>
      <c r="P155" t="s">
        <v>536</v>
      </c>
    </row>
    <row r="156" spans="1:16" x14ac:dyDescent="0.35">
      <c r="A156" t="s">
        <v>15</v>
      </c>
      <c r="B156">
        <v>2</v>
      </c>
      <c r="C156" t="s">
        <v>24</v>
      </c>
      <c r="D156" t="s">
        <v>25</v>
      </c>
      <c r="E156" t="s">
        <v>241</v>
      </c>
      <c r="G156" t="s">
        <v>27</v>
      </c>
      <c r="M156" t="s">
        <v>241</v>
      </c>
      <c r="P156" t="s">
        <v>537</v>
      </c>
    </row>
    <row r="157" spans="1:16" x14ac:dyDescent="0.35">
      <c r="A157" t="s">
        <v>15</v>
      </c>
      <c r="B157">
        <v>3</v>
      </c>
      <c r="C157" t="s">
        <v>19</v>
      </c>
      <c r="D157" t="s">
        <v>30</v>
      </c>
      <c r="E157" t="s">
        <v>538</v>
      </c>
      <c r="F157" t="s">
        <v>123</v>
      </c>
      <c r="G157" t="s">
        <v>22</v>
      </c>
      <c r="J157" t="s">
        <v>539</v>
      </c>
      <c r="L157" t="s">
        <v>1104</v>
      </c>
      <c r="M157" t="s">
        <v>540</v>
      </c>
      <c r="P157" t="s">
        <v>367</v>
      </c>
    </row>
    <row r="158" spans="1:16" x14ac:dyDescent="0.35">
      <c r="A158" t="s">
        <v>15</v>
      </c>
      <c r="B158">
        <v>3</v>
      </c>
      <c r="C158" t="s">
        <v>19</v>
      </c>
      <c r="D158" t="s">
        <v>30</v>
      </c>
      <c r="E158" t="s">
        <v>541</v>
      </c>
      <c r="F158" t="s">
        <v>123</v>
      </c>
      <c r="G158" t="s">
        <v>396</v>
      </c>
      <c r="H158" t="s">
        <v>542</v>
      </c>
      <c r="I158" t="s">
        <v>543</v>
      </c>
      <c r="J158" t="s">
        <v>544</v>
      </c>
      <c r="L158" t="s">
        <v>1105</v>
      </c>
      <c r="M158" t="s">
        <v>545</v>
      </c>
      <c r="P158" t="s">
        <v>546</v>
      </c>
    </row>
    <row r="159" spans="1:16" x14ac:dyDescent="0.35">
      <c r="A159" t="s">
        <v>15</v>
      </c>
      <c r="B159">
        <v>3</v>
      </c>
      <c r="C159" t="s">
        <v>19</v>
      </c>
      <c r="D159" t="s">
        <v>30</v>
      </c>
      <c r="E159" t="s">
        <v>547</v>
      </c>
      <c r="F159" t="s">
        <v>123</v>
      </c>
      <c r="G159" t="s">
        <v>396</v>
      </c>
      <c r="H159" t="s">
        <v>548</v>
      </c>
      <c r="I159" t="s">
        <v>549</v>
      </c>
      <c r="J159" t="s">
        <v>544</v>
      </c>
      <c r="L159" t="s">
        <v>1106</v>
      </c>
      <c r="M159" t="s">
        <v>550</v>
      </c>
      <c r="P159" t="s">
        <v>546</v>
      </c>
    </row>
    <row r="160" spans="1:16" x14ac:dyDescent="0.35">
      <c r="A160" t="s">
        <v>15</v>
      </c>
      <c r="B160">
        <v>3</v>
      </c>
      <c r="C160" t="s">
        <v>19</v>
      </c>
      <c r="D160" t="s">
        <v>30</v>
      </c>
      <c r="E160" t="s">
        <v>310</v>
      </c>
      <c r="F160" t="s">
        <v>311</v>
      </c>
      <c r="G160" t="s">
        <v>22</v>
      </c>
      <c r="H160" t="s">
        <v>551</v>
      </c>
      <c r="L160" t="s">
        <v>1107</v>
      </c>
      <c r="M160" t="s">
        <v>312</v>
      </c>
      <c r="P160" t="s">
        <v>313</v>
      </c>
    </row>
    <row r="161" spans="1:16" x14ac:dyDescent="0.35">
      <c r="A161" t="s">
        <v>15</v>
      </c>
      <c r="B161">
        <v>3</v>
      </c>
      <c r="C161" t="s">
        <v>19</v>
      </c>
      <c r="D161" t="s">
        <v>30</v>
      </c>
      <c r="E161" t="s">
        <v>552</v>
      </c>
      <c r="F161" t="s">
        <v>156</v>
      </c>
      <c r="G161" t="s">
        <v>22</v>
      </c>
      <c r="L161" t="s">
        <v>1108</v>
      </c>
      <c r="M161" t="s">
        <v>553</v>
      </c>
      <c r="P161" t="s">
        <v>554</v>
      </c>
    </row>
    <row r="162" spans="1:16" x14ac:dyDescent="0.35">
      <c r="A162" t="s">
        <v>15</v>
      </c>
      <c r="B162">
        <v>3</v>
      </c>
      <c r="C162" t="s">
        <v>24</v>
      </c>
      <c r="D162" t="s">
        <v>243</v>
      </c>
      <c r="E162" t="s">
        <v>244</v>
      </c>
      <c r="G162" t="s">
        <v>22</v>
      </c>
      <c r="H162" t="s">
        <v>555</v>
      </c>
      <c r="L162" t="s">
        <v>1109</v>
      </c>
      <c r="M162" t="s">
        <v>245</v>
      </c>
      <c r="P162" t="s">
        <v>246</v>
      </c>
    </row>
    <row r="163" spans="1:16" x14ac:dyDescent="0.35">
      <c r="A163" t="s">
        <v>15</v>
      </c>
      <c r="B163">
        <v>4</v>
      </c>
      <c r="C163" t="s">
        <v>19</v>
      </c>
      <c r="D163" t="s">
        <v>25</v>
      </c>
      <c r="E163" t="s">
        <v>56</v>
      </c>
      <c r="F163" t="s">
        <v>57</v>
      </c>
      <c r="G163" t="s">
        <v>27</v>
      </c>
      <c r="H163" t="s">
        <v>393</v>
      </c>
      <c r="M163" t="s">
        <v>58</v>
      </c>
      <c r="P163" t="s">
        <v>59</v>
      </c>
    </row>
    <row r="164" spans="1:16" x14ac:dyDescent="0.35">
      <c r="A164" t="s">
        <v>15</v>
      </c>
      <c r="B164">
        <v>4</v>
      </c>
      <c r="C164" t="s">
        <v>19</v>
      </c>
      <c r="D164" t="s">
        <v>25</v>
      </c>
      <c r="E164" t="s">
        <v>247</v>
      </c>
      <c r="F164" t="s">
        <v>316</v>
      </c>
      <c r="G164" t="s">
        <v>27</v>
      </c>
      <c r="L164" t="s">
        <v>1110</v>
      </c>
      <c r="M164" t="s">
        <v>248</v>
      </c>
      <c r="P164" t="s">
        <v>249</v>
      </c>
    </row>
    <row r="165" spans="1:16" x14ac:dyDescent="0.35">
      <c r="A165" t="s">
        <v>15</v>
      </c>
      <c r="B165">
        <v>4</v>
      </c>
      <c r="C165" t="s">
        <v>24</v>
      </c>
      <c r="D165" t="s">
        <v>243</v>
      </c>
      <c r="E165" t="s">
        <v>250</v>
      </c>
      <c r="G165" t="s">
        <v>396</v>
      </c>
      <c r="I165" t="s">
        <v>556</v>
      </c>
      <c r="L165" t="s">
        <v>1199</v>
      </c>
      <c r="M165" t="s">
        <v>251</v>
      </c>
      <c r="P165" t="s">
        <v>252</v>
      </c>
    </row>
    <row r="166" spans="1:16" x14ac:dyDescent="0.35">
      <c r="A166" t="s">
        <v>15</v>
      </c>
      <c r="B166">
        <v>5</v>
      </c>
      <c r="C166" t="s">
        <v>19</v>
      </c>
      <c r="D166" t="s">
        <v>25</v>
      </c>
      <c r="E166" t="s">
        <v>56</v>
      </c>
      <c r="F166" t="s">
        <v>57</v>
      </c>
      <c r="G166" t="s">
        <v>27</v>
      </c>
      <c r="H166" t="s">
        <v>393</v>
      </c>
      <c r="M166" t="s">
        <v>58</v>
      </c>
      <c r="P166" t="s">
        <v>59</v>
      </c>
    </row>
    <row r="167" spans="1:16" x14ac:dyDescent="0.35">
      <c r="A167" t="s">
        <v>15</v>
      </c>
      <c r="B167">
        <v>5</v>
      </c>
      <c r="C167" t="s">
        <v>19</v>
      </c>
      <c r="D167" t="s">
        <v>25</v>
      </c>
      <c r="E167" t="s">
        <v>253</v>
      </c>
      <c r="F167" t="s">
        <v>57</v>
      </c>
      <c r="G167" t="s">
        <v>27</v>
      </c>
      <c r="L167" t="s">
        <v>1200</v>
      </c>
      <c r="M167" t="s">
        <v>254</v>
      </c>
      <c r="P167" t="s">
        <v>255</v>
      </c>
    </row>
    <row r="168" spans="1:16" x14ac:dyDescent="0.35">
      <c r="A168" t="s">
        <v>15</v>
      </c>
      <c r="B168">
        <v>3</v>
      </c>
      <c r="C168" t="s">
        <v>24</v>
      </c>
      <c r="D168" t="s">
        <v>30</v>
      </c>
      <c r="E168" t="s">
        <v>256</v>
      </c>
      <c r="G168" t="s">
        <v>396</v>
      </c>
      <c r="H168" t="s">
        <v>557</v>
      </c>
      <c r="I168" t="s">
        <v>752</v>
      </c>
      <c r="L168" t="s">
        <v>1111</v>
      </c>
      <c r="M168" t="s">
        <v>257</v>
      </c>
      <c r="P168" t="s">
        <v>258</v>
      </c>
    </row>
    <row r="169" spans="1:16" x14ac:dyDescent="0.35">
      <c r="A169" t="s">
        <v>15</v>
      </c>
      <c r="B169">
        <v>4</v>
      </c>
      <c r="C169" t="s">
        <v>19</v>
      </c>
      <c r="D169" t="s">
        <v>25</v>
      </c>
      <c r="E169" t="s">
        <v>259</v>
      </c>
      <c r="F169" t="s">
        <v>44</v>
      </c>
      <c r="G169" t="s">
        <v>27</v>
      </c>
      <c r="J169" t="s">
        <v>558</v>
      </c>
      <c r="L169" t="s">
        <v>1112</v>
      </c>
      <c r="M169" t="s">
        <v>260</v>
      </c>
      <c r="P169" t="s">
        <v>261</v>
      </c>
    </row>
    <row r="170" spans="1:16" x14ac:dyDescent="0.35">
      <c r="A170" t="s">
        <v>15</v>
      </c>
      <c r="B170">
        <v>4</v>
      </c>
      <c r="C170" t="s">
        <v>19</v>
      </c>
      <c r="D170" t="s">
        <v>25</v>
      </c>
      <c r="E170" t="s">
        <v>262</v>
      </c>
      <c r="F170" t="s">
        <v>44</v>
      </c>
      <c r="G170" t="s">
        <v>27</v>
      </c>
      <c r="H170" t="s">
        <v>559</v>
      </c>
      <c r="J170" t="s">
        <v>560</v>
      </c>
      <c r="L170" t="s">
        <v>1113</v>
      </c>
      <c r="M170" t="s">
        <v>263</v>
      </c>
      <c r="P170" t="s">
        <v>264</v>
      </c>
    </row>
    <row r="171" spans="1:16" x14ac:dyDescent="0.35">
      <c r="A171" t="s">
        <v>15</v>
      </c>
      <c r="B171">
        <v>4</v>
      </c>
      <c r="C171" t="s">
        <v>19</v>
      </c>
      <c r="D171" t="s">
        <v>30</v>
      </c>
      <c r="E171" t="s">
        <v>265</v>
      </c>
      <c r="F171" t="s">
        <v>64</v>
      </c>
      <c r="G171" t="s">
        <v>396</v>
      </c>
      <c r="I171" t="s">
        <v>561</v>
      </c>
      <c r="L171" t="s">
        <v>1114</v>
      </c>
      <c r="M171" t="s">
        <v>266</v>
      </c>
      <c r="P171" t="s">
        <v>66</v>
      </c>
    </row>
    <row r="172" spans="1:16" x14ac:dyDescent="0.35">
      <c r="A172" t="s">
        <v>15</v>
      </c>
      <c r="B172">
        <v>4</v>
      </c>
      <c r="C172" t="s">
        <v>19</v>
      </c>
      <c r="D172" t="s">
        <v>30</v>
      </c>
      <c r="E172" t="s">
        <v>267</v>
      </c>
      <c r="F172" t="s">
        <v>60</v>
      </c>
      <c r="G172" t="s">
        <v>396</v>
      </c>
      <c r="I172" t="s">
        <v>562</v>
      </c>
      <c r="L172" t="s">
        <v>1115</v>
      </c>
      <c r="M172" t="s">
        <v>268</v>
      </c>
      <c r="P172" t="s">
        <v>269</v>
      </c>
    </row>
    <row r="173" spans="1:16" x14ac:dyDescent="0.35">
      <c r="A173" t="s">
        <v>15</v>
      </c>
      <c r="B173">
        <v>4</v>
      </c>
      <c r="C173" t="s">
        <v>19</v>
      </c>
      <c r="D173" t="s">
        <v>30</v>
      </c>
      <c r="E173" t="s">
        <v>270</v>
      </c>
      <c r="F173" t="s">
        <v>103</v>
      </c>
      <c r="G173" t="s">
        <v>396</v>
      </c>
      <c r="I173" t="s">
        <v>561</v>
      </c>
      <c r="J173" t="s">
        <v>459</v>
      </c>
      <c r="L173" t="s">
        <v>1116</v>
      </c>
      <c r="M173" t="s">
        <v>271</v>
      </c>
      <c r="P173" t="s">
        <v>272</v>
      </c>
    </row>
    <row r="174" spans="1:16" x14ac:dyDescent="0.35">
      <c r="A174" t="s">
        <v>15</v>
      </c>
      <c r="B174">
        <v>4</v>
      </c>
      <c r="C174" t="s">
        <v>24</v>
      </c>
      <c r="D174" t="s">
        <v>30</v>
      </c>
      <c r="E174" t="s">
        <v>273</v>
      </c>
      <c r="G174" t="s">
        <v>396</v>
      </c>
      <c r="I174" t="s">
        <v>561</v>
      </c>
      <c r="L174" t="s">
        <v>1117</v>
      </c>
      <c r="M174" t="s">
        <v>274</v>
      </c>
      <c r="P174" t="s">
        <v>275</v>
      </c>
    </row>
    <row r="175" spans="1:16" x14ac:dyDescent="0.35">
      <c r="A175" t="s">
        <v>15</v>
      </c>
      <c r="B175">
        <v>5</v>
      </c>
      <c r="C175" t="s">
        <v>19</v>
      </c>
      <c r="D175" t="s">
        <v>25</v>
      </c>
      <c r="E175" t="s">
        <v>63</v>
      </c>
      <c r="F175" t="s">
        <v>74</v>
      </c>
      <c r="G175" t="s">
        <v>27</v>
      </c>
      <c r="J175" t="s">
        <v>399</v>
      </c>
      <c r="L175" t="s">
        <v>1118</v>
      </c>
      <c r="M175" t="s">
        <v>65</v>
      </c>
      <c r="P175" t="s">
        <v>75</v>
      </c>
    </row>
    <row r="176" spans="1:16" x14ac:dyDescent="0.35">
      <c r="A176" t="s">
        <v>15</v>
      </c>
      <c r="B176">
        <v>4</v>
      </c>
      <c r="C176" t="s">
        <v>24</v>
      </c>
      <c r="D176" t="s">
        <v>30</v>
      </c>
      <c r="E176" t="s">
        <v>276</v>
      </c>
      <c r="G176" t="s">
        <v>396</v>
      </c>
      <c r="H176" t="s">
        <v>563</v>
      </c>
      <c r="I176" t="s">
        <v>561</v>
      </c>
      <c r="L176" t="s">
        <v>1119</v>
      </c>
      <c r="M176" t="s">
        <v>277</v>
      </c>
      <c r="P176" t="s">
        <v>278</v>
      </c>
    </row>
    <row r="177" spans="1:16" x14ac:dyDescent="0.35">
      <c r="A177" t="s">
        <v>15</v>
      </c>
      <c r="B177">
        <v>5</v>
      </c>
      <c r="C177" t="s">
        <v>19</v>
      </c>
      <c r="D177" t="s">
        <v>25</v>
      </c>
      <c r="E177" t="s">
        <v>279</v>
      </c>
      <c r="F177" t="s">
        <v>280</v>
      </c>
      <c r="G177" t="s">
        <v>27</v>
      </c>
      <c r="L177" t="s">
        <v>1120</v>
      </c>
      <c r="M177" t="s">
        <v>281</v>
      </c>
      <c r="P177" t="s">
        <v>282</v>
      </c>
    </row>
    <row r="178" spans="1:16" x14ac:dyDescent="0.35">
      <c r="A178" t="s">
        <v>15</v>
      </c>
      <c r="B178">
        <v>5</v>
      </c>
      <c r="C178" t="s">
        <v>19</v>
      </c>
      <c r="D178" t="s">
        <v>25</v>
      </c>
      <c r="E178" t="s">
        <v>283</v>
      </c>
      <c r="F178" t="s">
        <v>284</v>
      </c>
      <c r="G178" t="s">
        <v>27</v>
      </c>
      <c r="L178" t="s">
        <v>1121</v>
      </c>
      <c r="M178" t="s">
        <v>285</v>
      </c>
      <c r="P178" t="s">
        <v>286</v>
      </c>
    </row>
    <row r="179" spans="1:16" x14ac:dyDescent="0.35">
      <c r="A179" t="s">
        <v>15</v>
      </c>
      <c r="B179">
        <v>4</v>
      </c>
      <c r="C179" t="s">
        <v>24</v>
      </c>
      <c r="D179" t="s">
        <v>30</v>
      </c>
      <c r="E179" t="s">
        <v>287</v>
      </c>
      <c r="G179" t="s">
        <v>396</v>
      </c>
      <c r="I179" t="s">
        <v>561</v>
      </c>
      <c r="L179" t="s">
        <v>1122</v>
      </c>
      <c r="M179" t="s">
        <v>288</v>
      </c>
      <c r="P179" t="s">
        <v>289</v>
      </c>
    </row>
    <row r="180" spans="1:16" x14ac:dyDescent="0.35">
      <c r="A180" t="s">
        <v>15</v>
      </c>
      <c r="B180">
        <v>5</v>
      </c>
      <c r="C180" t="s">
        <v>19</v>
      </c>
      <c r="D180" t="s">
        <v>25</v>
      </c>
      <c r="E180" t="s">
        <v>81</v>
      </c>
      <c r="F180" t="s">
        <v>68</v>
      </c>
      <c r="G180" t="s">
        <v>27</v>
      </c>
      <c r="L180" t="s">
        <v>1123</v>
      </c>
      <c r="M180" t="s">
        <v>82</v>
      </c>
      <c r="P180" t="s">
        <v>70</v>
      </c>
    </row>
    <row r="181" spans="1:16" x14ac:dyDescent="0.35">
      <c r="A181" t="s">
        <v>15</v>
      </c>
      <c r="B181">
        <v>4</v>
      </c>
      <c r="C181" t="s">
        <v>24</v>
      </c>
      <c r="D181" t="s">
        <v>30</v>
      </c>
      <c r="E181" t="s">
        <v>86</v>
      </c>
      <c r="G181" t="s">
        <v>396</v>
      </c>
      <c r="I181" t="s">
        <v>561</v>
      </c>
      <c r="L181" t="s">
        <v>1124</v>
      </c>
      <c r="M181" t="s">
        <v>86</v>
      </c>
      <c r="P181" t="s">
        <v>87</v>
      </c>
    </row>
    <row r="182" spans="1:16" x14ac:dyDescent="0.35">
      <c r="A182" t="s">
        <v>15</v>
      </c>
      <c r="B182">
        <v>5</v>
      </c>
      <c r="C182" t="s">
        <v>19</v>
      </c>
      <c r="D182" t="s">
        <v>25</v>
      </c>
      <c r="E182" t="s">
        <v>88</v>
      </c>
      <c r="F182" t="s">
        <v>83</v>
      </c>
      <c r="G182" t="s">
        <v>27</v>
      </c>
      <c r="L182" t="s">
        <v>1125</v>
      </c>
      <c r="M182" t="s">
        <v>89</v>
      </c>
      <c r="P182" t="s">
        <v>90</v>
      </c>
    </row>
    <row r="183" spans="1:16" x14ac:dyDescent="0.35">
      <c r="A183" t="s">
        <v>15</v>
      </c>
      <c r="B183">
        <v>5</v>
      </c>
      <c r="C183" t="s">
        <v>19</v>
      </c>
      <c r="D183" t="s">
        <v>30</v>
      </c>
      <c r="E183" t="s">
        <v>91</v>
      </c>
      <c r="F183" t="s">
        <v>92</v>
      </c>
      <c r="G183" t="s">
        <v>396</v>
      </c>
      <c r="I183" t="s">
        <v>402</v>
      </c>
      <c r="L183" t="s">
        <v>1126</v>
      </c>
      <c r="M183" t="s">
        <v>93</v>
      </c>
      <c r="P183" t="s">
        <v>94</v>
      </c>
    </row>
    <row r="184" spans="1:16" x14ac:dyDescent="0.35">
      <c r="A184" t="s">
        <v>15</v>
      </c>
      <c r="B184">
        <v>5</v>
      </c>
      <c r="C184" t="s">
        <v>19</v>
      </c>
      <c r="D184" t="s">
        <v>25</v>
      </c>
      <c r="E184" t="s">
        <v>95</v>
      </c>
      <c r="F184" t="s">
        <v>96</v>
      </c>
      <c r="G184" t="s">
        <v>27</v>
      </c>
      <c r="L184" t="s">
        <v>1127</v>
      </c>
      <c r="M184" t="s">
        <v>97</v>
      </c>
      <c r="P184" t="s">
        <v>98</v>
      </c>
    </row>
    <row r="185" spans="1:16" x14ac:dyDescent="0.35">
      <c r="A185" t="s">
        <v>15</v>
      </c>
      <c r="B185">
        <v>5</v>
      </c>
      <c r="C185" t="s">
        <v>19</v>
      </c>
      <c r="D185" t="s">
        <v>25</v>
      </c>
      <c r="E185" t="s">
        <v>99</v>
      </c>
      <c r="F185" t="s">
        <v>50</v>
      </c>
      <c r="G185" t="s">
        <v>27</v>
      </c>
      <c r="J185" t="s">
        <v>403</v>
      </c>
      <c r="L185" t="s">
        <v>1128</v>
      </c>
      <c r="M185" t="s">
        <v>100</v>
      </c>
      <c r="P185" t="s">
        <v>52</v>
      </c>
    </row>
    <row r="186" spans="1:16" x14ac:dyDescent="0.35">
      <c r="A186" t="s">
        <v>15</v>
      </c>
      <c r="B186">
        <v>4</v>
      </c>
      <c r="C186" t="s">
        <v>24</v>
      </c>
      <c r="D186" t="s">
        <v>30</v>
      </c>
      <c r="E186" t="s">
        <v>290</v>
      </c>
      <c r="G186" t="s">
        <v>396</v>
      </c>
      <c r="I186" t="s">
        <v>561</v>
      </c>
      <c r="L186" t="s">
        <v>1129</v>
      </c>
      <c r="M186" t="s">
        <v>291</v>
      </c>
      <c r="P186" t="s">
        <v>292</v>
      </c>
    </row>
    <row r="187" spans="1:16" x14ac:dyDescent="0.35">
      <c r="A187" t="s">
        <v>15</v>
      </c>
      <c r="B187">
        <v>5</v>
      </c>
      <c r="C187" t="s">
        <v>19</v>
      </c>
      <c r="D187" t="s">
        <v>30</v>
      </c>
      <c r="E187" t="s">
        <v>293</v>
      </c>
      <c r="F187" t="s">
        <v>96</v>
      </c>
      <c r="G187" t="s">
        <v>396</v>
      </c>
      <c r="I187" t="s">
        <v>564</v>
      </c>
      <c r="L187" t="s">
        <v>1130</v>
      </c>
      <c r="M187" t="s">
        <v>294</v>
      </c>
      <c r="P187" t="s">
        <v>295</v>
      </c>
    </row>
    <row r="188" spans="1:16" x14ac:dyDescent="0.35">
      <c r="A188" t="s">
        <v>15</v>
      </c>
      <c r="B188">
        <v>5</v>
      </c>
      <c r="C188" t="s">
        <v>19</v>
      </c>
      <c r="D188" t="s">
        <v>25</v>
      </c>
      <c r="E188" t="s">
        <v>91</v>
      </c>
      <c r="F188" t="s">
        <v>92</v>
      </c>
      <c r="G188" t="s">
        <v>27</v>
      </c>
      <c r="L188" t="s">
        <v>1131</v>
      </c>
      <c r="M188" t="s">
        <v>93</v>
      </c>
      <c r="P188" t="s">
        <v>94</v>
      </c>
    </row>
    <row r="189" spans="1:16" x14ac:dyDescent="0.35">
      <c r="A189" t="s">
        <v>15</v>
      </c>
      <c r="B189">
        <v>5</v>
      </c>
      <c r="C189" t="s">
        <v>19</v>
      </c>
      <c r="D189" t="s">
        <v>25</v>
      </c>
      <c r="E189" t="s">
        <v>99</v>
      </c>
      <c r="F189" t="s">
        <v>50</v>
      </c>
      <c r="G189" t="s">
        <v>27</v>
      </c>
      <c r="J189" t="s">
        <v>565</v>
      </c>
      <c r="L189" t="s">
        <v>1132</v>
      </c>
      <c r="M189" t="s">
        <v>100</v>
      </c>
      <c r="P189" t="s">
        <v>52</v>
      </c>
    </row>
    <row r="190" spans="1:16" x14ac:dyDescent="0.35">
      <c r="A190" t="s">
        <v>15</v>
      </c>
      <c r="B190">
        <v>3</v>
      </c>
      <c r="C190" t="s">
        <v>24</v>
      </c>
      <c r="D190" t="s">
        <v>30</v>
      </c>
      <c r="E190" t="s">
        <v>566</v>
      </c>
      <c r="G190" t="s">
        <v>396</v>
      </c>
      <c r="H190" t="s">
        <v>753</v>
      </c>
      <c r="I190" t="s">
        <v>567</v>
      </c>
      <c r="L190" t="s">
        <v>1133</v>
      </c>
      <c r="M190" t="s">
        <v>568</v>
      </c>
      <c r="P190" t="s">
        <v>569</v>
      </c>
    </row>
    <row r="191" spans="1:16" x14ac:dyDescent="0.35">
      <c r="A191" t="s">
        <v>15</v>
      </c>
      <c r="B191">
        <v>4</v>
      </c>
      <c r="C191" t="s">
        <v>19</v>
      </c>
      <c r="D191" t="s">
        <v>25</v>
      </c>
      <c r="E191" t="s">
        <v>570</v>
      </c>
      <c r="F191" t="s">
        <v>132</v>
      </c>
      <c r="G191" t="s">
        <v>27</v>
      </c>
      <c r="J191" t="s">
        <v>571</v>
      </c>
      <c r="L191" t="s">
        <v>1134</v>
      </c>
      <c r="M191" t="s">
        <v>572</v>
      </c>
      <c r="P191" t="s">
        <v>573</v>
      </c>
    </row>
    <row r="192" spans="1:16" x14ac:dyDescent="0.35">
      <c r="A192" t="s">
        <v>15</v>
      </c>
      <c r="B192">
        <v>4</v>
      </c>
      <c r="C192" t="s">
        <v>19</v>
      </c>
      <c r="D192" t="s">
        <v>25</v>
      </c>
      <c r="E192" t="s">
        <v>81</v>
      </c>
      <c r="F192" t="s">
        <v>96</v>
      </c>
      <c r="G192" t="s">
        <v>27</v>
      </c>
      <c r="L192" t="s">
        <v>1135</v>
      </c>
      <c r="M192" t="s">
        <v>82</v>
      </c>
      <c r="P192" t="s">
        <v>574</v>
      </c>
    </row>
    <row r="193" spans="1:16" x14ac:dyDescent="0.35">
      <c r="A193" t="s">
        <v>15</v>
      </c>
      <c r="B193">
        <v>3</v>
      </c>
      <c r="C193" t="s">
        <v>24</v>
      </c>
      <c r="D193" t="s">
        <v>30</v>
      </c>
      <c r="E193" t="s">
        <v>575</v>
      </c>
      <c r="G193" t="s">
        <v>396</v>
      </c>
      <c r="H193" t="s">
        <v>576</v>
      </c>
      <c r="I193" t="s">
        <v>577</v>
      </c>
      <c r="L193" t="s">
        <v>1136</v>
      </c>
      <c r="M193" t="s">
        <v>578</v>
      </c>
      <c r="P193" t="s">
        <v>579</v>
      </c>
    </row>
    <row r="194" spans="1:16" x14ac:dyDescent="0.35">
      <c r="A194" t="s">
        <v>15</v>
      </c>
      <c r="B194">
        <v>4</v>
      </c>
      <c r="C194" t="s">
        <v>19</v>
      </c>
      <c r="D194" t="s">
        <v>25</v>
      </c>
      <c r="E194" t="s">
        <v>580</v>
      </c>
      <c r="F194" t="s">
        <v>50</v>
      </c>
      <c r="G194" t="s">
        <v>27</v>
      </c>
      <c r="J194" t="s">
        <v>581</v>
      </c>
      <c r="L194" t="s">
        <v>1137</v>
      </c>
      <c r="M194" t="s">
        <v>582</v>
      </c>
      <c r="P194" t="s">
        <v>52</v>
      </c>
    </row>
    <row r="195" spans="1:16" x14ac:dyDescent="0.35">
      <c r="A195" t="s">
        <v>15</v>
      </c>
      <c r="B195">
        <v>3</v>
      </c>
      <c r="C195" t="s">
        <v>24</v>
      </c>
      <c r="D195" t="s">
        <v>193</v>
      </c>
      <c r="E195" t="s">
        <v>583</v>
      </c>
      <c r="G195" t="s">
        <v>22</v>
      </c>
      <c r="H195" t="s">
        <v>489</v>
      </c>
      <c r="L195" t="s">
        <v>1138</v>
      </c>
      <c r="M195" t="s">
        <v>584</v>
      </c>
      <c r="P195" t="s">
        <v>585</v>
      </c>
    </row>
    <row r="196" spans="1:16" x14ac:dyDescent="0.35">
      <c r="A196" t="s">
        <v>15</v>
      </c>
      <c r="B196">
        <v>4</v>
      </c>
      <c r="C196" t="s">
        <v>19</v>
      </c>
      <c r="D196" t="s">
        <v>25</v>
      </c>
      <c r="E196" t="s">
        <v>56</v>
      </c>
      <c r="F196" t="s">
        <v>57</v>
      </c>
      <c r="G196" t="s">
        <v>27</v>
      </c>
      <c r="H196" t="s">
        <v>393</v>
      </c>
      <c r="M196" t="s">
        <v>58</v>
      </c>
      <c r="P196" t="s">
        <v>59</v>
      </c>
    </row>
    <row r="197" spans="1:16" x14ac:dyDescent="0.35">
      <c r="A197" t="s">
        <v>15</v>
      </c>
      <c r="B197">
        <v>4</v>
      </c>
      <c r="C197" t="s">
        <v>19</v>
      </c>
      <c r="D197" t="s">
        <v>25</v>
      </c>
      <c r="E197" t="s">
        <v>2</v>
      </c>
      <c r="F197" t="s">
        <v>306</v>
      </c>
      <c r="G197" t="s">
        <v>27</v>
      </c>
      <c r="J197" t="s">
        <v>586</v>
      </c>
      <c r="L197" t="s">
        <v>1139</v>
      </c>
      <c r="M197" t="s">
        <v>61</v>
      </c>
      <c r="P197" t="s">
        <v>307</v>
      </c>
    </row>
    <row r="198" spans="1:16" x14ac:dyDescent="0.35">
      <c r="A198" t="s">
        <v>15</v>
      </c>
      <c r="B198">
        <v>4</v>
      </c>
      <c r="C198" t="s">
        <v>19</v>
      </c>
      <c r="D198" t="s">
        <v>25</v>
      </c>
      <c r="E198" t="s">
        <v>63</v>
      </c>
      <c r="F198" t="s">
        <v>83</v>
      </c>
      <c r="G198" t="s">
        <v>27</v>
      </c>
      <c r="H198" t="s">
        <v>494</v>
      </c>
      <c r="L198" t="s">
        <v>1140</v>
      </c>
      <c r="M198" t="s">
        <v>65</v>
      </c>
      <c r="P198" t="s">
        <v>308</v>
      </c>
    </row>
    <row r="199" spans="1:16" x14ac:dyDescent="0.35">
      <c r="A199" t="s">
        <v>15</v>
      </c>
      <c r="B199">
        <v>2</v>
      </c>
      <c r="C199" t="s">
        <v>24</v>
      </c>
      <c r="D199" t="s">
        <v>317</v>
      </c>
      <c r="E199" t="s">
        <v>318</v>
      </c>
      <c r="G199" t="s">
        <v>27</v>
      </c>
      <c r="M199" t="s">
        <v>319</v>
      </c>
      <c r="P199" t="s">
        <v>587</v>
      </c>
    </row>
    <row r="200" spans="1:16" x14ac:dyDescent="0.35">
      <c r="A200" t="s">
        <v>15</v>
      </c>
      <c r="B200">
        <v>3</v>
      </c>
      <c r="C200" t="s">
        <v>19</v>
      </c>
      <c r="D200" t="s">
        <v>25</v>
      </c>
      <c r="E200" t="s">
        <v>253</v>
      </c>
      <c r="F200" t="s">
        <v>57</v>
      </c>
      <c r="G200" t="s">
        <v>27</v>
      </c>
      <c r="H200" t="s">
        <v>588</v>
      </c>
      <c r="L200" t="s">
        <v>1200</v>
      </c>
      <c r="M200" t="s">
        <v>254</v>
      </c>
      <c r="P200" t="s">
        <v>255</v>
      </c>
    </row>
    <row r="201" spans="1:16" x14ac:dyDescent="0.35">
      <c r="A201" t="s">
        <v>15</v>
      </c>
      <c r="B201">
        <v>3</v>
      </c>
      <c r="C201" t="s">
        <v>19</v>
      </c>
      <c r="D201" t="s">
        <v>30</v>
      </c>
      <c r="E201" t="s">
        <v>589</v>
      </c>
      <c r="F201" t="s">
        <v>57</v>
      </c>
      <c r="G201" t="s">
        <v>396</v>
      </c>
      <c r="H201" t="s">
        <v>590</v>
      </c>
      <c r="I201" t="s">
        <v>591</v>
      </c>
      <c r="L201" t="s">
        <v>1141</v>
      </c>
      <c r="M201" t="s">
        <v>592</v>
      </c>
      <c r="P201" t="s">
        <v>255</v>
      </c>
    </row>
    <row r="202" spans="1:16" x14ac:dyDescent="0.35">
      <c r="A202" t="s">
        <v>15</v>
      </c>
      <c r="B202">
        <v>3</v>
      </c>
      <c r="C202" t="s">
        <v>19</v>
      </c>
      <c r="D202" t="s">
        <v>30</v>
      </c>
      <c r="E202" t="s">
        <v>593</v>
      </c>
      <c r="F202" t="s">
        <v>181</v>
      </c>
      <c r="G202" t="s">
        <v>396</v>
      </c>
      <c r="H202" t="s">
        <v>754</v>
      </c>
      <c r="I202" t="s">
        <v>755</v>
      </c>
      <c r="L202" t="s">
        <v>1142</v>
      </c>
      <c r="M202" t="s">
        <v>594</v>
      </c>
      <c r="P202" t="s">
        <v>183</v>
      </c>
    </row>
    <row r="203" spans="1:16" x14ac:dyDescent="0.35">
      <c r="A203" t="s">
        <v>15</v>
      </c>
      <c r="B203">
        <v>3</v>
      </c>
      <c r="C203" t="s">
        <v>19</v>
      </c>
      <c r="D203" t="s">
        <v>30</v>
      </c>
      <c r="E203" t="s">
        <v>176</v>
      </c>
      <c r="F203" t="s">
        <v>177</v>
      </c>
      <c r="G203" t="s">
        <v>396</v>
      </c>
      <c r="H203" t="s">
        <v>423</v>
      </c>
      <c r="I203" t="s">
        <v>424</v>
      </c>
      <c r="J203" t="s">
        <v>425</v>
      </c>
      <c r="L203" t="s">
        <v>1039</v>
      </c>
      <c r="M203" t="s">
        <v>178</v>
      </c>
      <c r="P203" t="s">
        <v>179</v>
      </c>
    </row>
    <row r="204" spans="1:16" x14ac:dyDescent="0.35">
      <c r="A204" t="s">
        <v>15</v>
      </c>
      <c r="B204">
        <v>3</v>
      </c>
      <c r="C204" t="s">
        <v>19</v>
      </c>
      <c r="D204" t="s">
        <v>30</v>
      </c>
      <c r="E204" t="s">
        <v>552</v>
      </c>
      <c r="F204" t="s">
        <v>156</v>
      </c>
      <c r="G204" t="s">
        <v>22</v>
      </c>
      <c r="L204" t="s">
        <v>1143</v>
      </c>
      <c r="M204" t="s">
        <v>553</v>
      </c>
      <c r="P204" t="s">
        <v>554</v>
      </c>
    </row>
    <row r="205" spans="1:16" x14ac:dyDescent="0.35">
      <c r="A205" t="s">
        <v>15</v>
      </c>
      <c r="B205">
        <v>3</v>
      </c>
      <c r="C205" t="s">
        <v>24</v>
      </c>
      <c r="D205" t="s">
        <v>53</v>
      </c>
      <c r="E205" t="s">
        <v>54</v>
      </c>
      <c r="G205" t="s">
        <v>396</v>
      </c>
      <c r="H205" t="s">
        <v>756</v>
      </c>
      <c r="I205" t="s">
        <v>596</v>
      </c>
      <c r="L205" t="s">
        <v>991</v>
      </c>
      <c r="M205" t="s">
        <v>54</v>
      </c>
      <c r="P205" t="s">
        <v>321</v>
      </c>
    </row>
    <row r="206" spans="1:16" x14ac:dyDescent="0.35">
      <c r="A206" t="s">
        <v>15</v>
      </c>
      <c r="B206">
        <v>4</v>
      </c>
      <c r="C206" t="s">
        <v>19</v>
      </c>
      <c r="D206" t="s">
        <v>25</v>
      </c>
      <c r="E206" t="s">
        <v>56</v>
      </c>
      <c r="F206" t="s">
        <v>57</v>
      </c>
      <c r="G206" t="s">
        <v>27</v>
      </c>
      <c r="H206" t="s">
        <v>393</v>
      </c>
      <c r="M206" t="s">
        <v>58</v>
      </c>
      <c r="P206" t="s">
        <v>59</v>
      </c>
    </row>
    <row r="207" spans="1:16" x14ac:dyDescent="0.35">
      <c r="A207" t="s">
        <v>15</v>
      </c>
      <c r="B207">
        <v>4</v>
      </c>
      <c r="C207" t="s">
        <v>19</v>
      </c>
      <c r="D207" t="s">
        <v>30</v>
      </c>
      <c r="E207" t="s">
        <v>2</v>
      </c>
      <c r="F207" t="s">
        <v>60</v>
      </c>
      <c r="G207" t="s">
        <v>396</v>
      </c>
      <c r="I207" t="s">
        <v>395</v>
      </c>
      <c r="J207" t="s">
        <v>597</v>
      </c>
      <c r="L207" t="s">
        <v>992</v>
      </c>
      <c r="M207" t="s">
        <v>61</v>
      </c>
      <c r="P207" t="s">
        <v>62</v>
      </c>
    </row>
    <row r="208" spans="1:16" x14ac:dyDescent="0.35">
      <c r="A208" t="s">
        <v>15</v>
      </c>
      <c r="B208">
        <v>4</v>
      </c>
      <c r="C208" t="s">
        <v>19</v>
      </c>
      <c r="D208" t="s">
        <v>25</v>
      </c>
      <c r="E208" t="s">
        <v>63</v>
      </c>
      <c r="F208" t="s">
        <v>64</v>
      </c>
      <c r="G208" t="s">
        <v>27</v>
      </c>
      <c r="L208" t="s">
        <v>993</v>
      </c>
      <c r="M208" t="s">
        <v>65</v>
      </c>
      <c r="P208" t="s">
        <v>66</v>
      </c>
    </row>
    <row r="209" spans="1:16" x14ac:dyDescent="0.35">
      <c r="A209" t="s">
        <v>15</v>
      </c>
      <c r="B209">
        <v>4</v>
      </c>
      <c r="C209" t="s">
        <v>19</v>
      </c>
      <c r="D209" t="s">
        <v>30</v>
      </c>
      <c r="E209" t="s">
        <v>67</v>
      </c>
      <c r="F209" t="s">
        <v>68</v>
      </c>
      <c r="G209" t="s">
        <v>396</v>
      </c>
      <c r="H209" t="s">
        <v>397</v>
      </c>
      <c r="I209" t="s">
        <v>398</v>
      </c>
      <c r="L209" t="s">
        <v>994</v>
      </c>
      <c r="M209" t="s">
        <v>69</v>
      </c>
      <c r="P209" t="s">
        <v>70</v>
      </c>
    </row>
    <row r="210" spans="1:16" x14ac:dyDescent="0.35">
      <c r="A210" t="s">
        <v>15</v>
      </c>
      <c r="B210">
        <v>3</v>
      </c>
      <c r="C210" t="s">
        <v>24</v>
      </c>
      <c r="D210" t="s">
        <v>25</v>
      </c>
      <c r="E210" t="s">
        <v>322</v>
      </c>
      <c r="G210" t="s">
        <v>27</v>
      </c>
      <c r="L210" t="s">
        <v>1144</v>
      </c>
      <c r="M210" t="s">
        <v>322</v>
      </c>
      <c r="P210" t="s">
        <v>598</v>
      </c>
    </row>
    <row r="211" spans="1:16" x14ac:dyDescent="0.35">
      <c r="A211" t="s">
        <v>15</v>
      </c>
      <c r="B211">
        <v>4</v>
      </c>
      <c r="C211" t="s">
        <v>19</v>
      </c>
      <c r="D211" t="s">
        <v>30</v>
      </c>
      <c r="E211" t="s">
        <v>324</v>
      </c>
      <c r="F211" t="s">
        <v>325</v>
      </c>
      <c r="G211" t="s">
        <v>22</v>
      </c>
      <c r="H211" t="s">
        <v>599</v>
      </c>
      <c r="J211" t="s">
        <v>600</v>
      </c>
      <c r="L211" t="s">
        <v>1145</v>
      </c>
      <c r="M211" t="s">
        <v>326</v>
      </c>
      <c r="P211" t="s">
        <v>327</v>
      </c>
    </row>
    <row r="212" spans="1:16" x14ac:dyDescent="0.35">
      <c r="A212" t="s">
        <v>15</v>
      </c>
      <c r="B212">
        <v>4</v>
      </c>
      <c r="C212" t="s">
        <v>19</v>
      </c>
      <c r="D212" t="s">
        <v>30</v>
      </c>
      <c r="E212" t="s">
        <v>328</v>
      </c>
      <c r="F212" t="s">
        <v>325</v>
      </c>
      <c r="G212" t="s">
        <v>22</v>
      </c>
      <c r="H212" t="s">
        <v>601</v>
      </c>
      <c r="J212" t="s">
        <v>602</v>
      </c>
      <c r="L212" t="s">
        <v>1146</v>
      </c>
      <c r="M212" t="s">
        <v>329</v>
      </c>
      <c r="P212" t="s">
        <v>327</v>
      </c>
    </row>
    <row r="213" spans="1:16" x14ac:dyDescent="0.35">
      <c r="A213" t="s">
        <v>15</v>
      </c>
      <c r="B213">
        <v>4</v>
      </c>
      <c r="C213" t="s">
        <v>24</v>
      </c>
      <c r="D213" t="s">
        <v>193</v>
      </c>
      <c r="E213" t="s">
        <v>330</v>
      </c>
      <c r="G213" t="s">
        <v>22</v>
      </c>
      <c r="H213" t="s">
        <v>757</v>
      </c>
      <c r="L213" t="s">
        <v>1147</v>
      </c>
      <c r="M213" t="s">
        <v>331</v>
      </c>
      <c r="P213" t="s">
        <v>332</v>
      </c>
    </row>
    <row r="214" spans="1:16" x14ac:dyDescent="0.35">
      <c r="A214" t="s">
        <v>15</v>
      </c>
      <c r="B214">
        <v>5</v>
      </c>
      <c r="C214" t="s">
        <v>19</v>
      </c>
      <c r="D214" t="s">
        <v>25</v>
      </c>
      <c r="E214" t="s">
        <v>56</v>
      </c>
      <c r="F214" t="s">
        <v>57</v>
      </c>
      <c r="G214" t="s">
        <v>27</v>
      </c>
      <c r="H214" t="s">
        <v>393</v>
      </c>
      <c r="M214" t="s">
        <v>58</v>
      </c>
      <c r="P214" t="s">
        <v>59</v>
      </c>
    </row>
    <row r="215" spans="1:16" x14ac:dyDescent="0.35">
      <c r="A215" t="s">
        <v>15</v>
      </c>
      <c r="B215">
        <v>5</v>
      </c>
      <c r="C215" t="s">
        <v>19</v>
      </c>
      <c r="D215" t="s">
        <v>25</v>
      </c>
      <c r="E215" t="s">
        <v>330</v>
      </c>
      <c r="F215" t="s">
        <v>333</v>
      </c>
      <c r="G215" t="s">
        <v>27</v>
      </c>
      <c r="H215" t="s">
        <v>477</v>
      </c>
      <c r="J215" t="s">
        <v>603</v>
      </c>
      <c r="L215" t="s">
        <v>1148</v>
      </c>
      <c r="M215" t="s">
        <v>334</v>
      </c>
      <c r="P215" t="s">
        <v>335</v>
      </c>
    </row>
    <row r="216" spans="1:16" x14ac:dyDescent="0.35">
      <c r="A216" t="s">
        <v>15</v>
      </c>
      <c r="B216">
        <v>5</v>
      </c>
      <c r="C216" t="s">
        <v>19</v>
      </c>
      <c r="D216" t="s">
        <v>30</v>
      </c>
      <c r="E216" t="s">
        <v>142</v>
      </c>
      <c r="F216" t="s">
        <v>50</v>
      </c>
      <c r="G216" t="s">
        <v>396</v>
      </c>
      <c r="H216" t="s">
        <v>748</v>
      </c>
      <c r="I216" t="s">
        <v>493</v>
      </c>
      <c r="J216" t="s">
        <v>416</v>
      </c>
      <c r="M216" t="s">
        <v>143</v>
      </c>
      <c r="P216" t="s">
        <v>52</v>
      </c>
    </row>
    <row r="217" spans="1:16" x14ac:dyDescent="0.35">
      <c r="A217" t="s">
        <v>15</v>
      </c>
      <c r="B217">
        <v>3</v>
      </c>
      <c r="C217" t="s">
        <v>24</v>
      </c>
      <c r="D217" t="s">
        <v>193</v>
      </c>
      <c r="E217" t="s">
        <v>194</v>
      </c>
      <c r="G217" t="s">
        <v>22</v>
      </c>
      <c r="H217" t="s">
        <v>432</v>
      </c>
      <c r="L217" t="s">
        <v>1043</v>
      </c>
      <c r="M217" t="s">
        <v>195</v>
      </c>
      <c r="P217" t="s">
        <v>196</v>
      </c>
    </row>
    <row r="218" spans="1:16" x14ac:dyDescent="0.35">
      <c r="A218" t="s">
        <v>15</v>
      </c>
      <c r="B218">
        <v>4</v>
      </c>
      <c r="C218" t="s">
        <v>19</v>
      </c>
      <c r="D218" t="s">
        <v>25</v>
      </c>
      <c r="E218" t="s">
        <v>56</v>
      </c>
      <c r="F218" t="s">
        <v>57</v>
      </c>
      <c r="G218" t="s">
        <v>27</v>
      </c>
      <c r="H218" t="s">
        <v>393</v>
      </c>
      <c r="M218" t="s">
        <v>58</v>
      </c>
      <c r="P218" t="s">
        <v>59</v>
      </c>
    </row>
    <row r="219" spans="1:16" x14ac:dyDescent="0.35">
      <c r="A219" t="s">
        <v>15</v>
      </c>
      <c r="B219">
        <v>4</v>
      </c>
      <c r="C219" t="s">
        <v>19</v>
      </c>
      <c r="D219" t="s">
        <v>25</v>
      </c>
      <c r="E219" t="s">
        <v>197</v>
      </c>
      <c r="F219" t="s">
        <v>198</v>
      </c>
      <c r="G219" t="s">
        <v>27</v>
      </c>
      <c r="J219" t="s">
        <v>433</v>
      </c>
      <c r="L219" t="s">
        <v>1044</v>
      </c>
      <c r="M219" t="s">
        <v>199</v>
      </c>
      <c r="P219" t="s">
        <v>200</v>
      </c>
    </row>
    <row r="220" spans="1:16" x14ac:dyDescent="0.35">
      <c r="A220" t="s">
        <v>15</v>
      </c>
      <c r="B220">
        <v>4</v>
      </c>
      <c r="C220" t="s">
        <v>19</v>
      </c>
      <c r="D220" t="s">
        <v>25</v>
      </c>
      <c r="E220" t="s">
        <v>81</v>
      </c>
      <c r="F220" t="s">
        <v>68</v>
      </c>
      <c r="G220" t="s">
        <v>27</v>
      </c>
      <c r="H220" t="s">
        <v>434</v>
      </c>
      <c r="L220" t="s">
        <v>1045</v>
      </c>
      <c r="M220" t="s">
        <v>82</v>
      </c>
      <c r="P220" t="s">
        <v>70</v>
      </c>
    </row>
    <row r="221" spans="1:16" x14ac:dyDescent="0.35">
      <c r="A221" t="s">
        <v>15</v>
      </c>
      <c r="B221">
        <v>3</v>
      </c>
      <c r="C221" t="s">
        <v>24</v>
      </c>
      <c r="D221" t="s">
        <v>30</v>
      </c>
      <c r="E221" t="s">
        <v>201</v>
      </c>
      <c r="G221" t="s">
        <v>396</v>
      </c>
      <c r="H221" t="s">
        <v>435</v>
      </c>
      <c r="I221" t="s">
        <v>436</v>
      </c>
      <c r="L221" t="s">
        <v>1046</v>
      </c>
      <c r="M221" t="s">
        <v>201</v>
      </c>
      <c r="P221" t="s">
        <v>202</v>
      </c>
    </row>
    <row r="222" spans="1:16" x14ac:dyDescent="0.35">
      <c r="A222" t="s">
        <v>15</v>
      </c>
      <c r="B222">
        <v>4</v>
      </c>
      <c r="C222" t="s">
        <v>19</v>
      </c>
      <c r="D222" t="s">
        <v>30</v>
      </c>
      <c r="E222" t="s">
        <v>81</v>
      </c>
      <c r="F222" t="s">
        <v>68</v>
      </c>
      <c r="G222" t="s">
        <v>22</v>
      </c>
      <c r="H222" t="s">
        <v>434</v>
      </c>
      <c r="L222" t="s">
        <v>1047</v>
      </c>
      <c r="M222" t="s">
        <v>82</v>
      </c>
      <c r="P222" t="s">
        <v>70</v>
      </c>
    </row>
    <row r="223" spans="1:16" x14ac:dyDescent="0.35">
      <c r="A223" t="s">
        <v>15</v>
      </c>
      <c r="B223">
        <v>4</v>
      </c>
      <c r="C223" t="s">
        <v>19</v>
      </c>
      <c r="D223" t="s">
        <v>30</v>
      </c>
      <c r="E223" t="s">
        <v>4</v>
      </c>
      <c r="F223" t="s">
        <v>83</v>
      </c>
      <c r="G223" t="s">
        <v>396</v>
      </c>
      <c r="I223" t="s">
        <v>401</v>
      </c>
      <c r="L223" t="s">
        <v>1048</v>
      </c>
      <c r="M223" t="s">
        <v>84</v>
      </c>
      <c r="P223" t="s">
        <v>85</v>
      </c>
    </row>
    <row r="224" spans="1:16" x14ac:dyDescent="0.35">
      <c r="A224" t="s">
        <v>15</v>
      </c>
      <c r="B224">
        <v>4</v>
      </c>
      <c r="C224" t="s">
        <v>24</v>
      </c>
      <c r="D224" t="s">
        <v>30</v>
      </c>
      <c r="E224" t="s">
        <v>86</v>
      </c>
      <c r="G224" t="s">
        <v>396</v>
      </c>
      <c r="I224" t="s">
        <v>401</v>
      </c>
      <c r="L224" t="s">
        <v>1049</v>
      </c>
      <c r="M224" t="s">
        <v>86</v>
      </c>
      <c r="P224" t="s">
        <v>87</v>
      </c>
    </row>
    <row r="225" spans="1:16" x14ac:dyDescent="0.35">
      <c r="A225" t="s">
        <v>15</v>
      </c>
      <c r="B225">
        <v>5</v>
      </c>
      <c r="C225" t="s">
        <v>19</v>
      </c>
      <c r="D225" t="s">
        <v>25</v>
      </c>
      <c r="E225" t="s">
        <v>88</v>
      </c>
      <c r="F225" t="s">
        <v>83</v>
      </c>
      <c r="G225" t="s">
        <v>27</v>
      </c>
      <c r="L225" t="s">
        <v>1050</v>
      </c>
      <c r="M225" t="s">
        <v>89</v>
      </c>
      <c r="P225" t="s">
        <v>90</v>
      </c>
    </row>
    <row r="226" spans="1:16" x14ac:dyDescent="0.35">
      <c r="A226" t="s">
        <v>15</v>
      </c>
      <c r="B226">
        <v>5</v>
      </c>
      <c r="C226" t="s">
        <v>19</v>
      </c>
      <c r="D226" t="s">
        <v>30</v>
      </c>
      <c r="E226" t="s">
        <v>91</v>
      </c>
      <c r="F226" t="s">
        <v>92</v>
      </c>
      <c r="G226" t="s">
        <v>396</v>
      </c>
      <c r="I226" t="s">
        <v>402</v>
      </c>
      <c r="L226" t="s">
        <v>1051</v>
      </c>
      <c r="M226" t="s">
        <v>93</v>
      </c>
      <c r="P226" t="s">
        <v>94</v>
      </c>
    </row>
    <row r="227" spans="1:16" x14ac:dyDescent="0.35">
      <c r="A227" t="s">
        <v>15</v>
      </c>
      <c r="B227">
        <v>5</v>
      </c>
      <c r="C227" t="s">
        <v>19</v>
      </c>
      <c r="D227" t="s">
        <v>25</v>
      </c>
      <c r="E227" t="s">
        <v>95</v>
      </c>
      <c r="F227" t="s">
        <v>96</v>
      </c>
      <c r="G227" t="s">
        <v>27</v>
      </c>
      <c r="L227" t="s">
        <v>1052</v>
      </c>
      <c r="M227" t="s">
        <v>97</v>
      </c>
      <c r="P227" t="s">
        <v>98</v>
      </c>
    </row>
    <row r="228" spans="1:16" x14ac:dyDescent="0.35">
      <c r="A228" t="s">
        <v>15</v>
      </c>
      <c r="B228">
        <v>5</v>
      </c>
      <c r="C228" t="s">
        <v>19</v>
      </c>
      <c r="D228" t="s">
        <v>25</v>
      </c>
      <c r="E228" t="s">
        <v>99</v>
      </c>
      <c r="F228" t="s">
        <v>50</v>
      </c>
      <c r="G228" t="s">
        <v>27</v>
      </c>
      <c r="J228" t="s">
        <v>403</v>
      </c>
      <c r="L228" t="s">
        <v>1053</v>
      </c>
      <c r="M228" t="s">
        <v>100</v>
      </c>
      <c r="P228" t="s">
        <v>52</v>
      </c>
    </row>
    <row r="229" spans="1:16" x14ac:dyDescent="0.35">
      <c r="A229" t="s">
        <v>15</v>
      </c>
      <c r="B229">
        <v>3</v>
      </c>
      <c r="C229" t="s">
        <v>24</v>
      </c>
      <c r="D229" t="s">
        <v>30</v>
      </c>
      <c r="E229" t="s">
        <v>203</v>
      </c>
      <c r="G229" t="s">
        <v>396</v>
      </c>
      <c r="H229" t="s">
        <v>437</v>
      </c>
      <c r="I229" t="s">
        <v>436</v>
      </c>
      <c r="L229" t="s">
        <v>1054</v>
      </c>
      <c r="M229" t="s">
        <v>203</v>
      </c>
      <c r="P229" t="s">
        <v>204</v>
      </c>
    </row>
    <row r="230" spans="1:16" x14ac:dyDescent="0.35">
      <c r="A230" t="s">
        <v>15</v>
      </c>
      <c r="B230">
        <v>4</v>
      </c>
      <c r="C230" t="s">
        <v>19</v>
      </c>
      <c r="D230" t="s">
        <v>30</v>
      </c>
      <c r="E230" t="s">
        <v>81</v>
      </c>
      <c r="F230" t="s">
        <v>68</v>
      </c>
      <c r="G230" t="s">
        <v>22</v>
      </c>
      <c r="H230" t="s">
        <v>434</v>
      </c>
      <c r="L230" t="s">
        <v>1055</v>
      </c>
      <c r="M230" t="s">
        <v>82</v>
      </c>
      <c r="P230" t="s">
        <v>70</v>
      </c>
    </row>
    <row r="231" spans="1:16" x14ac:dyDescent="0.35">
      <c r="A231" t="s">
        <v>15</v>
      </c>
      <c r="B231">
        <v>4</v>
      </c>
      <c r="C231" t="s">
        <v>19</v>
      </c>
      <c r="D231" t="s">
        <v>30</v>
      </c>
      <c r="E231" t="s">
        <v>4</v>
      </c>
      <c r="F231" t="s">
        <v>83</v>
      </c>
      <c r="G231" t="s">
        <v>396</v>
      </c>
      <c r="I231" t="s">
        <v>401</v>
      </c>
      <c r="L231" t="s">
        <v>1056</v>
      </c>
      <c r="M231" t="s">
        <v>84</v>
      </c>
      <c r="P231" t="s">
        <v>85</v>
      </c>
    </row>
    <row r="232" spans="1:16" x14ac:dyDescent="0.35">
      <c r="A232" t="s">
        <v>15</v>
      </c>
      <c r="B232">
        <v>4</v>
      </c>
      <c r="C232" t="s">
        <v>24</v>
      </c>
      <c r="D232" t="s">
        <v>30</v>
      </c>
      <c r="E232" t="s">
        <v>86</v>
      </c>
      <c r="G232" t="s">
        <v>396</v>
      </c>
      <c r="I232" t="s">
        <v>401</v>
      </c>
      <c r="L232" t="s">
        <v>1057</v>
      </c>
      <c r="M232" t="s">
        <v>86</v>
      </c>
      <c r="P232" t="s">
        <v>87</v>
      </c>
    </row>
    <row r="233" spans="1:16" x14ac:dyDescent="0.35">
      <c r="A233" t="s">
        <v>15</v>
      </c>
      <c r="B233">
        <v>5</v>
      </c>
      <c r="C233" t="s">
        <v>19</v>
      </c>
      <c r="D233" t="s">
        <v>25</v>
      </c>
      <c r="E233" t="s">
        <v>88</v>
      </c>
      <c r="F233" t="s">
        <v>83</v>
      </c>
      <c r="G233" t="s">
        <v>27</v>
      </c>
      <c r="L233" t="s">
        <v>1058</v>
      </c>
      <c r="M233" t="s">
        <v>89</v>
      </c>
      <c r="P233" t="s">
        <v>90</v>
      </c>
    </row>
    <row r="234" spans="1:16" x14ac:dyDescent="0.35">
      <c r="A234" t="s">
        <v>15</v>
      </c>
      <c r="B234">
        <v>5</v>
      </c>
      <c r="C234" t="s">
        <v>19</v>
      </c>
      <c r="D234" t="s">
        <v>30</v>
      </c>
      <c r="E234" t="s">
        <v>91</v>
      </c>
      <c r="F234" t="s">
        <v>92</v>
      </c>
      <c r="G234" t="s">
        <v>396</v>
      </c>
      <c r="I234" t="s">
        <v>402</v>
      </c>
      <c r="L234" t="s">
        <v>1059</v>
      </c>
      <c r="M234" t="s">
        <v>93</v>
      </c>
      <c r="P234" t="s">
        <v>94</v>
      </c>
    </row>
    <row r="235" spans="1:16" x14ac:dyDescent="0.35">
      <c r="A235" t="s">
        <v>15</v>
      </c>
      <c r="B235">
        <v>5</v>
      </c>
      <c r="C235" t="s">
        <v>19</v>
      </c>
      <c r="D235" t="s">
        <v>25</v>
      </c>
      <c r="E235" t="s">
        <v>95</v>
      </c>
      <c r="F235" t="s">
        <v>96</v>
      </c>
      <c r="G235" t="s">
        <v>27</v>
      </c>
      <c r="L235" t="s">
        <v>1060</v>
      </c>
      <c r="M235" t="s">
        <v>97</v>
      </c>
      <c r="P235" t="s">
        <v>98</v>
      </c>
    </row>
    <row r="236" spans="1:16" x14ac:dyDescent="0.35">
      <c r="A236" t="s">
        <v>15</v>
      </c>
      <c r="B236">
        <v>5</v>
      </c>
      <c r="C236" t="s">
        <v>19</v>
      </c>
      <c r="D236" t="s">
        <v>25</v>
      </c>
      <c r="E236" t="s">
        <v>99</v>
      </c>
      <c r="F236" t="s">
        <v>50</v>
      </c>
      <c r="G236" t="s">
        <v>27</v>
      </c>
      <c r="J236" t="s">
        <v>403</v>
      </c>
      <c r="L236" t="s">
        <v>1061</v>
      </c>
      <c r="M236" t="s">
        <v>100</v>
      </c>
      <c r="P236" t="s">
        <v>52</v>
      </c>
    </row>
    <row r="237" spans="1:16" x14ac:dyDescent="0.35">
      <c r="A237" t="s">
        <v>15</v>
      </c>
      <c r="B237">
        <v>3</v>
      </c>
      <c r="C237" t="s">
        <v>24</v>
      </c>
      <c r="D237" t="s">
        <v>30</v>
      </c>
      <c r="E237" t="s">
        <v>205</v>
      </c>
      <c r="G237" t="s">
        <v>396</v>
      </c>
      <c r="H237" t="s">
        <v>439</v>
      </c>
      <c r="I237" t="s">
        <v>438</v>
      </c>
      <c r="L237" t="s">
        <v>1062</v>
      </c>
      <c r="M237" t="s">
        <v>205</v>
      </c>
      <c r="P237" t="s">
        <v>206</v>
      </c>
    </row>
    <row r="238" spans="1:16" x14ac:dyDescent="0.35">
      <c r="A238" t="s">
        <v>15</v>
      </c>
      <c r="B238">
        <v>4</v>
      </c>
      <c r="C238" t="s">
        <v>19</v>
      </c>
      <c r="D238" t="s">
        <v>30</v>
      </c>
      <c r="E238" t="s">
        <v>81</v>
      </c>
      <c r="F238" t="s">
        <v>68</v>
      </c>
      <c r="G238" t="s">
        <v>22</v>
      </c>
      <c r="H238" t="s">
        <v>434</v>
      </c>
      <c r="L238" t="s">
        <v>1063</v>
      </c>
      <c r="M238" t="s">
        <v>82</v>
      </c>
      <c r="P238" t="s">
        <v>70</v>
      </c>
    </row>
    <row r="239" spans="1:16" x14ac:dyDescent="0.35">
      <c r="A239" t="s">
        <v>15</v>
      </c>
      <c r="B239">
        <v>4</v>
      </c>
      <c r="C239" t="s">
        <v>19</v>
      </c>
      <c r="D239" t="s">
        <v>30</v>
      </c>
      <c r="E239" t="s">
        <v>4</v>
      </c>
      <c r="F239" t="s">
        <v>83</v>
      </c>
      <c r="G239" t="s">
        <v>396</v>
      </c>
      <c r="I239" t="s">
        <v>401</v>
      </c>
      <c r="L239" t="s">
        <v>1064</v>
      </c>
      <c r="M239" t="s">
        <v>84</v>
      </c>
      <c r="P239" t="s">
        <v>85</v>
      </c>
    </row>
    <row r="240" spans="1:16" x14ac:dyDescent="0.35">
      <c r="A240" t="s">
        <v>15</v>
      </c>
      <c r="B240">
        <v>4</v>
      </c>
      <c r="C240" t="s">
        <v>24</v>
      </c>
      <c r="D240" t="s">
        <v>30</v>
      </c>
      <c r="E240" t="s">
        <v>86</v>
      </c>
      <c r="G240" t="s">
        <v>396</v>
      </c>
      <c r="I240" t="s">
        <v>401</v>
      </c>
      <c r="L240" t="s">
        <v>1065</v>
      </c>
      <c r="M240" t="s">
        <v>86</v>
      </c>
      <c r="P240" t="s">
        <v>87</v>
      </c>
    </row>
    <row r="241" spans="1:16" x14ac:dyDescent="0.35">
      <c r="A241" t="s">
        <v>15</v>
      </c>
      <c r="B241">
        <v>5</v>
      </c>
      <c r="C241" t="s">
        <v>19</v>
      </c>
      <c r="D241" t="s">
        <v>25</v>
      </c>
      <c r="E241" t="s">
        <v>88</v>
      </c>
      <c r="F241" t="s">
        <v>83</v>
      </c>
      <c r="G241" t="s">
        <v>27</v>
      </c>
      <c r="L241" t="s">
        <v>1066</v>
      </c>
      <c r="M241" t="s">
        <v>89</v>
      </c>
      <c r="P241" t="s">
        <v>90</v>
      </c>
    </row>
    <row r="242" spans="1:16" x14ac:dyDescent="0.35">
      <c r="A242" t="s">
        <v>15</v>
      </c>
      <c r="B242">
        <v>5</v>
      </c>
      <c r="C242" t="s">
        <v>19</v>
      </c>
      <c r="D242" t="s">
        <v>30</v>
      </c>
      <c r="E242" t="s">
        <v>91</v>
      </c>
      <c r="F242" t="s">
        <v>92</v>
      </c>
      <c r="G242" t="s">
        <v>396</v>
      </c>
      <c r="I242" t="s">
        <v>402</v>
      </c>
      <c r="L242" t="s">
        <v>1067</v>
      </c>
      <c r="M242" t="s">
        <v>93</v>
      </c>
      <c r="P242" t="s">
        <v>94</v>
      </c>
    </row>
    <row r="243" spans="1:16" x14ac:dyDescent="0.35">
      <c r="A243" t="s">
        <v>15</v>
      </c>
      <c r="B243">
        <v>5</v>
      </c>
      <c r="C243" t="s">
        <v>19</v>
      </c>
      <c r="D243" t="s">
        <v>25</v>
      </c>
      <c r="E243" t="s">
        <v>95</v>
      </c>
      <c r="F243" t="s">
        <v>96</v>
      </c>
      <c r="G243" t="s">
        <v>27</v>
      </c>
      <c r="L243" t="s">
        <v>1068</v>
      </c>
      <c r="M243" t="s">
        <v>97</v>
      </c>
      <c r="P243" t="s">
        <v>98</v>
      </c>
    </row>
    <row r="244" spans="1:16" x14ac:dyDescent="0.35">
      <c r="A244" t="s">
        <v>15</v>
      </c>
      <c r="B244">
        <v>5</v>
      </c>
      <c r="C244" t="s">
        <v>19</v>
      </c>
      <c r="D244" t="s">
        <v>25</v>
      </c>
      <c r="E244" t="s">
        <v>99</v>
      </c>
      <c r="F244" t="s">
        <v>50</v>
      </c>
      <c r="G244" t="s">
        <v>27</v>
      </c>
      <c r="J244" t="s">
        <v>403</v>
      </c>
      <c r="L244" t="s">
        <v>1069</v>
      </c>
      <c r="M244" t="s">
        <v>100</v>
      </c>
      <c r="P244" t="s">
        <v>52</v>
      </c>
    </row>
    <row r="245" spans="1:16" x14ac:dyDescent="0.35">
      <c r="A245" t="s">
        <v>15</v>
      </c>
      <c r="B245">
        <v>3</v>
      </c>
      <c r="C245" t="s">
        <v>24</v>
      </c>
      <c r="D245" t="s">
        <v>30</v>
      </c>
      <c r="E245" t="s">
        <v>604</v>
      </c>
      <c r="G245" t="s">
        <v>396</v>
      </c>
      <c r="I245" t="s">
        <v>605</v>
      </c>
      <c r="L245" t="s">
        <v>1149</v>
      </c>
      <c r="M245" t="s">
        <v>604</v>
      </c>
      <c r="P245" t="s">
        <v>606</v>
      </c>
    </row>
    <row r="246" spans="1:16" x14ac:dyDescent="0.35">
      <c r="A246" t="s">
        <v>15</v>
      </c>
      <c r="B246">
        <v>4</v>
      </c>
      <c r="C246" t="s">
        <v>19</v>
      </c>
      <c r="D246" t="s">
        <v>30</v>
      </c>
      <c r="E246" t="s">
        <v>607</v>
      </c>
      <c r="F246" t="s">
        <v>50</v>
      </c>
      <c r="G246" t="s">
        <v>396</v>
      </c>
      <c r="H246" t="s">
        <v>608</v>
      </c>
      <c r="I246" t="s">
        <v>609</v>
      </c>
      <c r="J246" t="s">
        <v>468</v>
      </c>
      <c r="L246" t="s">
        <v>1150</v>
      </c>
      <c r="M246" t="s">
        <v>610</v>
      </c>
      <c r="P246" t="s">
        <v>52</v>
      </c>
    </row>
    <row r="247" spans="1:16" x14ac:dyDescent="0.35">
      <c r="A247" t="s">
        <v>15</v>
      </c>
      <c r="B247">
        <v>4</v>
      </c>
      <c r="C247" t="s">
        <v>19</v>
      </c>
      <c r="D247" t="s">
        <v>30</v>
      </c>
      <c r="E247" t="s">
        <v>611</v>
      </c>
      <c r="F247" t="s">
        <v>60</v>
      </c>
      <c r="G247" t="s">
        <v>396</v>
      </c>
      <c r="H247" t="s">
        <v>427</v>
      </c>
      <c r="I247" t="s">
        <v>612</v>
      </c>
      <c r="L247" t="s">
        <v>1151</v>
      </c>
      <c r="M247" t="s">
        <v>613</v>
      </c>
      <c r="P247" t="s">
        <v>614</v>
      </c>
    </row>
    <row r="248" spans="1:16" x14ac:dyDescent="0.35">
      <c r="A248" t="s">
        <v>15</v>
      </c>
      <c r="B248">
        <v>3</v>
      </c>
      <c r="C248" t="s">
        <v>24</v>
      </c>
      <c r="D248" t="s">
        <v>30</v>
      </c>
      <c r="E248" t="s">
        <v>464</v>
      </c>
      <c r="G248" t="s">
        <v>396</v>
      </c>
      <c r="H248" t="s">
        <v>739</v>
      </c>
      <c r="I248" t="s">
        <v>615</v>
      </c>
      <c r="L248" t="s">
        <v>1075</v>
      </c>
      <c r="M248" t="s">
        <v>465</v>
      </c>
      <c r="P248" t="s">
        <v>466</v>
      </c>
    </row>
    <row r="249" spans="1:16" x14ac:dyDescent="0.35">
      <c r="A249" t="s">
        <v>15</v>
      </c>
      <c r="B249">
        <v>4</v>
      </c>
      <c r="C249" t="s">
        <v>19</v>
      </c>
      <c r="D249" t="s">
        <v>25</v>
      </c>
      <c r="E249" t="s">
        <v>464</v>
      </c>
      <c r="F249" t="s">
        <v>50</v>
      </c>
      <c r="G249" t="s">
        <v>27</v>
      </c>
      <c r="H249" t="s">
        <v>467</v>
      </c>
      <c r="J249" t="s">
        <v>468</v>
      </c>
      <c r="L249" t="s">
        <v>1076</v>
      </c>
      <c r="M249" t="s">
        <v>469</v>
      </c>
      <c r="P249" t="s">
        <v>52</v>
      </c>
    </row>
    <row r="250" spans="1:16" x14ac:dyDescent="0.35">
      <c r="A250" t="s">
        <v>15</v>
      </c>
      <c r="B250">
        <v>3</v>
      </c>
      <c r="C250" t="s">
        <v>24</v>
      </c>
      <c r="D250" t="s">
        <v>30</v>
      </c>
      <c r="E250" t="s">
        <v>470</v>
      </c>
      <c r="G250" t="s">
        <v>396</v>
      </c>
      <c r="H250" t="s">
        <v>740</v>
      </c>
      <c r="I250" t="s">
        <v>743</v>
      </c>
      <c r="L250" t="s">
        <v>1152</v>
      </c>
      <c r="M250" t="s">
        <v>470</v>
      </c>
      <c r="P250" t="s">
        <v>471</v>
      </c>
    </row>
    <row r="251" spans="1:16" x14ac:dyDescent="0.35">
      <c r="A251" t="s">
        <v>15</v>
      </c>
      <c r="B251">
        <v>4</v>
      </c>
      <c r="C251" t="s">
        <v>19</v>
      </c>
      <c r="D251" t="s">
        <v>30</v>
      </c>
      <c r="E251" t="s">
        <v>472</v>
      </c>
      <c r="F251" t="s">
        <v>50</v>
      </c>
      <c r="G251" t="s">
        <v>396</v>
      </c>
      <c r="H251" t="s">
        <v>473</v>
      </c>
      <c r="I251" t="s">
        <v>474</v>
      </c>
      <c r="J251" t="s">
        <v>416</v>
      </c>
      <c r="L251" t="s">
        <v>1078</v>
      </c>
      <c r="M251" t="s">
        <v>475</v>
      </c>
      <c r="P251" t="s">
        <v>52</v>
      </c>
    </row>
    <row r="252" spans="1:16" x14ac:dyDescent="0.35">
      <c r="A252" t="s">
        <v>15</v>
      </c>
      <c r="B252">
        <v>4</v>
      </c>
      <c r="C252" t="s">
        <v>19</v>
      </c>
      <c r="D252" t="s">
        <v>30</v>
      </c>
      <c r="E252" t="s">
        <v>476</v>
      </c>
      <c r="F252" t="s">
        <v>96</v>
      </c>
      <c r="G252" t="s">
        <v>396</v>
      </c>
      <c r="H252" t="s">
        <v>742</v>
      </c>
      <c r="I252" t="s">
        <v>741</v>
      </c>
      <c r="L252" t="s">
        <v>1079</v>
      </c>
      <c r="M252" t="s">
        <v>478</v>
      </c>
      <c r="P252" t="s">
        <v>479</v>
      </c>
    </row>
    <row r="253" spans="1:16" x14ac:dyDescent="0.35">
      <c r="A253" t="s">
        <v>15</v>
      </c>
      <c r="B253">
        <v>4</v>
      </c>
      <c r="C253" t="s">
        <v>19</v>
      </c>
      <c r="D253" t="s">
        <v>30</v>
      </c>
      <c r="E253" t="s">
        <v>142</v>
      </c>
      <c r="F253" t="s">
        <v>50</v>
      </c>
      <c r="G253" t="s">
        <v>396</v>
      </c>
      <c r="H253" t="s">
        <v>744</v>
      </c>
      <c r="I253" t="s">
        <v>480</v>
      </c>
      <c r="J253" t="s">
        <v>416</v>
      </c>
      <c r="M253" t="s">
        <v>143</v>
      </c>
      <c r="P253" t="s">
        <v>52</v>
      </c>
    </row>
    <row r="254" spans="1:16" x14ac:dyDescent="0.35">
      <c r="A254" t="s">
        <v>15</v>
      </c>
      <c r="B254">
        <v>3</v>
      </c>
      <c r="C254" t="s">
        <v>24</v>
      </c>
      <c r="D254" t="s">
        <v>25</v>
      </c>
      <c r="E254" t="s">
        <v>336</v>
      </c>
      <c r="G254" t="s">
        <v>27</v>
      </c>
      <c r="M254" t="s">
        <v>336</v>
      </c>
      <c r="P254" t="s">
        <v>616</v>
      </c>
    </row>
    <row r="255" spans="1:16" x14ac:dyDescent="0.35">
      <c r="A255" t="s">
        <v>15</v>
      </c>
      <c r="B255">
        <v>4</v>
      </c>
      <c r="C255" t="s">
        <v>19</v>
      </c>
      <c r="D255" t="s">
        <v>25</v>
      </c>
      <c r="E255" t="s">
        <v>338</v>
      </c>
      <c r="F255" t="s">
        <v>216</v>
      </c>
      <c r="G255" t="s">
        <v>27</v>
      </c>
      <c r="L255" t="s">
        <v>1153</v>
      </c>
      <c r="M255" t="s">
        <v>339</v>
      </c>
      <c r="P255" t="s">
        <v>218</v>
      </c>
    </row>
    <row r="256" spans="1:16" x14ac:dyDescent="0.35">
      <c r="A256" t="s">
        <v>15</v>
      </c>
      <c r="B256">
        <v>4</v>
      </c>
      <c r="C256" t="s">
        <v>19</v>
      </c>
      <c r="D256" t="s">
        <v>30</v>
      </c>
      <c r="E256" t="s">
        <v>617</v>
      </c>
      <c r="F256" t="s">
        <v>618</v>
      </c>
      <c r="G256" t="s">
        <v>22</v>
      </c>
      <c r="H256" t="s">
        <v>619</v>
      </c>
      <c r="J256" t="s">
        <v>620</v>
      </c>
      <c r="L256" t="s">
        <v>1154</v>
      </c>
      <c r="M256" t="s">
        <v>621</v>
      </c>
      <c r="P256" t="s">
        <v>622</v>
      </c>
    </row>
    <row r="257" spans="1:16" x14ac:dyDescent="0.35">
      <c r="A257" t="s">
        <v>15</v>
      </c>
      <c r="B257">
        <v>4</v>
      </c>
      <c r="C257" t="s">
        <v>19</v>
      </c>
      <c r="D257" t="s">
        <v>30</v>
      </c>
      <c r="E257" t="s">
        <v>623</v>
      </c>
      <c r="F257" t="s">
        <v>624</v>
      </c>
      <c r="G257" t="s">
        <v>22</v>
      </c>
      <c r="L257" t="s">
        <v>1155</v>
      </c>
      <c r="M257" t="s">
        <v>625</v>
      </c>
      <c r="P257" t="s">
        <v>626</v>
      </c>
    </row>
    <row r="258" spans="1:16" x14ac:dyDescent="0.35">
      <c r="A258" t="s">
        <v>15</v>
      </c>
      <c r="B258">
        <v>4</v>
      </c>
      <c r="C258" t="s">
        <v>24</v>
      </c>
      <c r="D258" t="s">
        <v>30</v>
      </c>
      <c r="E258" t="s">
        <v>627</v>
      </c>
      <c r="G258" t="s">
        <v>396</v>
      </c>
      <c r="I258" t="s">
        <v>628</v>
      </c>
      <c r="L258" t="s">
        <v>1156</v>
      </c>
      <c r="M258" t="s">
        <v>629</v>
      </c>
      <c r="P258" t="s">
        <v>630</v>
      </c>
    </row>
    <row r="259" spans="1:16" x14ac:dyDescent="0.35">
      <c r="A259" t="s">
        <v>15</v>
      </c>
      <c r="B259">
        <v>5</v>
      </c>
      <c r="C259" t="s">
        <v>19</v>
      </c>
      <c r="D259" t="s">
        <v>25</v>
      </c>
      <c r="E259" t="s">
        <v>631</v>
      </c>
      <c r="F259" t="s">
        <v>624</v>
      </c>
      <c r="G259" t="s">
        <v>27</v>
      </c>
      <c r="J259" t="s">
        <v>632</v>
      </c>
      <c r="L259" t="s">
        <v>1157</v>
      </c>
      <c r="M259" t="s">
        <v>633</v>
      </c>
      <c r="P259" t="s">
        <v>634</v>
      </c>
    </row>
    <row r="260" spans="1:16" x14ac:dyDescent="0.35">
      <c r="A260" t="s">
        <v>15</v>
      </c>
      <c r="B260">
        <v>5</v>
      </c>
      <c r="C260" t="s">
        <v>19</v>
      </c>
      <c r="D260" t="s">
        <v>25</v>
      </c>
      <c r="E260" t="s">
        <v>635</v>
      </c>
      <c r="F260" t="s">
        <v>325</v>
      </c>
      <c r="G260" t="s">
        <v>27</v>
      </c>
      <c r="L260" t="s">
        <v>1158</v>
      </c>
      <c r="M260" t="s">
        <v>636</v>
      </c>
      <c r="P260" t="s">
        <v>637</v>
      </c>
    </row>
    <row r="261" spans="1:16" x14ac:dyDescent="0.35">
      <c r="A261" t="s">
        <v>15</v>
      </c>
      <c r="B261">
        <v>5</v>
      </c>
      <c r="C261" t="s">
        <v>19</v>
      </c>
      <c r="D261" t="s">
        <v>30</v>
      </c>
      <c r="E261" t="s">
        <v>638</v>
      </c>
      <c r="F261" t="s">
        <v>325</v>
      </c>
      <c r="G261" t="s">
        <v>396</v>
      </c>
      <c r="I261" t="s">
        <v>639</v>
      </c>
      <c r="L261" t="s">
        <v>1159</v>
      </c>
      <c r="M261" t="s">
        <v>640</v>
      </c>
      <c r="P261" t="s">
        <v>641</v>
      </c>
    </row>
    <row r="262" spans="1:16" x14ac:dyDescent="0.35">
      <c r="A262" t="s">
        <v>15</v>
      </c>
      <c r="B262">
        <v>5</v>
      </c>
      <c r="C262" t="s">
        <v>24</v>
      </c>
      <c r="D262" t="s">
        <v>193</v>
      </c>
      <c r="E262" t="s">
        <v>642</v>
      </c>
      <c r="G262" t="s">
        <v>396</v>
      </c>
      <c r="H262" t="s">
        <v>643</v>
      </c>
      <c r="I262" t="s">
        <v>758</v>
      </c>
      <c r="L262" t="s">
        <v>1194</v>
      </c>
      <c r="M262" t="s">
        <v>644</v>
      </c>
      <c r="P262" t="s">
        <v>645</v>
      </c>
    </row>
    <row r="263" spans="1:16" x14ac:dyDescent="0.35">
      <c r="A263" t="s">
        <v>15</v>
      </c>
      <c r="B263">
        <v>6</v>
      </c>
      <c r="C263" t="s">
        <v>19</v>
      </c>
      <c r="D263" t="s">
        <v>25</v>
      </c>
      <c r="E263" t="s">
        <v>56</v>
      </c>
      <c r="F263" t="s">
        <v>57</v>
      </c>
      <c r="G263" t="s">
        <v>27</v>
      </c>
      <c r="H263" t="s">
        <v>393</v>
      </c>
      <c r="M263" t="s">
        <v>58</v>
      </c>
      <c r="P263" t="s">
        <v>59</v>
      </c>
    </row>
    <row r="264" spans="1:16" x14ac:dyDescent="0.35">
      <c r="A264" t="s">
        <v>15</v>
      </c>
      <c r="B264">
        <v>6</v>
      </c>
      <c r="C264" t="s">
        <v>19</v>
      </c>
      <c r="D264" t="s">
        <v>25</v>
      </c>
      <c r="E264" t="s">
        <v>642</v>
      </c>
      <c r="F264" t="s">
        <v>306</v>
      </c>
      <c r="G264" t="s">
        <v>27</v>
      </c>
      <c r="M264" t="s">
        <v>646</v>
      </c>
      <c r="P264" t="s">
        <v>647</v>
      </c>
    </row>
    <row r="265" spans="1:16" x14ac:dyDescent="0.35">
      <c r="A265" t="s">
        <v>15</v>
      </c>
      <c r="B265">
        <v>5</v>
      </c>
      <c r="C265" t="s">
        <v>24</v>
      </c>
      <c r="D265" t="s">
        <v>193</v>
      </c>
      <c r="E265" t="s">
        <v>648</v>
      </c>
      <c r="G265" t="s">
        <v>22</v>
      </c>
      <c r="H265" t="s">
        <v>477</v>
      </c>
      <c r="L265" t="s">
        <v>1195</v>
      </c>
      <c r="M265" t="s">
        <v>649</v>
      </c>
      <c r="P265" t="s">
        <v>650</v>
      </c>
    </row>
    <row r="266" spans="1:16" x14ac:dyDescent="0.35">
      <c r="A266" t="s">
        <v>15</v>
      </c>
      <c r="B266">
        <v>6</v>
      </c>
      <c r="C266" t="s">
        <v>19</v>
      </c>
      <c r="D266" t="s">
        <v>25</v>
      </c>
      <c r="E266" t="s">
        <v>56</v>
      </c>
      <c r="F266" t="s">
        <v>57</v>
      </c>
      <c r="G266" t="s">
        <v>27</v>
      </c>
      <c r="H266" t="s">
        <v>393</v>
      </c>
      <c r="M266" t="s">
        <v>58</v>
      </c>
      <c r="P266" t="s">
        <v>59</v>
      </c>
    </row>
    <row r="267" spans="1:16" x14ac:dyDescent="0.35">
      <c r="A267" t="s">
        <v>15</v>
      </c>
      <c r="B267">
        <v>6</v>
      </c>
      <c r="C267" t="s">
        <v>19</v>
      </c>
      <c r="D267" t="s">
        <v>25</v>
      </c>
      <c r="E267" t="s">
        <v>648</v>
      </c>
      <c r="F267" t="s">
        <v>60</v>
      </c>
      <c r="G267" t="s">
        <v>27</v>
      </c>
      <c r="H267" t="s">
        <v>477</v>
      </c>
      <c r="M267" t="s">
        <v>651</v>
      </c>
      <c r="P267" t="s">
        <v>652</v>
      </c>
    </row>
    <row r="268" spans="1:16" x14ac:dyDescent="0.35">
      <c r="A268" t="s">
        <v>15</v>
      </c>
      <c r="B268">
        <v>6</v>
      </c>
      <c r="C268" t="s">
        <v>19</v>
      </c>
      <c r="D268" t="s">
        <v>30</v>
      </c>
      <c r="E268" t="s">
        <v>142</v>
      </c>
      <c r="F268" t="s">
        <v>50</v>
      </c>
      <c r="G268" t="s">
        <v>396</v>
      </c>
      <c r="H268" t="s">
        <v>748</v>
      </c>
      <c r="I268" t="s">
        <v>493</v>
      </c>
      <c r="J268" t="s">
        <v>416</v>
      </c>
      <c r="M268" t="s">
        <v>143</v>
      </c>
      <c r="P268" t="s">
        <v>52</v>
      </c>
    </row>
    <row r="269" spans="1:16" x14ac:dyDescent="0.35">
      <c r="A269" t="s">
        <v>15</v>
      </c>
      <c r="B269">
        <v>4</v>
      </c>
      <c r="C269" t="s">
        <v>24</v>
      </c>
      <c r="D269" t="s">
        <v>30</v>
      </c>
      <c r="E269" t="s">
        <v>340</v>
      </c>
      <c r="G269" t="s">
        <v>22</v>
      </c>
      <c r="M269" t="s">
        <v>341</v>
      </c>
      <c r="P269" t="s">
        <v>654</v>
      </c>
    </row>
    <row r="270" spans="1:16" x14ac:dyDescent="0.35">
      <c r="A270" t="s">
        <v>15</v>
      </c>
      <c r="B270">
        <v>5</v>
      </c>
      <c r="C270" t="s">
        <v>19</v>
      </c>
      <c r="D270" t="s">
        <v>30</v>
      </c>
      <c r="E270" t="s">
        <v>310</v>
      </c>
      <c r="F270" t="s">
        <v>311</v>
      </c>
      <c r="G270" t="s">
        <v>22</v>
      </c>
      <c r="H270" t="s">
        <v>551</v>
      </c>
      <c r="L270" t="s">
        <v>1107</v>
      </c>
      <c r="M270" t="s">
        <v>312</v>
      </c>
      <c r="P270" t="s">
        <v>313</v>
      </c>
    </row>
    <row r="271" spans="1:16" x14ac:dyDescent="0.35">
      <c r="A271" t="s">
        <v>15</v>
      </c>
      <c r="B271">
        <v>5</v>
      </c>
      <c r="C271" t="s">
        <v>19</v>
      </c>
      <c r="D271" t="s">
        <v>30</v>
      </c>
      <c r="E271" t="s">
        <v>655</v>
      </c>
      <c r="F271" t="s">
        <v>311</v>
      </c>
      <c r="G271" t="s">
        <v>396</v>
      </c>
      <c r="H271" t="s">
        <v>759</v>
      </c>
      <c r="I271" t="s">
        <v>656</v>
      </c>
      <c r="L271" t="s">
        <v>1160</v>
      </c>
      <c r="M271" t="s">
        <v>657</v>
      </c>
      <c r="P271" t="s">
        <v>313</v>
      </c>
    </row>
    <row r="272" spans="1:16" x14ac:dyDescent="0.35">
      <c r="A272" t="s">
        <v>15</v>
      </c>
      <c r="B272">
        <v>5</v>
      </c>
      <c r="C272" t="s">
        <v>19</v>
      </c>
      <c r="D272" t="s">
        <v>30</v>
      </c>
      <c r="E272" t="s">
        <v>658</v>
      </c>
      <c r="F272" t="s">
        <v>311</v>
      </c>
      <c r="G272" t="s">
        <v>396</v>
      </c>
      <c r="H272" t="s">
        <v>761</v>
      </c>
      <c r="I272" t="s">
        <v>760</v>
      </c>
      <c r="L272" t="s">
        <v>1161</v>
      </c>
      <c r="M272" t="s">
        <v>659</v>
      </c>
      <c r="P272" t="s">
        <v>313</v>
      </c>
    </row>
    <row r="273" spans="1:16" x14ac:dyDescent="0.35">
      <c r="A273" t="s">
        <v>15</v>
      </c>
      <c r="B273">
        <v>4</v>
      </c>
      <c r="C273" t="s">
        <v>24</v>
      </c>
      <c r="D273" t="s">
        <v>30</v>
      </c>
      <c r="E273" t="s">
        <v>660</v>
      </c>
      <c r="G273" t="s">
        <v>396</v>
      </c>
      <c r="H273" t="s">
        <v>661</v>
      </c>
      <c r="I273" t="s">
        <v>662</v>
      </c>
      <c r="L273" t="s">
        <v>1162</v>
      </c>
      <c r="M273" t="s">
        <v>663</v>
      </c>
      <c r="P273" t="s">
        <v>664</v>
      </c>
    </row>
    <row r="274" spans="1:16" x14ac:dyDescent="0.35">
      <c r="A274" t="s">
        <v>15</v>
      </c>
      <c r="B274">
        <v>5</v>
      </c>
      <c r="C274" t="s">
        <v>19</v>
      </c>
      <c r="D274" t="s">
        <v>25</v>
      </c>
      <c r="E274" t="s">
        <v>665</v>
      </c>
      <c r="F274" t="s">
        <v>152</v>
      </c>
      <c r="G274" t="s">
        <v>27</v>
      </c>
      <c r="H274" t="s">
        <v>419</v>
      </c>
      <c r="L274" t="s">
        <v>1163</v>
      </c>
      <c r="M274" t="s">
        <v>666</v>
      </c>
      <c r="P274" t="s">
        <v>154</v>
      </c>
    </row>
    <row r="275" spans="1:16" x14ac:dyDescent="0.35">
      <c r="A275" t="s">
        <v>15</v>
      </c>
      <c r="B275">
        <v>4</v>
      </c>
      <c r="C275" t="s">
        <v>24</v>
      </c>
      <c r="D275" t="s">
        <v>30</v>
      </c>
      <c r="E275" t="s">
        <v>667</v>
      </c>
      <c r="G275" t="s">
        <v>396</v>
      </c>
      <c r="H275" t="s">
        <v>762</v>
      </c>
      <c r="I275" t="s">
        <v>668</v>
      </c>
      <c r="L275" t="s">
        <v>1164</v>
      </c>
      <c r="M275" t="s">
        <v>669</v>
      </c>
      <c r="P275" t="s">
        <v>670</v>
      </c>
    </row>
    <row r="276" spans="1:16" x14ac:dyDescent="0.35">
      <c r="A276" t="s">
        <v>15</v>
      </c>
      <c r="B276">
        <v>5</v>
      </c>
      <c r="C276" t="s">
        <v>19</v>
      </c>
      <c r="D276" t="s">
        <v>30</v>
      </c>
      <c r="E276" t="s">
        <v>671</v>
      </c>
      <c r="F276" t="s">
        <v>672</v>
      </c>
      <c r="G276" t="s">
        <v>396</v>
      </c>
      <c r="H276" t="s">
        <v>673</v>
      </c>
      <c r="I276" t="s">
        <v>668</v>
      </c>
      <c r="J276" t="s">
        <v>674</v>
      </c>
      <c r="L276" t="s">
        <v>1165</v>
      </c>
      <c r="M276" t="s">
        <v>675</v>
      </c>
      <c r="P276" t="s">
        <v>676</v>
      </c>
    </row>
    <row r="277" spans="1:16" x14ac:dyDescent="0.35">
      <c r="A277" t="s">
        <v>15</v>
      </c>
      <c r="B277">
        <v>5</v>
      </c>
      <c r="C277" t="s">
        <v>19</v>
      </c>
      <c r="D277" t="s">
        <v>30</v>
      </c>
      <c r="E277" t="s">
        <v>677</v>
      </c>
      <c r="F277" t="s">
        <v>152</v>
      </c>
      <c r="G277" t="s">
        <v>22</v>
      </c>
      <c r="H277" t="s">
        <v>763</v>
      </c>
      <c r="L277" t="s">
        <v>1166</v>
      </c>
      <c r="M277" t="s">
        <v>678</v>
      </c>
      <c r="P277" t="s">
        <v>154</v>
      </c>
    </row>
    <row r="278" spans="1:16" x14ac:dyDescent="0.35">
      <c r="A278" t="s">
        <v>15</v>
      </c>
      <c r="B278">
        <v>5</v>
      </c>
      <c r="C278" t="s">
        <v>24</v>
      </c>
      <c r="D278" t="s">
        <v>193</v>
      </c>
      <c r="E278" t="s">
        <v>679</v>
      </c>
      <c r="G278" t="s">
        <v>396</v>
      </c>
      <c r="H278" t="s">
        <v>765</v>
      </c>
      <c r="I278" t="s">
        <v>764</v>
      </c>
      <c r="L278" t="s">
        <v>1167</v>
      </c>
      <c r="M278" t="s">
        <v>681</v>
      </c>
      <c r="P278" t="s">
        <v>682</v>
      </c>
    </row>
    <row r="279" spans="1:16" x14ac:dyDescent="0.35">
      <c r="A279" t="s">
        <v>15</v>
      </c>
      <c r="B279">
        <v>6</v>
      </c>
      <c r="C279" t="s">
        <v>19</v>
      </c>
      <c r="D279" t="s">
        <v>25</v>
      </c>
      <c r="E279" t="s">
        <v>56</v>
      </c>
      <c r="F279" t="s">
        <v>57</v>
      </c>
      <c r="G279" t="s">
        <v>27</v>
      </c>
      <c r="H279" t="s">
        <v>393</v>
      </c>
      <c r="M279" t="s">
        <v>58</v>
      </c>
      <c r="P279" t="s">
        <v>59</v>
      </c>
    </row>
    <row r="280" spans="1:16" x14ac:dyDescent="0.35">
      <c r="A280" t="s">
        <v>15</v>
      </c>
      <c r="B280">
        <v>6</v>
      </c>
      <c r="C280" t="s">
        <v>19</v>
      </c>
      <c r="D280" t="s">
        <v>30</v>
      </c>
      <c r="E280" t="s">
        <v>683</v>
      </c>
      <c r="F280" t="s">
        <v>333</v>
      </c>
      <c r="G280" t="s">
        <v>22</v>
      </c>
      <c r="H280" t="s">
        <v>680</v>
      </c>
      <c r="J280" t="s">
        <v>684</v>
      </c>
      <c r="L280" t="s">
        <v>1168</v>
      </c>
      <c r="M280" t="s">
        <v>685</v>
      </c>
      <c r="P280" t="s">
        <v>686</v>
      </c>
    </row>
    <row r="281" spans="1:16" x14ac:dyDescent="0.35">
      <c r="A281" t="s">
        <v>15</v>
      </c>
      <c r="B281">
        <v>6</v>
      </c>
      <c r="C281" t="s">
        <v>19</v>
      </c>
      <c r="D281" t="s">
        <v>30</v>
      </c>
      <c r="E281" t="s">
        <v>142</v>
      </c>
      <c r="F281" t="s">
        <v>50</v>
      </c>
      <c r="G281" t="s">
        <v>396</v>
      </c>
      <c r="H281" t="s">
        <v>748</v>
      </c>
      <c r="I281" t="s">
        <v>493</v>
      </c>
      <c r="J281" t="s">
        <v>416</v>
      </c>
      <c r="M281" t="s">
        <v>143</v>
      </c>
      <c r="P281" t="s">
        <v>52</v>
      </c>
    </row>
    <row r="282" spans="1:16" x14ac:dyDescent="0.35">
      <c r="A282" t="s">
        <v>15</v>
      </c>
      <c r="B282">
        <v>6</v>
      </c>
      <c r="C282" t="s">
        <v>19</v>
      </c>
      <c r="D282" t="s">
        <v>30</v>
      </c>
      <c r="E282" t="s">
        <v>687</v>
      </c>
      <c r="F282" t="s">
        <v>152</v>
      </c>
      <c r="G282" t="s">
        <v>22</v>
      </c>
      <c r="H282" t="s">
        <v>419</v>
      </c>
      <c r="L282" t="s">
        <v>1169</v>
      </c>
      <c r="M282" t="s">
        <v>688</v>
      </c>
      <c r="P282" t="s">
        <v>154</v>
      </c>
    </row>
    <row r="283" spans="1:16" x14ac:dyDescent="0.35">
      <c r="A283" t="s">
        <v>15</v>
      </c>
      <c r="B283">
        <v>6</v>
      </c>
      <c r="C283" t="s">
        <v>19</v>
      </c>
      <c r="D283" t="s">
        <v>30</v>
      </c>
      <c r="E283" t="s">
        <v>689</v>
      </c>
      <c r="F283" t="s">
        <v>44</v>
      </c>
      <c r="G283" t="s">
        <v>22</v>
      </c>
      <c r="H283" t="s">
        <v>690</v>
      </c>
      <c r="J283" t="s">
        <v>691</v>
      </c>
      <c r="L283" t="s">
        <v>1170</v>
      </c>
      <c r="M283" t="s">
        <v>692</v>
      </c>
      <c r="P283" t="s">
        <v>693</v>
      </c>
    </row>
    <row r="284" spans="1:16" x14ac:dyDescent="0.35">
      <c r="A284" t="s">
        <v>15</v>
      </c>
      <c r="B284">
        <v>6</v>
      </c>
      <c r="C284" t="s">
        <v>24</v>
      </c>
      <c r="D284" t="s">
        <v>193</v>
      </c>
      <c r="E284" t="s">
        <v>694</v>
      </c>
      <c r="G284" t="s">
        <v>396</v>
      </c>
      <c r="H284" t="s">
        <v>765</v>
      </c>
      <c r="I284" t="s">
        <v>764</v>
      </c>
      <c r="L284" t="s">
        <v>1171</v>
      </c>
      <c r="M284" t="s">
        <v>695</v>
      </c>
      <c r="P284" t="s">
        <v>696</v>
      </c>
    </row>
    <row r="285" spans="1:16" x14ac:dyDescent="0.35">
      <c r="A285" t="s">
        <v>15</v>
      </c>
      <c r="B285">
        <v>7</v>
      </c>
      <c r="C285" t="s">
        <v>19</v>
      </c>
      <c r="D285" t="s">
        <v>25</v>
      </c>
      <c r="E285" t="s">
        <v>56</v>
      </c>
      <c r="F285" t="s">
        <v>57</v>
      </c>
      <c r="G285" t="s">
        <v>27</v>
      </c>
      <c r="H285" t="s">
        <v>393</v>
      </c>
      <c r="M285" t="s">
        <v>58</v>
      </c>
      <c r="P285" t="s">
        <v>59</v>
      </c>
    </row>
    <row r="286" spans="1:16" x14ac:dyDescent="0.35">
      <c r="A286" t="s">
        <v>15</v>
      </c>
      <c r="B286">
        <v>7</v>
      </c>
      <c r="C286" t="s">
        <v>19</v>
      </c>
      <c r="D286" t="s">
        <v>30</v>
      </c>
      <c r="E286" t="s">
        <v>697</v>
      </c>
      <c r="F286" t="s">
        <v>698</v>
      </c>
      <c r="G286" t="s">
        <v>22</v>
      </c>
      <c r="H286" t="s">
        <v>680</v>
      </c>
      <c r="L286" t="s">
        <v>1172</v>
      </c>
      <c r="M286" t="s">
        <v>699</v>
      </c>
      <c r="P286" t="s">
        <v>700</v>
      </c>
    </row>
    <row r="287" spans="1:16" x14ac:dyDescent="0.35">
      <c r="A287" t="s">
        <v>15</v>
      </c>
      <c r="B287">
        <v>7</v>
      </c>
      <c r="C287" t="s">
        <v>19</v>
      </c>
      <c r="D287" t="s">
        <v>30</v>
      </c>
      <c r="E287" t="s">
        <v>353</v>
      </c>
      <c r="F287" t="s">
        <v>60</v>
      </c>
      <c r="G287" t="s">
        <v>396</v>
      </c>
      <c r="H287" t="s">
        <v>766</v>
      </c>
      <c r="I287" t="s">
        <v>701</v>
      </c>
      <c r="L287" t="s">
        <v>1173</v>
      </c>
      <c r="M287" t="s">
        <v>354</v>
      </c>
      <c r="P287" t="s">
        <v>355</v>
      </c>
    </row>
    <row r="288" spans="1:16" x14ac:dyDescent="0.35">
      <c r="A288" t="s">
        <v>15</v>
      </c>
      <c r="B288">
        <v>7</v>
      </c>
      <c r="C288" t="s">
        <v>19</v>
      </c>
      <c r="D288" t="s">
        <v>30</v>
      </c>
      <c r="E288" t="s">
        <v>356</v>
      </c>
      <c r="F288" t="s">
        <v>50</v>
      </c>
      <c r="G288" t="s">
        <v>396</v>
      </c>
      <c r="H288" t="s">
        <v>748</v>
      </c>
      <c r="I288" t="s">
        <v>493</v>
      </c>
      <c r="J288" t="s">
        <v>416</v>
      </c>
      <c r="M288" t="s">
        <v>357</v>
      </c>
      <c r="P288" t="s">
        <v>52</v>
      </c>
    </row>
    <row r="289" spans="1:16" x14ac:dyDescent="0.35">
      <c r="A289" t="s">
        <v>15</v>
      </c>
      <c r="B289">
        <v>7</v>
      </c>
      <c r="C289" t="s">
        <v>19</v>
      </c>
      <c r="D289" t="s">
        <v>30</v>
      </c>
      <c r="E289" t="s">
        <v>358</v>
      </c>
      <c r="F289" t="s">
        <v>311</v>
      </c>
      <c r="G289" t="s">
        <v>396</v>
      </c>
      <c r="I289" t="s">
        <v>702</v>
      </c>
      <c r="L289" t="s">
        <v>1174</v>
      </c>
      <c r="M289" t="s">
        <v>359</v>
      </c>
      <c r="P289" t="s">
        <v>313</v>
      </c>
    </row>
    <row r="290" spans="1:16" x14ac:dyDescent="0.35">
      <c r="A290" t="s">
        <v>15</v>
      </c>
      <c r="B290">
        <v>7</v>
      </c>
      <c r="C290" t="s">
        <v>19</v>
      </c>
      <c r="D290" t="s">
        <v>30</v>
      </c>
      <c r="E290" t="s">
        <v>524</v>
      </c>
      <c r="F290" t="s">
        <v>181</v>
      </c>
      <c r="G290" t="s">
        <v>396</v>
      </c>
      <c r="I290" t="s">
        <v>703</v>
      </c>
      <c r="L290" t="s">
        <v>1175</v>
      </c>
      <c r="M290" t="s">
        <v>525</v>
      </c>
      <c r="P290" t="s">
        <v>183</v>
      </c>
    </row>
    <row r="291" spans="1:16" x14ac:dyDescent="0.35">
      <c r="A291" t="s">
        <v>15</v>
      </c>
      <c r="B291">
        <v>7</v>
      </c>
      <c r="C291" t="s">
        <v>19</v>
      </c>
      <c r="D291" t="s">
        <v>30</v>
      </c>
      <c r="E291" t="s">
        <v>704</v>
      </c>
      <c r="F291" t="s">
        <v>181</v>
      </c>
      <c r="G291" t="s">
        <v>22</v>
      </c>
      <c r="H291" t="s">
        <v>705</v>
      </c>
      <c r="L291" t="s">
        <v>1176</v>
      </c>
      <c r="M291" t="s">
        <v>706</v>
      </c>
      <c r="P291" t="s">
        <v>183</v>
      </c>
    </row>
    <row r="292" spans="1:16" x14ac:dyDescent="0.35">
      <c r="A292" t="s">
        <v>15</v>
      </c>
      <c r="B292">
        <v>3</v>
      </c>
      <c r="C292" t="s">
        <v>24</v>
      </c>
      <c r="D292" t="s">
        <v>134</v>
      </c>
      <c r="E292" t="s">
        <v>343</v>
      </c>
      <c r="G292" t="s">
        <v>27</v>
      </c>
      <c r="L292" t="s">
        <v>1177</v>
      </c>
      <c r="M292" t="s">
        <v>343</v>
      </c>
      <c r="P292" t="s">
        <v>707</v>
      </c>
    </row>
    <row r="293" spans="1:16" x14ac:dyDescent="0.35">
      <c r="A293" t="s">
        <v>15</v>
      </c>
      <c r="B293">
        <v>4</v>
      </c>
      <c r="C293" t="s">
        <v>19</v>
      </c>
      <c r="D293" t="s">
        <v>30</v>
      </c>
      <c r="E293" t="s">
        <v>56</v>
      </c>
      <c r="F293" t="s">
        <v>57</v>
      </c>
      <c r="G293" t="s">
        <v>22</v>
      </c>
      <c r="H293" t="s">
        <v>393</v>
      </c>
      <c r="M293" t="s">
        <v>58</v>
      </c>
      <c r="P293" t="s">
        <v>59</v>
      </c>
    </row>
    <row r="294" spans="1:16" x14ac:dyDescent="0.35">
      <c r="A294" t="s">
        <v>15</v>
      </c>
      <c r="B294">
        <v>4</v>
      </c>
      <c r="C294" t="s">
        <v>19</v>
      </c>
      <c r="D294" t="s">
        <v>30</v>
      </c>
      <c r="E294" t="s">
        <v>345</v>
      </c>
      <c r="F294" t="s">
        <v>325</v>
      </c>
      <c r="G294" t="s">
        <v>22</v>
      </c>
      <c r="J294" t="s">
        <v>708</v>
      </c>
      <c r="L294" t="s">
        <v>1178</v>
      </c>
      <c r="M294" t="s">
        <v>346</v>
      </c>
      <c r="P294" t="s">
        <v>347</v>
      </c>
    </row>
    <row r="295" spans="1:16" x14ac:dyDescent="0.35">
      <c r="A295" t="s">
        <v>15</v>
      </c>
      <c r="B295">
        <v>4</v>
      </c>
      <c r="C295" t="s">
        <v>19</v>
      </c>
      <c r="D295" t="s">
        <v>30</v>
      </c>
      <c r="E295" t="s">
        <v>348</v>
      </c>
      <c r="F295" t="s">
        <v>349</v>
      </c>
      <c r="G295" t="s">
        <v>396</v>
      </c>
      <c r="H295" t="s">
        <v>767</v>
      </c>
      <c r="I295" t="s">
        <v>709</v>
      </c>
      <c r="L295" t="s">
        <v>1179</v>
      </c>
      <c r="M295" t="s">
        <v>350</v>
      </c>
      <c r="P295" t="s">
        <v>351</v>
      </c>
    </row>
    <row r="296" spans="1:16" x14ac:dyDescent="0.35">
      <c r="A296" t="s">
        <v>15</v>
      </c>
      <c r="B296">
        <v>4</v>
      </c>
      <c r="C296" t="s">
        <v>19</v>
      </c>
      <c r="D296" t="s">
        <v>30</v>
      </c>
      <c r="E296" t="s">
        <v>710</v>
      </c>
      <c r="F296" t="s">
        <v>216</v>
      </c>
      <c r="G296" t="s">
        <v>396</v>
      </c>
      <c r="H296" t="s">
        <v>711</v>
      </c>
      <c r="I296" t="s">
        <v>768</v>
      </c>
      <c r="L296" t="s">
        <v>1180</v>
      </c>
      <c r="M296" t="s">
        <v>712</v>
      </c>
      <c r="P296" t="s">
        <v>218</v>
      </c>
    </row>
    <row r="297" spans="1:16" x14ac:dyDescent="0.35">
      <c r="A297" t="s">
        <v>15</v>
      </c>
      <c r="B297">
        <v>3</v>
      </c>
      <c r="C297" t="s">
        <v>24</v>
      </c>
      <c r="D297" t="s">
        <v>193</v>
      </c>
      <c r="E297" t="s">
        <v>303</v>
      </c>
      <c r="G297" t="s">
        <v>22</v>
      </c>
      <c r="H297" t="s">
        <v>769</v>
      </c>
      <c r="L297" t="s">
        <v>1083</v>
      </c>
      <c r="M297" t="s">
        <v>304</v>
      </c>
      <c r="P297" t="s">
        <v>713</v>
      </c>
    </row>
    <row r="298" spans="1:16" x14ac:dyDescent="0.35">
      <c r="A298" t="s">
        <v>15</v>
      </c>
      <c r="B298">
        <v>4</v>
      </c>
      <c r="C298" t="s">
        <v>19</v>
      </c>
      <c r="D298" t="s">
        <v>25</v>
      </c>
      <c r="E298" t="s">
        <v>56</v>
      </c>
      <c r="F298" t="s">
        <v>57</v>
      </c>
      <c r="G298" t="s">
        <v>27</v>
      </c>
      <c r="H298" t="s">
        <v>393</v>
      </c>
      <c r="M298" t="s">
        <v>58</v>
      </c>
      <c r="P298" t="s">
        <v>59</v>
      </c>
    </row>
    <row r="299" spans="1:16" x14ac:dyDescent="0.35">
      <c r="A299" t="s">
        <v>15</v>
      </c>
      <c r="B299">
        <v>4</v>
      </c>
      <c r="C299" t="s">
        <v>19</v>
      </c>
      <c r="D299" t="s">
        <v>25</v>
      </c>
      <c r="E299" t="s">
        <v>2</v>
      </c>
      <c r="F299" t="s">
        <v>306</v>
      </c>
      <c r="G299" t="s">
        <v>27</v>
      </c>
      <c r="H299" t="s">
        <v>747</v>
      </c>
      <c r="J299" t="s">
        <v>491</v>
      </c>
      <c r="L299" t="s">
        <v>1084</v>
      </c>
      <c r="M299" t="s">
        <v>61</v>
      </c>
      <c r="P299" t="s">
        <v>307</v>
      </c>
    </row>
    <row r="300" spans="1:16" x14ac:dyDescent="0.35">
      <c r="A300" t="s">
        <v>15</v>
      </c>
      <c r="B300">
        <v>4</v>
      </c>
      <c r="C300" t="s">
        <v>19</v>
      </c>
      <c r="D300" t="s">
        <v>30</v>
      </c>
      <c r="E300" t="s">
        <v>142</v>
      </c>
      <c r="F300" t="s">
        <v>50</v>
      </c>
      <c r="G300" t="s">
        <v>396</v>
      </c>
      <c r="H300" t="s">
        <v>748</v>
      </c>
      <c r="I300" t="s">
        <v>493</v>
      </c>
      <c r="J300" t="s">
        <v>416</v>
      </c>
      <c r="M300" t="s">
        <v>143</v>
      </c>
      <c r="P300" t="s">
        <v>52</v>
      </c>
    </row>
    <row r="301" spans="1:16" x14ac:dyDescent="0.35">
      <c r="A301" t="s">
        <v>15</v>
      </c>
      <c r="B301">
        <v>4</v>
      </c>
      <c r="C301" t="s">
        <v>19</v>
      </c>
      <c r="D301" t="s">
        <v>25</v>
      </c>
      <c r="E301" t="s">
        <v>63</v>
      </c>
      <c r="F301" t="s">
        <v>83</v>
      </c>
      <c r="G301" t="s">
        <v>27</v>
      </c>
      <c r="H301" t="s">
        <v>494</v>
      </c>
      <c r="L301" t="s">
        <v>1085</v>
      </c>
      <c r="M301" t="s">
        <v>65</v>
      </c>
      <c r="P301" t="s">
        <v>308</v>
      </c>
    </row>
    <row r="302" spans="1:16" x14ac:dyDescent="0.35">
      <c r="A302" t="s">
        <v>15</v>
      </c>
      <c r="B302">
        <v>4</v>
      </c>
      <c r="C302" t="s">
        <v>19</v>
      </c>
      <c r="D302" t="s">
        <v>30</v>
      </c>
      <c r="E302" t="s">
        <v>345</v>
      </c>
      <c r="F302" t="s">
        <v>325</v>
      </c>
      <c r="G302" t="s">
        <v>22</v>
      </c>
      <c r="H302" t="s">
        <v>714</v>
      </c>
      <c r="J302" t="s">
        <v>708</v>
      </c>
      <c r="L302" t="s">
        <v>1181</v>
      </c>
      <c r="M302" t="s">
        <v>346</v>
      </c>
      <c r="P302" t="s">
        <v>347</v>
      </c>
    </row>
    <row r="303" spans="1:16" x14ac:dyDescent="0.35">
      <c r="A303" t="s">
        <v>15</v>
      </c>
      <c r="B303">
        <v>4</v>
      </c>
      <c r="C303" t="s">
        <v>19</v>
      </c>
      <c r="D303" t="s">
        <v>30</v>
      </c>
      <c r="E303" t="s">
        <v>348</v>
      </c>
      <c r="F303" t="s">
        <v>349</v>
      </c>
      <c r="G303" t="s">
        <v>22</v>
      </c>
      <c r="H303" t="s">
        <v>770</v>
      </c>
      <c r="L303" t="s">
        <v>1182</v>
      </c>
      <c r="M303" t="s">
        <v>350</v>
      </c>
      <c r="P303" t="s">
        <v>351</v>
      </c>
    </row>
    <row r="304" spans="1:16" x14ac:dyDescent="0.35">
      <c r="A304" t="s">
        <v>15</v>
      </c>
      <c r="B304">
        <v>4</v>
      </c>
      <c r="C304" t="s">
        <v>19</v>
      </c>
      <c r="D304" t="s">
        <v>30</v>
      </c>
      <c r="E304" t="s">
        <v>353</v>
      </c>
      <c r="F304" t="s">
        <v>60</v>
      </c>
      <c r="G304" t="s">
        <v>396</v>
      </c>
      <c r="H304" t="s">
        <v>714</v>
      </c>
      <c r="I304" t="s">
        <v>701</v>
      </c>
      <c r="J304" t="s">
        <v>715</v>
      </c>
      <c r="L304" t="s">
        <v>1183</v>
      </c>
      <c r="M304" t="s">
        <v>354</v>
      </c>
      <c r="P304" t="s">
        <v>355</v>
      </c>
    </row>
    <row r="305" spans="1:16" x14ac:dyDescent="0.35">
      <c r="A305" t="s">
        <v>15</v>
      </c>
      <c r="B305">
        <v>4</v>
      </c>
      <c r="C305" t="s">
        <v>19</v>
      </c>
      <c r="D305" t="s">
        <v>30</v>
      </c>
      <c r="E305" t="s">
        <v>356</v>
      </c>
      <c r="F305" t="s">
        <v>50</v>
      </c>
      <c r="G305" t="s">
        <v>396</v>
      </c>
      <c r="H305" t="s">
        <v>748</v>
      </c>
      <c r="I305" t="s">
        <v>493</v>
      </c>
      <c r="J305" t="s">
        <v>416</v>
      </c>
      <c r="M305" t="s">
        <v>357</v>
      </c>
      <c r="P305" t="s">
        <v>52</v>
      </c>
    </row>
    <row r="306" spans="1:16" x14ac:dyDescent="0.35">
      <c r="A306" t="s">
        <v>15</v>
      </c>
      <c r="B306">
        <v>4</v>
      </c>
      <c r="C306" t="s">
        <v>19</v>
      </c>
      <c r="D306" t="s">
        <v>30</v>
      </c>
      <c r="E306" t="s">
        <v>358</v>
      </c>
      <c r="F306" t="s">
        <v>311</v>
      </c>
      <c r="G306" t="s">
        <v>22</v>
      </c>
      <c r="H306" t="s">
        <v>714</v>
      </c>
      <c r="L306" t="s">
        <v>1184</v>
      </c>
      <c r="M306" t="s">
        <v>359</v>
      </c>
      <c r="P306" t="s">
        <v>313</v>
      </c>
    </row>
    <row r="307" spans="1:16" x14ac:dyDescent="0.35">
      <c r="A307" t="s">
        <v>15</v>
      </c>
      <c r="B307">
        <v>4</v>
      </c>
      <c r="C307" t="s">
        <v>19</v>
      </c>
      <c r="D307" t="s">
        <v>30</v>
      </c>
      <c r="E307" t="s">
        <v>360</v>
      </c>
      <c r="F307" t="s">
        <v>57</v>
      </c>
      <c r="G307" t="s">
        <v>22</v>
      </c>
      <c r="H307" t="s">
        <v>716</v>
      </c>
      <c r="L307" t="s">
        <v>1185</v>
      </c>
      <c r="M307" t="s">
        <v>361</v>
      </c>
      <c r="P307" t="s">
        <v>255</v>
      </c>
    </row>
    <row r="308" spans="1:16" x14ac:dyDescent="0.35">
      <c r="A308" t="s">
        <v>15</v>
      </c>
      <c r="B308">
        <v>3</v>
      </c>
      <c r="C308" t="s">
        <v>24</v>
      </c>
      <c r="D308" t="s">
        <v>193</v>
      </c>
      <c r="E308" t="s">
        <v>495</v>
      </c>
      <c r="G308" t="s">
        <v>22</v>
      </c>
      <c r="H308" t="s">
        <v>489</v>
      </c>
      <c r="L308" t="s">
        <v>1086</v>
      </c>
      <c r="M308" t="s">
        <v>496</v>
      </c>
      <c r="P308" t="s">
        <v>717</v>
      </c>
    </row>
    <row r="309" spans="1:16" x14ac:dyDescent="0.35">
      <c r="A309" t="s">
        <v>15</v>
      </c>
      <c r="B309">
        <v>4</v>
      </c>
      <c r="C309" t="s">
        <v>19</v>
      </c>
      <c r="D309" t="s">
        <v>25</v>
      </c>
      <c r="E309" t="s">
        <v>56</v>
      </c>
      <c r="F309" t="s">
        <v>57</v>
      </c>
      <c r="G309" t="s">
        <v>27</v>
      </c>
      <c r="H309" t="s">
        <v>393</v>
      </c>
      <c r="M309" t="s">
        <v>58</v>
      </c>
      <c r="P309" t="s">
        <v>59</v>
      </c>
    </row>
    <row r="310" spans="1:16" x14ac:dyDescent="0.35">
      <c r="A310" t="s">
        <v>15</v>
      </c>
      <c r="B310">
        <v>4</v>
      </c>
      <c r="C310" t="s">
        <v>19</v>
      </c>
      <c r="D310" t="s">
        <v>25</v>
      </c>
      <c r="E310" t="s">
        <v>2</v>
      </c>
      <c r="F310" t="s">
        <v>306</v>
      </c>
      <c r="G310" t="s">
        <v>27</v>
      </c>
      <c r="H310" t="s">
        <v>477</v>
      </c>
      <c r="J310" t="s">
        <v>498</v>
      </c>
      <c r="L310" t="s">
        <v>1087</v>
      </c>
      <c r="M310" t="s">
        <v>61</v>
      </c>
      <c r="P310" t="s">
        <v>307</v>
      </c>
    </row>
    <row r="311" spans="1:16" x14ac:dyDescent="0.35">
      <c r="A311" t="s">
        <v>15</v>
      </c>
      <c r="B311">
        <v>4</v>
      </c>
      <c r="C311" t="s">
        <v>19</v>
      </c>
      <c r="D311" t="s">
        <v>30</v>
      </c>
      <c r="E311" t="s">
        <v>142</v>
      </c>
      <c r="F311" t="s">
        <v>50</v>
      </c>
      <c r="G311" t="s">
        <v>396</v>
      </c>
      <c r="H311" t="s">
        <v>748</v>
      </c>
      <c r="I311" t="s">
        <v>493</v>
      </c>
      <c r="J311" t="s">
        <v>416</v>
      </c>
      <c r="M311" t="s">
        <v>143</v>
      </c>
      <c r="P311" t="s">
        <v>52</v>
      </c>
    </row>
    <row r="312" spans="1:16" x14ac:dyDescent="0.35">
      <c r="A312" t="s">
        <v>15</v>
      </c>
      <c r="B312">
        <v>4</v>
      </c>
      <c r="C312" t="s">
        <v>19</v>
      </c>
      <c r="D312" t="s">
        <v>30</v>
      </c>
      <c r="E312" t="s">
        <v>63</v>
      </c>
      <c r="F312" t="s">
        <v>83</v>
      </c>
      <c r="G312" t="s">
        <v>22</v>
      </c>
      <c r="H312" t="s">
        <v>494</v>
      </c>
      <c r="L312" t="s">
        <v>1088</v>
      </c>
      <c r="M312" t="s">
        <v>65</v>
      </c>
      <c r="P312" t="s">
        <v>308</v>
      </c>
    </row>
    <row r="313" spans="1:16" x14ac:dyDescent="0.35">
      <c r="A313" t="s">
        <v>15</v>
      </c>
      <c r="B313">
        <v>4</v>
      </c>
      <c r="C313" t="s">
        <v>19</v>
      </c>
      <c r="D313" t="s">
        <v>30</v>
      </c>
      <c r="E313" t="s">
        <v>499</v>
      </c>
      <c r="F313" t="s">
        <v>57</v>
      </c>
      <c r="G313" t="s">
        <v>22</v>
      </c>
      <c r="H313" t="s">
        <v>718</v>
      </c>
      <c r="L313" t="s">
        <v>1089</v>
      </c>
      <c r="M313" t="s">
        <v>500</v>
      </c>
      <c r="P313" t="s">
        <v>255</v>
      </c>
    </row>
    <row r="314" spans="1:16" x14ac:dyDescent="0.35">
      <c r="A314" t="s">
        <v>15</v>
      </c>
      <c r="B314">
        <v>4</v>
      </c>
      <c r="C314" t="s">
        <v>19</v>
      </c>
      <c r="D314" t="s">
        <v>30</v>
      </c>
      <c r="E314" t="s">
        <v>501</v>
      </c>
      <c r="F314" t="s">
        <v>83</v>
      </c>
      <c r="G314" t="s">
        <v>22</v>
      </c>
      <c r="H314" t="s">
        <v>718</v>
      </c>
      <c r="L314" t="s">
        <v>1090</v>
      </c>
      <c r="M314" t="s">
        <v>502</v>
      </c>
      <c r="P314" t="s">
        <v>503</v>
      </c>
    </row>
    <row r="315" spans="1:16" x14ac:dyDescent="0.35">
      <c r="A315" t="s">
        <v>15</v>
      </c>
      <c r="B315">
        <v>4</v>
      </c>
      <c r="C315" t="s">
        <v>19</v>
      </c>
      <c r="D315" t="s">
        <v>30</v>
      </c>
      <c r="E315" t="s">
        <v>504</v>
      </c>
      <c r="F315" t="s">
        <v>505</v>
      </c>
      <c r="G315" t="s">
        <v>22</v>
      </c>
      <c r="H315" t="s">
        <v>718</v>
      </c>
      <c r="L315" t="s">
        <v>1091</v>
      </c>
      <c r="M315" t="s">
        <v>506</v>
      </c>
      <c r="P315" t="s">
        <v>507</v>
      </c>
    </row>
    <row r="316" spans="1:16" x14ac:dyDescent="0.35">
      <c r="A316" t="s">
        <v>15</v>
      </c>
      <c r="B316">
        <v>4</v>
      </c>
      <c r="C316" t="s">
        <v>19</v>
      </c>
      <c r="D316" t="s">
        <v>30</v>
      </c>
      <c r="E316" t="s">
        <v>353</v>
      </c>
      <c r="F316" t="s">
        <v>60</v>
      </c>
      <c r="G316" t="s">
        <v>396</v>
      </c>
      <c r="H316" t="s">
        <v>719</v>
      </c>
      <c r="I316" t="s">
        <v>701</v>
      </c>
      <c r="J316" t="s">
        <v>715</v>
      </c>
      <c r="L316" t="s">
        <v>1186</v>
      </c>
      <c r="M316" t="s">
        <v>354</v>
      </c>
      <c r="P316" t="s">
        <v>355</v>
      </c>
    </row>
    <row r="317" spans="1:16" x14ac:dyDescent="0.35">
      <c r="A317" t="s">
        <v>15</v>
      </c>
      <c r="B317">
        <v>4</v>
      </c>
      <c r="C317" t="s">
        <v>19</v>
      </c>
      <c r="D317" t="s">
        <v>30</v>
      </c>
      <c r="E317" t="s">
        <v>356</v>
      </c>
      <c r="F317" t="s">
        <v>50</v>
      </c>
      <c r="G317" t="s">
        <v>396</v>
      </c>
      <c r="H317" t="s">
        <v>748</v>
      </c>
      <c r="I317" t="s">
        <v>493</v>
      </c>
      <c r="J317" t="s">
        <v>416</v>
      </c>
      <c r="M317" t="s">
        <v>357</v>
      </c>
      <c r="P317" t="s">
        <v>52</v>
      </c>
    </row>
    <row r="318" spans="1:16" x14ac:dyDescent="0.35">
      <c r="A318" t="s">
        <v>15</v>
      </c>
      <c r="B318">
        <v>4</v>
      </c>
      <c r="C318" t="s">
        <v>19</v>
      </c>
      <c r="D318" t="s">
        <v>30</v>
      </c>
      <c r="E318" t="s">
        <v>358</v>
      </c>
      <c r="F318" t="s">
        <v>311</v>
      </c>
      <c r="G318" t="s">
        <v>22</v>
      </c>
      <c r="H318" t="s">
        <v>719</v>
      </c>
      <c r="L318" t="s">
        <v>1187</v>
      </c>
      <c r="M318" t="s">
        <v>359</v>
      </c>
      <c r="P318" t="s">
        <v>313</v>
      </c>
    </row>
    <row r="319" spans="1:16" x14ac:dyDescent="0.35">
      <c r="A319" t="s">
        <v>15</v>
      </c>
      <c r="B319">
        <v>4</v>
      </c>
      <c r="C319" t="s">
        <v>19</v>
      </c>
      <c r="D319" t="s">
        <v>30</v>
      </c>
      <c r="E319" t="s">
        <v>521</v>
      </c>
      <c r="F319" t="s">
        <v>148</v>
      </c>
      <c r="G319" t="s">
        <v>22</v>
      </c>
      <c r="H319" t="s">
        <v>719</v>
      </c>
      <c r="J319" t="s">
        <v>429</v>
      </c>
      <c r="L319" t="s">
        <v>1188</v>
      </c>
      <c r="M319" t="s">
        <v>522</v>
      </c>
      <c r="P319" t="s">
        <v>150</v>
      </c>
    </row>
    <row r="320" spans="1:16" x14ac:dyDescent="0.35">
      <c r="A320" t="s">
        <v>15</v>
      </c>
      <c r="B320">
        <v>4</v>
      </c>
      <c r="C320" t="s">
        <v>19</v>
      </c>
      <c r="D320" t="s">
        <v>30</v>
      </c>
      <c r="E320" t="s">
        <v>524</v>
      </c>
      <c r="F320" t="s">
        <v>181</v>
      </c>
      <c r="G320" t="s">
        <v>22</v>
      </c>
      <c r="H320" t="s">
        <v>719</v>
      </c>
      <c r="L320" t="s">
        <v>1189</v>
      </c>
      <c r="M320" t="s">
        <v>525</v>
      </c>
      <c r="P320" t="s">
        <v>183</v>
      </c>
    </row>
    <row r="321" spans="1:16" x14ac:dyDescent="0.35">
      <c r="A321" t="s">
        <v>15</v>
      </c>
      <c r="B321">
        <v>3</v>
      </c>
      <c r="C321" t="s">
        <v>24</v>
      </c>
      <c r="D321" t="s">
        <v>193</v>
      </c>
      <c r="E321" t="s">
        <v>583</v>
      </c>
      <c r="G321" t="s">
        <v>22</v>
      </c>
      <c r="H321" t="s">
        <v>489</v>
      </c>
      <c r="L321" t="s">
        <v>1138</v>
      </c>
      <c r="M321" t="s">
        <v>584</v>
      </c>
      <c r="P321" t="s">
        <v>585</v>
      </c>
    </row>
    <row r="322" spans="1:16" x14ac:dyDescent="0.35">
      <c r="A322" t="s">
        <v>15</v>
      </c>
      <c r="B322">
        <v>4</v>
      </c>
      <c r="C322" t="s">
        <v>19</v>
      </c>
      <c r="D322" t="s">
        <v>25</v>
      </c>
      <c r="E322" t="s">
        <v>56</v>
      </c>
      <c r="F322" t="s">
        <v>57</v>
      </c>
      <c r="G322" t="s">
        <v>27</v>
      </c>
      <c r="H322" t="s">
        <v>393</v>
      </c>
      <c r="M322" t="s">
        <v>58</v>
      </c>
      <c r="P322" t="s">
        <v>59</v>
      </c>
    </row>
    <row r="323" spans="1:16" x14ac:dyDescent="0.35">
      <c r="A323" t="s">
        <v>15</v>
      </c>
      <c r="B323">
        <v>4</v>
      </c>
      <c r="C323" t="s">
        <v>19</v>
      </c>
      <c r="D323" t="s">
        <v>25</v>
      </c>
      <c r="E323" t="s">
        <v>2</v>
      </c>
      <c r="F323" t="s">
        <v>306</v>
      </c>
      <c r="G323" t="s">
        <v>27</v>
      </c>
      <c r="J323" t="s">
        <v>586</v>
      </c>
      <c r="L323" t="s">
        <v>1139</v>
      </c>
      <c r="M323" t="s">
        <v>61</v>
      </c>
      <c r="P323" t="s">
        <v>307</v>
      </c>
    </row>
    <row r="324" spans="1:16" x14ac:dyDescent="0.35">
      <c r="A324" t="s">
        <v>15</v>
      </c>
      <c r="B324">
        <v>4</v>
      </c>
      <c r="C324" t="s">
        <v>19</v>
      </c>
      <c r="D324" t="s">
        <v>25</v>
      </c>
      <c r="E324" t="s">
        <v>63</v>
      </c>
      <c r="F324" t="s">
        <v>83</v>
      </c>
      <c r="G324" t="s">
        <v>27</v>
      </c>
      <c r="H324" t="s">
        <v>494</v>
      </c>
      <c r="L324" t="s">
        <v>1140</v>
      </c>
      <c r="M324" t="s">
        <v>65</v>
      </c>
      <c r="P324" t="s">
        <v>308</v>
      </c>
    </row>
    <row r="325" spans="1:16" x14ac:dyDescent="0.35">
      <c r="A325" t="s">
        <v>15</v>
      </c>
      <c r="B325">
        <v>3</v>
      </c>
      <c r="C325" t="s">
        <v>24</v>
      </c>
      <c r="D325" t="s">
        <v>193</v>
      </c>
      <c r="E325" t="s">
        <v>508</v>
      </c>
      <c r="G325" t="s">
        <v>22</v>
      </c>
      <c r="H325" t="s">
        <v>749</v>
      </c>
      <c r="L325" t="s">
        <v>1092</v>
      </c>
      <c r="M325" t="s">
        <v>509</v>
      </c>
      <c r="P325" t="s">
        <v>510</v>
      </c>
    </row>
    <row r="326" spans="1:16" x14ac:dyDescent="0.35">
      <c r="A326" t="s">
        <v>15</v>
      </c>
      <c r="B326">
        <v>4</v>
      </c>
      <c r="C326" t="s">
        <v>19</v>
      </c>
      <c r="D326" t="s">
        <v>25</v>
      </c>
      <c r="E326" t="s">
        <v>56</v>
      </c>
      <c r="F326" t="s">
        <v>57</v>
      </c>
      <c r="G326" t="s">
        <v>27</v>
      </c>
      <c r="H326" t="s">
        <v>393</v>
      </c>
      <c r="M326" t="s">
        <v>58</v>
      </c>
      <c r="P326" t="s">
        <v>59</v>
      </c>
    </row>
    <row r="327" spans="1:16" x14ac:dyDescent="0.35">
      <c r="A327" t="s">
        <v>15</v>
      </c>
      <c r="B327">
        <v>4</v>
      </c>
      <c r="C327" t="s">
        <v>19</v>
      </c>
      <c r="D327" t="s">
        <v>25</v>
      </c>
      <c r="E327" t="s">
        <v>2</v>
      </c>
      <c r="F327" t="s">
        <v>306</v>
      </c>
      <c r="G327" t="s">
        <v>27</v>
      </c>
      <c r="J327" t="s">
        <v>511</v>
      </c>
      <c r="L327" t="s">
        <v>1093</v>
      </c>
      <c r="M327" t="s">
        <v>61</v>
      </c>
      <c r="P327" t="s">
        <v>307</v>
      </c>
    </row>
    <row r="328" spans="1:16" x14ac:dyDescent="0.35">
      <c r="A328" t="s">
        <v>15</v>
      </c>
      <c r="B328">
        <v>4</v>
      </c>
      <c r="C328" t="s">
        <v>19</v>
      </c>
      <c r="D328" t="s">
        <v>30</v>
      </c>
      <c r="E328" t="s">
        <v>142</v>
      </c>
      <c r="F328" t="s">
        <v>50</v>
      </c>
      <c r="G328" t="s">
        <v>396</v>
      </c>
      <c r="H328" t="s">
        <v>748</v>
      </c>
      <c r="I328" t="s">
        <v>493</v>
      </c>
      <c r="J328" t="s">
        <v>416</v>
      </c>
      <c r="M328" t="s">
        <v>143</v>
      </c>
      <c r="P328" t="s">
        <v>52</v>
      </c>
    </row>
    <row r="329" spans="1:16" x14ac:dyDescent="0.35">
      <c r="A329" t="s">
        <v>15</v>
      </c>
      <c r="B329">
        <v>4</v>
      </c>
      <c r="C329" t="s">
        <v>19</v>
      </c>
      <c r="D329" t="s">
        <v>30</v>
      </c>
      <c r="E329" t="s">
        <v>63</v>
      </c>
      <c r="F329" t="s">
        <v>83</v>
      </c>
      <c r="G329" t="s">
        <v>22</v>
      </c>
      <c r="H329" t="s">
        <v>494</v>
      </c>
      <c r="L329" t="s">
        <v>1094</v>
      </c>
      <c r="M329" t="s">
        <v>65</v>
      </c>
      <c r="P329" t="s">
        <v>308</v>
      </c>
    </row>
    <row r="330" spans="1:16" x14ac:dyDescent="0.35">
      <c r="A330" t="s">
        <v>15</v>
      </c>
      <c r="B330">
        <v>3</v>
      </c>
      <c r="C330" t="s">
        <v>24</v>
      </c>
      <c r="D330" t="s">
        <v>193</v>
      </c>
      <c r="E330" t="s">
        <v>219</v>
      </c>
      <c r="G330" t="s">
        <v>22</v>
      </c>
      <c r="H330" t="s">
        <v>489</v>
      </c>
      <c r="L330" t="s">
        <v>1095</v>
      </c>
      <c r="M330" t="s">
        <v>220</v>
      </c>
      <c r="P330" t="s">
        <v>221</v>
      </c>
    </row>
    <row r="331" spans="1:16" x14ac:dyDescent="0.35">
      <c r="A331" t="s">
        <v>15</v>
      </c>
      <c r="B331">
        <v>4</v>
      </c>
      <c r="C331" t="s">
        <v>19</v>
      </c>
      <c r="D331" t="s">
        <v>25</v>
      </c>
      <c r="E331" t="s">
        <v>56</v>
      </c>
      <c r="F331" t="s">
        <v>57</v>
      </c>
      <c r="G331" t="s">
        <v>27</v>
      </c>
      <c r="H331" t="s">
        <v>393</v>
      </c>
      <c r="M331" t="s">
        <v>58</v>
      </c>
      <c r="P331" t="s">
        <v>59</v>
      </c>
    </row>
    <row r="332" spans="1:16" x14ac:dyDescent="0.35">
      <c r="A332" t="s">
        <v>15</v>
      </c>
      <c r="B332">
        <v>4</v>
      </c>
      <c r="C332" t="s">
        <v>19</v>
      </c>
      <c r="D332" t="s">
        <v>25</v>
      </c>
      <c r="E332" t="s">
        <v>222</v>
      </c>
      <c r="F332" t="s">
        <v>223</v>
      </c>
      <c r="G332" t="s">
        <v>27</v>
      </c>
      <c r="H332" t="s">
        <v>477</v>
      </c>
      <c r="J332" t="s">
        <v>513</v>
      </c>
      <c r="L332" t="s">
        <v>1096</v>
      </c>
      <c r="M332" t="s">
        <v>224</v>
      </c>
      <c r="P332" t="s">
        <v>225</v>
      </c>
    </row>
    <row r="333" spans="1:16" x14ac:dyDescent="0.35">
      <c r="A333" t="s">
        <v>15</v>
      </c>
      <c r="B333">
        <v>4</v>
      </c>
      <c r="C333" t="s">
        <v>19</v>
      </c>
      <c r="D333" t="s">
        <v>30</v>
      </c>
      <c r="E333" t="s">
        <v>142</v>
      </c>
      <c r="F333" t="s">
        <v>50</v>
      </c>
      <c r="G333" t="s">
        <v>396</v>
      </c>
      <c r="H333" t="s">
        <v>748</v>
      </c>
      <c r="I333" t="s">
        <v>493</v>
      </c>
      <c r="J333" t="s">
        <v>416</v>
      </c>
      <c r="M333" t="s">
        <v>143</v>
      </c>
      <c r="P333" t="s">
        <v>52</v>
      </c>
    </row>
    <row r="334" spans="1:16" x14ac:dyDescent="0.35">
      <c r="A334" t="s">
        <v>15</v>
      </c>
      <c r="B334">
        <v>4</v>
      </c>
      <c r="C334" t="s">
        <v>19</v>
      </c>
      <c r="D334" t="s">
        <v>30</v>
      </c>
      <c r="E334" t="s">
        <v>226</v>
      </c>
      <c r="F334" t="s">
        <v>216</v>
      </c>
      <c r="G334" t="s">
        <v>22</v>
      </c>
      <c r="L334" t="s">
        <v>1097</v>
      </c>
      <c r="M334" t="s">
        <v>227</v>
      </c>
      <c r="P334" t="s">
        <v>218</v>
      </c>
    </row>
    <row r="335" spans="1:16" x14ac:dyDescent="0.35">
      <c r="A335" t="s">
        <v>15</v>
      </c>
      <c r="B335">
        <v>3</v>
      </c>
      <c r="C335" t="s">
        <v>24</v>
      </c>
      <c r="D335" t="s">
        <v>30</v>
      </c>
      <c r="E335" t="s">
        <v>720</v>
      </c>
      <c r="G335" t="s">
        <v>396</v>
      </c>
      <c r="I335" t="s">
        <v>721</v>
      </c>
      <c r="L335" t="s">
        <v>1190</v>
      </c>
      <c r="M335" t="s">
        <v>722</v>
      </c>
      <c r="P335" t="s">
        <v>723</v>
      </c>
    </row>
    <row r="336" spans="1:16" x14ac:dyDescent="0.35">
      <c r="A336" t="s">
        <v>15</v>
      </c>
      <c r="B336">
        <v>4</v>
      </c>
      <c r="C336" t="s">
        <v>19</v>
      </c>
      <c r="D336" t="s">
        <v>25</v>
      </c>
      <c r="E336" t="s">
        <v>724</v>
      </c>
      <c r="F336" t="s">
        <v>123</v>
      </c>
      <c r="G336" t="s">
        <v>27</v>
      </c>
      <c r="J336" t="s">
        <v>725</v>
      </c>
      <c r="L336" t="s">
        <v>1191</v>
      </c>
      <c r="M336" t="s">
        <v>726</v>
      </c>
      <c r="P336" t="s">
        <v>727</v>
      </c>
    </row>
    <row r="337" spans="1:16" x14ac:dyDescent="0.35">
      <c r="A337" t="s">
        <v>15</v>
      </c>
      <c r="B337">
        <v>4</v>
      </c>
      <c r="C337" t="s">
        <v>24</v>
      </c>
      <c r="D337" t="s">
        <v>193</v>
      </c>
      <c r="E337" t="s">
        <v>514</v>
      </c>
      <c r="G337" t="s">
        <v>396</v>
      </c>
      <c r="H337" t="s">
        <v>771</v>
      </c>
      <c r="I337" t="s">
        <v>728</v>
      </c>
      <c r="L337" t="s">
        <v>1098</v>
      </c>
      <c r="M337" t="s">
        <v>516</v>
      </c>
      <c r="P337" t="s">
        <v>729</v>
      </c>
    </row>
    <row r="338" spans="1:16" x14ac:dyDescent="0.35">
      <c r="A338" t="s">
        <v>15</v>
      </c>
      <c r="B338">
        <v>5</v>
      </c>
      <c r="C338" t="s">
        <v>19</v>
      </c>
      <c r="D338" t="s">
        <v>25</v>
      </c>
      <c r="E338" t="s">
        <v>56</v>
      </c>
      <c r="F338" t="s">
        <v>57</v>
      </c>
      <c r="G338" t="s">
        <v>27</v>
      </c>
      <c r="H338" t="s">
        <v>393</v>
      </c>
      <c r="M338" t="s">
        <v>58</v>
      </c>
      <c r="P338" t="s">
        <v>59</v>
      </c>
    </row>
    <row r="339" spans="1:16" x14ac:dyDescent="0.35">
      <c r="A339" t="s">
        <v>15</v>
      </c>
      <c r="B339">
        <v>5</v>
      </c>
      <c r="C339" t="s">
        <v>19</v>
      </c>
      <c r="D339" t="s">
        <v>25</v>
      </c>
      <c r="E339" t="s">
        <v>222</v>
      </c>
      <c r="F339" t="s">
        <v>518</v>
      </c>
      <c r="G339" t="s">
        <v>27</v>
      </c>
      <c r="J339" t="s">
        <v>519</v>
      </c>
      <c r="L339" t="s">
        <v>1099</v>
      </c>
      <c r="M339" t="s">
        <v>224</v>
      </c>
      <c r="P339" t="s">
        <v>520</v>
      </c>
    </row>
    <row r="340" spans="1:16" x14ac:dyDescent="0.35">
      <c r="A340" t="s">
        <v>15</v>
      </c>
      <c r="B340">
        <v>5</v>
      </c>
      <c r="C340" t="s">
        <v>19</v>
      </c>
      <c r="D340" t="s">
        <v>25</v>
      </c>
      <c r="E340" t="s">
        <v>524</v>
      </c>
      <c r="F340" t="s">
        <v>152</v>
      </c>
      <c r="G340" t="s">
        <v>27</v>
      </c>
      <c r="L340" t="s">
        <v>1100</v>
      </c>
      <c r="M340" t="s">
        <v>525</v>
      </c>
      <c r="P340" t="s">
        <v>154</v>
      </c>
    </row>
    <row r="341" spans="1:16" x14ac:dyDescent="0.35">
      <c r="A341" t="s">
        <v>15</v>
      </c>
      <c r="B341">
        <v>3</v>
      </c>
      <c r="C341" t="s">
        <v>24</v>
      </c>
      <c r="D341" t="s">
        <v>30</v>
      </c>
      <c r="E341" t="s">
        <v>730</v>
      </c>
      <c r="G341" t="s">
        <v>396</v>
      </c>
      <c r="H341" t="s">
        <v>772</v>
      </c>
      <c r="I341" t="s">
        <v>731</v>
      </c>
      <c r="L341" t="s">
        <v>1192</v>
      </c>
      <c r="M341" t="s">
        <v>732</v>
      </c>
      <c r="P341" t="s">
        <v>733</v>
      </c>
    </row>
    <row r="342" spans="1:16" x14ac:dyDescent="0.35">
      <c r="A342" t="s">
        <v>15</v>
      </c>
      <c r="B342">
        <v>4</v>
      </c>
      <c r="C342" t="s">
        <v>19</v>
      </c>
      <c r="D342" t="s">
        <v>25</v>
      </c>
      <c r="E342" t="s">
        <v>734</v>
      </c>
      <c r="F342" t="s">
        <v>735</v>
      </c>
      <c r="G342" t="s">
        <v>27</v>
      </c>
      <c r="H342" t="s">
        <v>736</v>
      </c>
      <c r="L342" t="s">
        <v>1193</v>
      </c>
      <c r="M342" t="s">
        <v>737</v>
      </c>
      <c r="P342" t="s">
        <v>738</v>
      </c>
    </row>
    <row r="343" spans="1:16" x14ac:dyDescent="0.35">
      <c r="A343" t="s">
        <v>15</v>
      </c>
      <c r="B343">
        <v>3</v>
      </c>
      <c r="C343" t="s">
        <v>24</v>
      </c>
      <c r="D343" t="s">
        <v>193</v>
      </c>
      <c r="E343" t="s">
        <v>528</v>
      </c>
      <c r="G343" t="s">
        <v>396</v>
      </c>
      <c r="H343" t="s">
        <v>773</v>
      </c>
      <c r="I343" t="s">
        <v>529</v>
      </c>
      <c r="L343" t="s">
        <v>1101</v>
      </c>
      <c r="M343" t="s">
        <v>530</v>
      </c>
      <c r="P343" t="s">
        <v>531</v>
      </c>
    </row>
    <row r="344" spans="1:16" x14ac:dyDescent="0.35">
      <c r="A344" t="s">
        <v>15</v>
      </c>
      <c r="B344">
        <v>4</v>
      </c>
      <c r="C344" t="s">
        <v>19</v>
      </c>
      <c r="D344" t="s">
        <v>25</v>
      </c>
      <c r="E344" t="s">
        <v>56</v>
      </c>
      <c r="F344" t="s">
        <v>57</v>
      </c>
      <c r="G344" t="s">
        <v>27</v>
      </c>
      <c r="H344" t="s">
        <v>393</v>
      </c>
      <c r="M344" t="s">
        <v>58</v>
      </c>
      <c r="P344" t="s">
        <v>59</v>
      </c>
    </row>
    <row r="345" spans="1:16" x14ac:dyDescent="0.35">
      <c r="A345" t="s">
        <v>15</v>
      </c>
      <c r="B345">
        <v>4</v>
      </c>
      <c r="C345" t="s">
        <v>19</v>
      </c>
      <c r="D345" t="s">
        <v>25</v>
      </c>
      <c r="E345" t="s">
        <v>197</v>
      </c>
      <c r="F345" t="s">
        <v>333</v>
      </c>
      <c r="G345" t="s">
        <v>27</v>
      </c>
      <c r="J345" t="s">
        <v>532</v>
      </c>
      <c r="L345" t="s">
        <v>1102</v>
      </c>
      <c r="M345" t="s">
        <v>199</v>
      </c>
      <c r="P345" t="s">
        <v>533</v>
      </c>
    </row>
    <row r="346" spans="1:16" x14ac:dyDescent="0.35">
      <c r="A346" t="s">
        <v>15</v>
      </c>
      <c r="B346">
        <v>4</v>
      </c>
      <c r="C346" t="s">
        <v>19</v>
      </c>
      <c r="D346" t="s">
        <v>25</v>
      </c>
      <c r="E346" t="s">
        <v>534</v>
      </c>
      <c r="F346" t="s">
        <v>103</v>
      </c>
      <c r="G346" t="s">
        <v>27</v>
      </c>
      <c r="L346" t="s">
        <v>1103</v>
      </c>
      <c r="M346" t="s">
        <v>535</v>
      </c>
      <c r="P346" t="s">
        <v>536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E255D-2FBF-416C-9062-96737F510069}">
  <sheetPr codeName="Ark1">
    <tabColor theme="5"/>
    <outlinePr summaryBelow="0" summaryRight="0"/>
  </sheetPr>
  <dimension ref="A1:Y461"/>
  <sheetViews>
    <sheetView tabSelected="1" zoomScaleNormal="100" workbookViewId="0">
      <pane xSplit="1" ySplit="1" topLeftCell="D2" activePane="bottomRight" state="frozen"/>
      <selection activeCell="D275" sqref="D275"/>
      <selection pane="topRight" activeCell="D275" sqref="D275"/>
      <selection pane="bottomLeft" activeCell="D275" sqref="D275"/>
      <selection pane="bottomRight" activeCell="D2" sqref="D2"/>
    </sheetView>
  </sheetViews>
  <sheetFormatPr defaultColWidth="11.54296875" defaultRowHeight="12" outlineLevelRow="7" x14ac:dyDescent="0.35"/>
  <cols>
    <col min="1" max="3" width="11.54296875" style="1" hidden="1" customWidth="1"/>
    <col min="4" max="11" width="6.54296875" style="1" customWidth="1"/>
    <col min="12" max="12" width="70.54296875" style="1" customWidth="1"/>
    <col min="13" max="18" width="8.54296875" style="1" customWidth="1"/>
    <col min="19" max="21" width="24.54296875" style="1" customWidth="1"/>
    <col min="22" max="22" width="24.54296875" style="1" hidden="1" customWidth="1"/>
    <col min="23" max="24" width="24.54296875" style="1" customWidth="1"/>
    <col min="25" max="25" width="11.54296875" style="1" customWidth="1"/>
    <col min="26" max="16384" width="11.54296875" style="1"/>
  </cols>
  <sheetData>
    <row r="1" spans="1:25" ht="12" customHeight="1" x14ac:dyDescent="0.35">
      <c r="A1" s="1" t="s">
        <v>0</v>
      </c>
      <c r="B1" s="1" t="s">
        <v>1</v>
      </c>
      <c r="C1" s="1" t="s">
        <v>2</v>
      </c>
      <c r="D1" s="1" t="s">
        <v>3</v>
      </c>
      <c r="E1" s="1" t="s">
        <v>382</v>
      </c>
      <c r="F1" s="1" t="s">
        <v>383</v>
      </c>
      <c r="G1" s="1" t="s">
        <v>384</v>
      </c>
      <c r="H1" s="1" t="s">
        <v>385</v>
      </c>
      <c r="I1" s="1" t="s">
        <v>386</v>
      </c>
      <c r="J1" s="1" t="s">
        <v>387</v>
      </c>
      <c r="K1" s="1" t="s">
        <v>388</v>
      </c>
      <c r="L1" s="1" t="s">
        <v>4</v>
      </c>
      <c r="M1" s="1" t="s">
        <v>5</v>
      </c>
      <c r="N1" s="1" t="s">
        <v>6</v>
      </c>
      <c r="O1" s="1" t="s">
        <v>7</v>
      </c>
      <c r="P1" s="1" t="s">
        <v>8</v>
      </c>
      <c r="Q1" s="1" t="s">
        <v>9</v>
      </c>
      <c r="R1" s="1" t="s">
        <v>10</v>
      </c>
      <c r="S1" s="1" t="s">
        <v>11</v>
      </c>
      <c r="T1" s="1" t="s">
        <v>12</v>
      </c>
      <c r="U1" s="1" t="s">
        <v>13</v>
      </c>
      <c r="W1" s="1" t="s">
        <v>14</v>
      </c>
      <c r="X1" s="1" t="s">
        <v>208</v>
      </c>
      <c r="Y1" s="1" t="s">
        <v>209</v>
      </c>
    </row>
    <row r="2" spans="1:25" ht="12" customHeight="1" x14ac:dyDescent="0.35">
      <c r="A2" s="2" t="str">
        <f t="shared" ref="A2:A61" si="0">$L$2</f>
        <v>CC413B</v>
      </c>
      <c r="B2" s="1">
        <v>0</v>
      </c>
      <c r="C2" s="2" t="s">
        <v>16</v>
      </c>
      <c r="D2" s="2"/>
      <c r="L2" s="2" t="s">
        <v>15</v>
      </c>
      <c r="O2" s="14"/>
      <c r="P2" s="14"/>
      <c r="Q2" s="14"/>
      <c r="T2" s="2" t="s">
        <v>17</v>
      </c>
      <c r="W2" s="2" t="s">
        <v>18</v>
      </c>
      <c r="X2" s="1" t="str">
        <f>IF($B2=0,$T2,_xlfn.TEXTBEFORE(X1,"/",$B2,,,X1)&amp;"/"&amp;$T2)&amp;IF(_xlfn.TEXTAFTER($E2,"..",,,,1)&lt;&gt;"1","[0]","")</f>
        <v>*</v>
      </c>
    </row>
    <row r="3" spans="1:25" ht="12" customHeight="1" outlineLevel="1" x14ac:dyDescent="0.35">
      <c r="A3" s="21" t="str">
        <f t="shared" si="0"/>
        <v>CC413B</v>
      </c>
      <c r="B3" s="22">
        <v>1</v>
      </c>
      <c r="C3" s="22" t="s">
        <v>24</v>
      </c>
      <c r="D3" s="22" t="s">
        <v>20</v>
      </c>
      <c r="E3" s="21" t="s">
        <v>20</v>
      </c>
      <c r="F3" s="21" t="s">
        <v>20</v>
      </c>
      <c r="G3" s="21" t="s">
        <v>20</v>
      </c>
      <c r="H3" s="21" t="s">
        <v>20</v>
      </c>
      <c r="I3" s="21" t="s">
        <v>20</v>
      </c>
      <c r="J3" s="21" t="s">
        <v>20</v>
      </c>
      <c r="K3" s="21" t="s">
        <v>20</v>
      </c>
      <c r="L3" s="24" t="s">
        <v>21</v>
      </c>
      <c r="M3" s="22"/>
      <c r="N3" s="21" t="s">
        <v>22</v>
      </c>
      <c r="O3" s="25"/>
      <c r="P3" s="25"/>
      <c r="Q3" s="25"/>
      <c r="R3" s="22"/>
      <c r="S3" s="22"/>
      <c r="T3" s="21" t="s">
        <v>21</v>
      </c>
      <c r="U3" s="22"/>
      <c r="V3" s="22"/>
      <c r="W3" s="21" t="s">
        <v>23</v>
      </c>
      <c r="X3" s="1" t="str">
        <f t="shared" ref="X3:X66" si="1">IF($B3=0,$T3,_xlfn.TEXTBEFORE(X2,"/",$B3,,,X2)&amp;"/"&amp;$T3)&amp;IF(_xlfn.TEXTAFTER($E3,"..",,,,1)&lt;&gt;"1","[0]","")</f>
        <v>*/Extensions[0]</v>
      </c>
    </row>
    <row r="4" spans="1:25" ht="12" customHeight="1" outlineLevel="2" x14ac:dyDescent="0.35">
      <c r="A4" s="2" t="str">
        <f t="shared" si="0"/>
        <v>CC413B</v>
      </c>
      <c r="B4" s="1">
        <v>2</v>
      </c>
      <c r="C4" s="1" t="s">
        <v>19</v>
      </c>
      <c r="D4" s="1" t="s">
        <v>25</v>
      </c>
      <c r="E4" s="2" t="s">
        <v>25</v>
      </c>
      <c r="F4" s="2" t="s">
        <v>25</v>
      </c>
      <c r="G4" s="2" t="s">
        <v>25</v>
      </c>
      <c r="H4" s="2" t="s">
        <v>25</v>
      </c>
      <c r="I4" s="2" t="s">
        <v>25</v>
      </c>
      <c r="J4" s="2" t="s">
        <v>25</v>
      </c>
      <c r="K4" s="2" t="s">
        <v>25</v>
      </c>
      <c r="L4" s="6" t="s">
        <v>774</v>
      </c>
      <c r="M4" s="1" t="s">
        <v>775</v>
      </c>
      <c r="N4" s="2" t="s">
        <v>27</v>
      </c>
      <c r="O4" s="14"/>
      <c r="P4" s="14"/>
      <c r="Q4" s="14"/>
      <c r="T4" s="2" t="s">
        <v>776</v>
      </c>
      <c r="W4" s="2"/>
      <c r="X4" s="1" t="str">
        <f t="shared" si="1"/>
        <v>*/Extensions[0]/SequenceNumeric</v>
      </c>
    </row>
    <row r="5" spans="1:25" ht="12" customHeight="1" outlineLevel="2" x14ac:dyDescent="0.35">
      <c r="A5" s="2" t="str">
        <f t="shared" si="0"/>
        <v>CC413B</v>
      </c>
      <c r="B5" s="1">
        <v>2</v>
      </c>
      <c r="C5" s="1" t="s">
        <v>19</v>
      </c>
      <c r="D5" s="1" t="s">
        <v>30</v>
      </c>
      <c r="E5" s="2" t="s">
        <v>30</v>
      </c>
      <c r="F5" s="2" t="s">
        <v>30</v>
      </c>
      <c r="G5" s="2" t="s">
        <v>30</v>
      </c>
      <c r="H5" s="2" t="s">
        <v>30</v>
      </c>
      <c r="I5" s="2" t="s">
        <v>30</v>
      </c>
      <c r="J5" s="2" t="s">
        <v>30</v>
      </c>
      <c r="K5" s="2" t="s">
        <v>30</v>
      </c>
      <c r="L5" s="6" t="s">
        <v>777</v>
      </c>
      <c r="M5" s="1" t="s">
        <v>778</v>
      </c>
      <c r="N5" s="2" t="s">
        <v>22</v>
      </c>
      <c r="O5" s="14"/>
      <c r="P5" s="14"/>
      <c r="Q5" s="14"/>
      <c r="T5" s="2" t="s">
        <v>779</v>
      </c>
      <c r="W5" s="2"/>
      <c r="X5" s="1" t="str">
        <f t="shared" si="1"/>
        <v>*/Extensions[0]/ID</v>
      </c>
    </row>
    <row r="6" spans="1:25" ht="12" customHeight="1" outlineLevel="2" x14ac:dyDescent="0.35">
      <c r="A6" s="2" t="str">
        <f t="shared" si="0"/>
        <v>CC413B</v>
      </c>
      <c r="B6" s="1">
        <v>2</v>
      </c>
      <c r="C6" s="1" t="s">
        <v>19</v>
      </c>
      <c r="D6" s="1" t="s">
        <v>25</v>
      </c>
      <c r="E6" s="2" t="s">
        <v>25</v>
      </c>
      <c r="F6" s="2" t="s">
        <v>25</v>
      </c>
      <c r="G6" s="2" t="s">
        <v>25</v>
      </c>
      <c r="H6" s="2" t="s">
        <v>25</v>
      </c>
      <c r="I6" s="2" t="s">
        <v>25</v>
      </c>
      <c r="J6" s="2" t="s">
        <v>25</v>
      </c>
      <c r="K6" s="2" t="s">
        <v>25</v>
      </c>
      <c r="L6" s="6" t="s">
        <v>780</v>
      </c>
      <c r="M6" s="1" t="s">
        <v>778</v>
      </c>
      <c r="N6" s="2" t="s">
        <v>27</v>
      </c>
      <c r="O6" s="14"/>
      <c r="P6" s="14"/>
      <c r="Q6" s="14"/>
      <c r="T6" s="2" t="s">
        <v>780</v>
      </c>
      <c r="W6" s="2"/>
      <c r="X6" s="1" t="str">
        <f t="shared" si="1"/>
        <v>*/Extensions[0]/Key</v>
      </c>
    </row>
    <row r="7" spans="1:25" ht="12" customHeight="1" outlineLevel="2" x14ac:dyDescent="0.35">
      <c r="A7" s="2" t="str">
        <f t="shared" si="0"/>
        <v>CC413B</v>
      </c>
      <c r="B7" s="1">
        <v>2</v>
      </c>
      <c r="C7" s="1" t="s">
        <v>19</v>
      </c>
      <c r="D7" s="1" t="s">
        <v>25</v>
      </c>
      <c r="E7" s="2" t="s">
        <v>25</v>
      </c>
      <c r="F7" s="2" t="s">
        <v>25</v>
      </c>
      <c r="G7" s="2" t="s">
        <v>25</v>
      </c>
      <c r="H7" s="2" t="s">
        <v>25</v>
      </c>
      <c r="I7" s="2" t="s">
        <v>25</v>
      </c>
      <c r="J7" s="2" t="s">
        <v>25</v>
      </c>
      <c r="K7" s="2" t="s">
        <v>25</v>
      </c>
      <c r="L7" s="6" t="s">
        <v>781</v>
      </c>
      <c r="M7" s="1" t="s">
        <v>778</v>
      </c>
      <c r="N7" s="2" t="s">
        <v>27</v>
      </c>
      <c r="O7" s="14"/>
      <c r="P7" s="14"/>
      <c r="Q7" s="14"/>
      <c r="T7" s="2" t="s">
        <v>781</v>
      </c>
      <c r="W7" s="2"/>
      <c r="X7" s="1" t="str">
        <f t="shared" si="1"/>
        <v>*/Extensions[0]/Value</v>
      </c>
    </row>
    <row r="8" spans="1:25" ht="12" customHeight="1" outlineLevel="2" x14ac:dyDescent="0.35">
      <c r="A8" s="2" t="str">
        <f t="shared" si="0"/>
        <v>CC413B</v>
      </c>
      <c r="B8" s="1">
        <v>2</v>
      </c>
      <c r="C8" s="1" t="s">
        <v>19</v>
      </c>
      <c r="D8" s="1" t="s">
        <v>25</v>
      </c>
      <c r="E8" s="2" t="s">
        <v>25</v>
      </c>
      <c r="F8" s="2" t="s">
        <v>25</v>
      </c>
      <c r="G8" s="2" t="s">
        <v>25</v>
      </c>
      <c r="H8" s="2" t="s">
        <v>25</v>
      </c>
      <c r="I8" s="2" t="s">
        <v>25</v>
      </c>
      <c r="J8" s="2" t="s">
        <v>25</v>
      </c>
      <c r="K8" s="2" t="s">
        <v>25</v>
      </c>
      <c r="L8" s="6" t="s">
        <v>782</v>
      </c>
      <c r="M8" s="14" t="s">
        <v>783</v>
      </c>
      <c r="N8" s="2" t="s">
        <v>27</v>
      </c>
      <c r="O8" s="14"/>
      <c r="P8" s="14"/>
      <c r="Q8" s="14"/>
      <c r="T8" s="2" t="s">
        <v>784</v>
      </c>
      <c r="W8" s="2"/>
      <c r="X8" s="1" t="str">
        <f t="shared" si="1"/>
        <v>*/Extensions[0]/DataType</v>
      </c>
    </row>
    <row r="9" spans="1:25" ht="12" customHeight="1" outlineLevel="2" x14ac:dyDescent="0.35">
      <c r="A9" s="21" t="str">
        <f t="shared" si="0"/>
        <v>CC413B</v>
      </c>
      <c r="B9" s="22">
        <v>2</v>
      </c>
      <c r="C9" s="22" t="s">
        <v>24</v>
      </c>
      <c r="D9" s="22" t="s">
        <v>20</v>
      </c>
      <c r="E9" s="21" t="s">
        <v>20</v>
      </c>
      <c r="F9" s="21" t="s">
        <v>20</v>
      </c>
      <c r="G9" s="21" t="s">
        <v>20</v>
      </c>
      <c r="H9" s="21" t="s">
        <v>20</v>
      </c>
      <c r="I9" s="21" t="s">
        <v>20</v>
      </c>
      <c r="J9" s="21" t="s">
        <v>20</v>
      </c>
      <c r="K9" s="21" t="s">
        <v>20</v>
      </c>
      <c r="L9" s="23" t="s">
        <v>21</v>
      </c>
      <c r="M9" s="22"/>
      <c r="N9" s="21" t="s">
        <v>22</v>
      </c>
      <c r="O9" s="25"/>
      <c r="P9" s="25"/>
      <c r="Q9" s="25"/>
      <c r="R9" s="22"/>
      <c r="S9" s="22"/>
      <c r="T9" s="21" t="s">
        <v>21</v>
      </c>
      <c r="U9" s="22"/>
      <c r="V9" s="22"/>
      <c r="W9" s="21" t="s">
        <v>785</v>
      </c>
      <c r="X9" s="1" t="str">
        <f t="shared" si="1"/>
        <v>*/Extensions[0]/Extensions[0]</v>
      </c>
    </row>
    <row r="10" spans="1:25" ht="12" customHeight="1" outlineLevel="1" x14ac:dyDescent="0.35">
      <c r="A10" s="3" t="str">
        <f t="shared" si="0"/>
        <v>CC413B</v>
      </c>
      <c r="B10" s="4">
        <v>1</v>
      </c>
      <c r="C10" s="3" t="s">
        <v>24</v>
      </c>
      <c r="D10" s="3" t="s">
        <v>25</v>
      </c>
      <c r="E10" s="3" t="s">
        <v>25</v>
      </c>
      <c r="F10" s="3" t="s">
        <v>25</v>
      </c>
      <c r="G10" s="3" t="s">
        <v>25</v>
      </c>
      <c r="H10" s="3" t="s">
        <v>25</v>
      </c>
      <c r="I10" s="3" t="s">
        <v>25</v>
      </c>
      <c r="J10" s="3" t="s">
        <v>25</v>
      </c>
      <c r="K10" s="3" t="s">
        <v>25</v>
      </c>
      <c r="L10" s="5" t="s">
        <v>26</v>
      </c>
      <c r="M10" s="4"/>
      <c r="N10" s="3" t="s">
        <v>27</v>
      </c>
      <c r="O10" s="16" t="s">
        <v>440</v>
      </c>
      <c r="P10" s="15"/>
      <c r="Q10" s="15"/>
      <c r="R10" s="4"/>
      <c r="S10" s="4"/>
      <c r="T10" s="3" t="s">
        <v>28</v>
      </c>
      <c r="U10" s="4"/>
      <c r="V10" s="4"/>
      <c r="W10" s="3" t="s">
        <v>29</v>
      </c>
      <c r="X10" s="1" t="str">
        <f t="shared" si="1"/>
        <v>*/ImportOperation</v>
      </c>
    </row>
    <row r="11" spans="1:25" ht="12" customHeight="1" outlineLevel="2" x14ac:dyDescent="0.35">
      <c r="A11" s="2" t="str">
        <f t="shared" si="0"/>
        <v>CC413B</v>
      </c>
      <c r="B11" s="1">
        <v>2</v>
      </c>
      <c r="C11" s="1" t="s">
        <v>19</v>
      </c>
      <c r="D11" s="1" t="s">
        <v>30</v>
      </c>
      <c r="E11" s="2" t="s">
        <v>30</v>
      </c>
      <c r="F11" s="2" t="s">
        <v>30</v>
      </c>
      <c r="G11" s="2" t="s">
        <v>30</v>
      </c>
      <c r="H11" s="2" t="s">
        <v>30</v>
      </c>
      <c r="I11" s="2" t="s">
        <v>30</v>
      </c>
      <c r="J11" s="2" t="s">
        <v>30</v>
      </c>
      <c r="K11" s="2" t="s">
        <v>30</v>
      </c>
      <c r="L11" s="6" t="s">
        <v>31</v>
      </c>
      <c r="M11" s="7" t="s">
        <v>32</v>
      </c>
      <c r="N11" s="2" t="s">
        <v>396</v>
      </c>
      <c r="O11" s="14"/>
      <c r="P11" s="7" t="s">
        <v>441</v>
      </c>
      <c r="Q11" s="14"/>
      <c r="S11" s="1" t="s">
        <v>1196</v>
      </c>
      <c r="T11" s="2" t="s">
        <v>33</v>
      </c>
      <c r="W11" s="2" t="s">
        <v>34</v>
      </c>
      <c r="X11" s="1" t="str">
        <f t="shared" si="1"/>
        <v>*/ImportOperation/LRN</v>
      </c>
    </row>
    <row r="12" spans="1:25" ht="12" customHeight="1" outlineLevel="2" x14ac:dyDescent="0.35">
      <c r="A12" s="2" t="str">
        <f t="shared" si="0"/>
        <v>CC413B</v>
      </c>
      <c r="B12" s="1">
        <v>2</v>
      </c>
      <c r="C12" s="1" t="s">
        <v>19</v>
      </c>
      <c r="D12" s="1" t="s">
        <v>30</v>
      </c>
      <c r="E12" s="2" t="s">
        <v>30</v>
      </c>
      <c r="F12" s="2" t="s">
        <v>30</v>
      </c>
      <c r="G12" s="2" t="s">
        <v>30</v>
      </c>
      <c r="H12" s="2" t="s">
        <v>30</v>
      </c>
      <c r="I12" s="2" t="s">
        <v>30</v>
      </c>
      <c r="J12" s="2" t="s">
        <v>30</v>
      </c>
      <c r="K12" s="2" t="s">
        <v>30</v>
      </c>
      <c r="L12" s="6" t="s">
        <v>35</v>
      </c>
      <c r="M12" s="7" t="s">
        <v>36</v>
      </c>
      <c r="N12" s="2" t="s">
        <v>396</v>
      </c>
      <c r="O12" s="14"/>
      <c r="P12" s="7" t="s">
        <v>441</v>
      </c>
      <c r="Q12" s="14"/>
      <c r="T12" s="2" t="s">
        <v>37</v>
      </c>
      <c r="W12" s="2" t="s">
        <v>38</v>
      </c>
      <c r="X12" s="1" t="str">
        <f t="shared" si="1"/>
        <v>*/ImportOperation/MRN</v>
      </c>
    </row>
    <row r="13" spans="1:25" ht="12" customHeight="1" outlineLevel="2" x14ac:dyDescent="0.35">
      <c r="A13" s="2" t="str">
        <f t="shared" si="0"/>
        <v>CC413B</v>
      </c>
      <c r="B13" s="1">
        <v>2</v>
      </c>
      <c r="C13" s="1" t="s">
        <v>19</v>
      </c>
      <c r="D13" s="1" t="s">
        <v>25</v>
      </c>
      <c r="E13" s="2" t="s">
        <v>25</v>
      </c>
      <c r="F13" s="2" t="s">
        <v>25</v>
      </c>
      <c r="G13" s="2" t="s">
        <v>25</v>
      </c>
      <c r="H13" s="2" t="s">
        <v>25</v>
      </c>
      <c r="I13" s="2" t="s">
        <v>25</v>
      </c>
      <c r="J13" s="2" t="s">
        <v>25</v>
      </c>
      <c r="K13" s="2" t="s">
        <v>25</v>
      </c>
      <c r="L13" s="6" t="s">
        <v>39</v>
      </c>
      <c r="M13" s="7" t="s">
        <v>40</v>
      </c>
      <c r="N13" s="2" t="s">
        <v>27</v>
      </c>
      <c r="O13" s="14"/>
      <c r="P13" s="14"/>
      <c r="Q13" s="7" t="s">
        <v>389</v>
      </c>
      <c r="S13" s="1" t="s">
        <v>1197</v>
      </c>
      <c r="T13" s="2" t="s">
        <v>41</v>
      </c>
      <c r="W13" s="2" t="s">
        <v>42</v>
      </c>
      <c r="X13" s="1" t="str">
        <f t="shared" si="1"/>
        <v>*/ImportOperation/declarationType</v>
      </c>
    </row>
    <row r="14" spans="1:25" ht="12" customHeight="1" outlineLevel="2" x14ac:dyDescent="0.35">
      <c r="A14" s="2" t="str">
        <f t="shared" si="0"/>
        <v>CC413B</v>
      </c>
      <c r="B14" s="1">
        <v>2</v>
      </c>
      <c r="C14" s="1" t="s">
        <v>19</v>
      </c>
      <c r="D14" s="1" t="s">
        <v>25</v>
      </c>
      <c r="E14" s="2" t="s">
        <v>25</v>
      </c>
      <c r="F14" s="2" t="s">
        <v>25</v>
      </c>
      <c r="G14" s="2" t="s">
        <v>25</v>
      </c>
      <c r="H14" s="2" t="s">
        <v>25</v>
      </c>
      <c r="I14" s="2" t="s">
        <v>25</v>
      </c>
      <c r="J14" s="2" t="s">
        <v>25</v>
      </c>
      <c r="K14" s="2" t="s">
        <v>25</v>
      </c>
      <c r="L14" s="6" t="s">
        <v>43</v>
      </c>
      <c r="M14" s="7" t="s">
        <v>44</v>
      </c>
      <c r="N14" s="2" t="s">
        <v>27</v>
      </c>
      <c r="O14" s="14"/>
      <c r="P14" s="14"/>
      <c r="Q14" s="7" t="s">
        <v>390</v>
      </c>
      <c r="S14" s="1" t="s">
        <v>1198</v>
      </c>
      <c r="T14" s="2" t="s">
        <v>45</v>
      </c>
      <c r="W14" s="2" t="s">
        <v>46</v>
      </c>
      <c r="X14" s="1" t="str">
        <f t="shared" si="1"/>
        <v>*/ImportOperation/additionalDeclarationType</v>
      </c>
    </row>
    <row r="15" spans="1:25" ht="12" customHeight="1" outlineLevel="2" x14ac:dyDescent="0.35">
      <c r="A15" s="2" t="str">
        <f t="shared" si="0"/>
        <v>CC413B</v>
      </c>
      <c r="B15" s="1">
        <v>2</v>
      </c>
      <c r="C15" s="1" t="s">
        <v>19</v>
      </c>
      <c r="D15" s="1" t="s">
        <v>25</v>
      </c>
      <c r="E15" s="2" t="s">
        <v>25</v>
      </c>
      <c r="F15" s="2" t="s">
        <v>25</v>
      </c>
      <c r="G15" s="2" t="s">
        <v>25</v>
      </c>
      <c r="H15" s="2" t="s">
        <v>25</v>
      </c>
      <c r="I15" s="2" t="s">
        <v>25</v>
      </c>
      <c r="J15" s="2" t="s">
        <v>25</v>
      </c>
      <c r="K15" s="2" t="s">
        <v>25</v>
      </c>
      <c r="L15" s="6" t="s">
        <v>49</v>
      </c>
      <c r="M15" s="7" t="s">
        <v>50</v>
      </c>
      <c r="N15" s="2" t="s">
        <v>27</v>
      </c>
      <c r="O15" s="14" t="s">
        <v>392</v>
      </c>
      <c r="P15" s="14"/>
      <c r="Q15" s="7" t="s">
        <v>391</v>
      </c>
      <c r="T15" s="2" t="s">
        <v>51</v>
      </c>
      <c r="W15" s="2" t="s">
        <v>52</v>
      </c>
      <c r="X15" s="1" t="str">
        <f t="shared" si="1"/>
        <v>*/ImportOperation/languageCode</v>
      </c>
    </row>
    <row r="16" spans="1:25" ht="12" customHeight="1" outlineLevel="1" x14ac:dyDescent="0.35">
      <c r="A16" s="3" t="str">
        <f t="shared" si="0"/>
        <v>CC413B</v>
      </c>
      <c r="B16" s="4">
        <v>1</v>
      </c>
      <c r="C16" s="3" t="s">
        <v>24</v>
      </c>
      <c r="D16" s="3" t="s">
        <v>53</v>
      </c>
      <c r="E16" s="3" t="s">
        <v>53</v>
      </c>
      <c r="F16" s="3" t="s">
        <v>53</v>
      </c>
      <c r="G16" s="3" t="s">
        <v>53</v>
      </c>
      <c r="H16" s="3" t="s">
        <v>53</v>
      </c>
      <c r="I16" s="3" t="s">
        <v>53</v>
      </c>
      <c r="J16" s="3" t="s">
        <v>53</v>
      </c>
      <c r="K16" s="3" t="s">
        <v>53</v>
      </c>
      <c r="L16" s="5" t="s">
        <v>54</v>
      </c>
      <c r="M16" s="4"/>
      <c r="N16" s="3" t="s">
        <v>22</v>
      </c>
      <c r="O16" s="16" t="s">
        <v>442</v>
      </c>
      <c r="P16" s="15"/>
      <c r="Q16" s="15"/>
      <c r="R16" s="4"/>
      <c r="S16" s="4" t="s">
        <v>991</v>
      </c>
      <c r="T16" s="3" t="s">
        <v>54</v>
      </c>
      <c r="U16" s="4"/>
      <c r="V16" s="4"/>
      <c r="W16" s="3" t="s">
        <v>55</v>
      </c>
      <c r="X16" s="1" t="str">
        <f t="shared" si="1"/>
        <v>*/Authorisation[0]</v>
      </c>
    </row>
    <row r="17" spans="1:24" ht="12" customHeight="1" outlineLevel="2" x14ac:dyDescent="0.35">
      <c r="A17" s="2" t="str">
        <f t="shared" si="0"/>
        <v>CC413B</v>
      </c>
      <c r="B17" s="1">
        <v>2</v>
      </c>
      <c r="C17" s="1" t="s">
        <v>19</v>
      </c>
      <c r="D17" s="1" t="s">
        <v>25</v>
      </c>
      <c r="E17" s="2" t="s">
        <v>25</v>
      </c>
      <c r="F17" s="2" t="s">
        <v>25</v>
      </c>
      <c r="G17" s="2" t="s">
        <v>25</v>
      </c>
      <c r="H17" s="2" t="s">
        <v>25</v>
      </c>
      <c r="I17" s="2" t="s">
        <v>25</v>
      </c>
      <c r="J17" s="2" t="s">
        <v>25</v>
      </c>
      <c r="K17" s="2" t="s">
        <v>25</v>
      </c>
      <c r="L17" s="6" t="s">
        <v>56</v>
      </c>
      <c r="M17" s="7" t="s">
        <v>57</v>
      </c>
      <c r="N17" s="2" t="s">
        <v>27</v>
      </c>
      <c r="O17" s="7" t="s">
        <v>393</v>
      </c>
      <c r="P17" s="14"/>
      <c r="Q17" s="14"/>
      <c r="T17" s="2" t="s">
        <v>58</v>
      </c>
      <c r="W17" s="2" t="s">
        <v>59</v>
      </c>
      <c r="X17" s="1" t="str">
        <f t="shared" si="1"/>
        <v>*/Authorisation[0]/sequenceNumber</v>
      </c>
    </row>
    <row r="18" spans="1:24" ht="12" customHeight="1" outlineLevel="2" x14ac:dyDescent="0.35">
      <c r="A18" s="2" t="str">
        <f t="shared" si="0"/>
        <v>CC413B</v>
      </c>
      <c r="B18" s="1">
        <v>2</v>
      </c>
      <c r="C18" s="1" t="s">
        <v>19</v>
      </c>
      <c r="D18" s="1" t="s">
        <v>30</v>
      </c>
      <c r="E18" s="2" t="s">
        <v>30</v>
      </c>
      <c r="F18" s="2" t="s">
        <v>30</v>
      </c>
      <c r="G18" s="2" t="s">
        <v>30</v>
      </c>
      <c r="H18" s="2" t="s">
        <v>30</v>
      </c>
      <c r="I18" s="2" t="s">
        <v>30</v>
      </c>
      <c r="J18" s="2" t="s">
        <v>30</v>
      </c>
      <c r="K18" s="2" t="s">
        <v>30</v>
      </c>
      <c r="L18" s="6" t="s">
        <v>2</v>
      </c>
      <c r="M18" s="7" t="s">
        <v>60</v>
      </c>
      <c r="N18" s="2" t="s">
        <v>396</v>
      </c>
      <c r="O18" s="14"/>
      <c r="P18" s="7" t="s">
        <v>395</v>
      </c>
      <c r="Q18" s="7" t="s">
        <v>394</v>
      </c>
      <c r="S18" s="1" t="s">
        <v>992</v>
      </c>
      <c r="T18" s="2" t="s">
        <v>61</v>
      </c>
      <c r="W18" s="2" t="s">
        <v>62</v>
      </c>
      <c r="X18" s="1" t="str">
        <f t="shared" si="1"/>
        <v>*/Authorisation[0]/type</v>
      </c>
    </row>
    <row r="19" spans="1:24" ht="12" customHeight="1" outlineLevel="2" x14ac:dyDescent="0.35">
      <c r="A19" s="2" t="str">
        <f t="shared" si="0"/>
        <v>CC413B</v>
      </c>
      <c r="B19" s="1">
        <v>2</v>
      </c>
      <c r="C19" s="1" t="s">
        <v>19</v>
      </c>
      <c r="D19" s="1" t="s">
        <v>25</v>
      </c>
      <c r="E19" s="2" t="s">
        <v>25</v>
      </c>
      <c r="F19" s="2" t="s">
        <v>25</v>
      </c>
      <c r="G19" s="2" t="s">
        <v>25</v>
      </c>
      <c r="H19" s="2" t="s">
        <v>25</v>
      </c>
      <c r="I19" s="2" t="s">
        <v>25</v>
      </c>
      <c r="J19" s="2" t="s">
        <v>25</v>
      </c>
      <c r="K19" s="2" t="s">
        <v>25</v>
      </c>
      <c r="L19" s="6" t="s">
        <v>63</v>
      </c>
      <c r="M19" s="7" t="s">
        <v>834</v>
      </c>
      <c r="N19" s="2" t="s">
        <v>27</v>
      </c>
      <c r="O19" s="14"/>
      <c r="P19" s="14"/>
      <c r="Q19" s="14"/>
      <c r="S19" s="1" t="s">
        <v>993</v>
      </c>
      <c r="T19" s="2" t="s">
        <v>65</v>
      </c>
      <c r="W19" s="2" t="s">
        <v>66</v>
      </c>
      <c r="X19" s="1" t="str">
        <f t="shared" si="1"/>
        <v>*/Authorisation[0]/referenceNumber</v>
      </c>
    </row>
    <row r="20" spans="1:24" ht="12" customHeight="1" outlineLevel="2" x14ac:dyDescent="0.35">
      <c r="A20" s="2" t="str">
        <f t="shared" si="0"/>
        <v>CC413B</v>
      </c>
      <c r="B20" s="1">
        <v>2</v>
      </c>
      <c r="C20" s="1" t="s">
        <v>19</v>
      </c>
      <c r="D20" s="1" t="s">
        <v>30</v>
      </c>
      <c r="E20" s="2" t="s">
        <v>30</v>
      </c>
      <c r="F20" s="2" t="s">
        <v>30</v>
      </c>
      <c r="G20" s="2" t="s">
        <v>30</v>
      </c>
      <c r="H20" s="2" t="s">
        <v>30</v>
      </c>
      <c r="I20" s="2" t="s">
        <v>30</v>
      </c>
      <c r="J20" s="2" t="s">
        <v>30</v>
      </c>
      <c r="K20" s="2" t="s">
        <v>30</v>
      </c>
      <c r="L20" s="6" t="s">
        <v>67</v>
      </c>
      <c r="M20" s="7" t="s">
        <v>68</v>
      </c>
      <c r="N20" s="2" t="s">
        <v>396</v>
      </c>
      <c r="O20" s="7" t="s">
        <v>397</v>
      </c>
      <c r="P20" s="7" t="s">
        <v>398</v>
      </c>
      <c r="Q20" s="14"/>
      <c r="S20" s="1" t="s">
        <v>994</v>
      </c>
      <c r="T20" s="2" t="s">
        <v>69</v>
      </c>
      <c r="W20" s="2" t="s">
        <v>70</v>
      </c>
      <c r="X20" s="1" t="str">
        <f t="shared" si="1"/>
        <v>*/Authorisation[0]/holderOfTheAuthorisation</v>
      </c>
    </row>
    <row r="21" spans="1:24" ht="12" customHeight="1" outlineLevel="1" x14ac:dyDescent="0.35">
      <c r="A21" s="3" t="str">
        <f t="shared" si="0"/>
        <v>CC413B</v>
      </c>
      <c r="B21" s="4">
        <v>1</v>
      </c>
      <c r="C21" s="3" t="s">
        <v>24</v>
      </c>
      <c r="D21" s="3" t="s">
        <v>25</v>
      </c>
      <c r="E21" s="3" t="s">
        <v>25</v>
      </c>
      <c r="F21" s="3" t="s">
        <v>25</v>
      </c>
      <c r="G21" s="3" t="s">
        <v>25</v>
      </c>
      <c r="H21" s="3" t="s">
        <v>25</v>
      </c>
      <c r="I21" s="3" t="s">
        <v>25</v>
      </c>
      <c r="J21" s="3" t="s">
        <v>25</v>
      </c>
      <c r="K21" s="3" t="s">
        <v>25</v>
      </c>
      <c r="L21" s="5" t="s">
        <v>71</v>
      </c>
      <c r="M21" s="4"/>
      <c r="N21" s="3" t="s">
        <v>27</v>
      </c>
      <c r="O21" s="16" t="s">
        <v>440</v>
      </c>
      <c r="P21" s="15"/>
      <c r="Q21" s="15"/>
      <c r="R21" s="4"/>
      <c r="S21" s="4" t="s">
        <v>995</v>
      </c>
      <c r="T21" s="3" t="s">
        <v>72</v>
      </c>
      <c r="U21" s="4"/>
      <c r="V21" s="4"/>
      <c r="W21" s="3" t="s">
        <v>73</v>
      </c>
      <c r="X21" s="1" t="str">
        <f t="shared" si="1"/>
        <v>*/CustomsOfficeOfPresentation</v>
      </c>
    </row>
    <row r="22" spans="1:24" ht="12" customHeight="1" outlineLevel="2" x14ac:dyDescent="0.35">
      <c r="A22" s="2" t="str">
        <f t="shared" si="0"/>
        <v>CC413B</v>
      </c>
      <c r="B22" s="1">
        <v>2</v>
      </c>
      <c r="C22" s="1" t="s">
        <v>19</v>
      </c>
      <c r="D22" s="1" t="s">
        <v>25</v>
      </c>
      <c r="E22" s="2" t="s">
        <v>25</v>
      </c>
      <c r="F22" s="2" t="s">
        <v>25</v>
      </c>
      <c r="G22" s="2" t="s">
        <v>25</v>
      </c>
      <c r="H22" s="2" t="s">
        <v>25</v>
      </c>
      <c r="I22" s="2" t="s">
        <v>25</v>
      </c>
      <c r="J22" s="2" t="s">
        <v>25</v>
      </c>
      <c r="K22" s="2" t="s">
        <v>25</v>
      </c>
      <c r="L22" s="6" t="s">
        <v>63</v>
      </c>
      <c r="M22" s="7" t="s">
        <v>74</v>
      </c>
      <c r="N22" s="2" t="s">
        <v>27</v>
      </c>
      <c r="O22" s="14"/>
      <c r="P22" s="14"/>
      <c r="Q22" s="7" t="s">
        <v>399</v>
      </c>
      <c r="S22" s="1" t="s">
        <v>996</v>
      </c>
      <c r="T22" s="2" t="s">
        <v>65</v>
      </c>
      <c r="W22" s="2" t="s">
        <v>75</v>
      </c>
      <c r="X22" s="1" t="str">
        <f t="shared" si="1"/>
        <v>*/CustomsOfficeOfPresentation/referenceNumber</v>
      </c>
    </row>
    <row r="23" spans="1:24" ht="12" customHeight="1" outlineLevel="1" x14ac:dyDescent="0.35">
      <c r="A23" s="3" t="str">
        <f t="shared" si="0"/>
        <v>CC413B</v>
      </c>
      <c r="B23" s="4">
        <v>1</v>
      </c>
      <c r="C23" s="3" t="s">
        <v>24</v>
      </c>
      <c r="D23" s="3" t="s">
        <v>30</v>
      </c>
      <c r="E23" s="3" t="s">
        <v>30</v>
      </c>
      <c r="F23" s="3" t="s">
        <v>30</v>
      </c>
      <c r="G23" s="3" t="s">
        <v>30</v>
      </c>
      <c r="H23" s="3" t="s">
        <v>30</v>
      </c>
      <c r="I23" s="3"/>
      <c r="J23" s="3" t="s">
        <v>30</v>
      </c>
      <c r="K23" s="3"/>
      <c r="L23" s="5" t="s">
        <v>76</v>
      </c>
      <c r="M23" s="4"/>
      <c r="N23" s="3" t="s">
        <v>22</v>
      </c>
      <c r="O23" s="16" t="s">
        <v>400</v>
      </c>
      <c r="P23" s="15"/>
      <c r="Q23" s="15"/>
      <c r="R23" s="4"/>
      <c r="S23" s="4" t="s">
        <v>997</v>
      </c>
      <c r="T23" s="3" t="s">
        <v>77</v>
      </c>
      <c r="U23" s="4"/>
      <c r="V23" s="4"/>
      <c r="W23" s="3" t="s">
        <v>78</v>
      </c>
      <c r="X23" s="1" t="str">
        <f t="shared" si="1"/>
        <v>*/SupervisingCustomsOffice</v>
      </c>
    </row>
    <row r="24" spans="1:24" ht="12" customHeight="1" outlineLevel="2" x14ac:dyDescent="0.35">
      <c r="A24" s="2" t="str">
        <f t="shared" si="0"/>
        <v>CC413B</v>
      </c>
      <c r="B24" s="1">
        <v>2</v>
      </c>
      <c r="C24" s="1" t="s">
        <v>19</v>
      </c>
      <c r="D24" s="1" t="s">
        <v>25</v>
      </c>
      <c r="E24" s="2" t="s">
        <v>25</v>
      </c>
      <c r="F24" s="2" t="s">
        <v>25</v>
      </c>
      <c r="G24" s="2" t="s">
        <v>25</v>
      </c>
      <c r="H24" s="2" t="s">
        <v>25</v>
      </c>
      <c r="I24" s="2"/>
      <c r="J24" s="2" t="s">
        <v>25</v>
      </c>
      <c r="K24" s="2"/>
      <c r="L24" s="6" t="s">
        <v>63</v>
      </c>
      <c r="M24" s="7" t="s">
        <v>74</v>
      </c>
      <c r="N24" s="2" t="s">
        <v>27</v>
      </c>
      <c r="O24" s="14"/>
      <c r="P24" s="14"/>
      <c r="Q24" s="7" t="s">
        <v>399</v>
      </c>
      <c r="S24" s="1" t="s">
        <v>998</v>
      </c>
      <c r="T24" s="2" t="s">
        <v>65</v>
      </c>
      <c r="W24" s="2" t="s">
        <v>75</v>
      </c>
      <c r="X24" s="1" t="str">
        <f t="shared" si="1"/>
        <v>*/SupervisingCustomsOffice/referenceNumber</v>
      </c>
    </row>
    <row r="25" spans="1:24" ht="12" customHeight="1" outlineLevel="1" x14ac:dyDescent="0.35">
      <c r="A25" s="3" t="str">
        <f t="shared" si="0"/>
        <v>CC413B</v>
      </c>
      <c r="B25" s="4">
        <v>1</v>
      </c>
      <c r="C25" s="3" t="s">
        <v>24</v>
      </c>
      <c r="D25" s="3" t="s">
        <v>25</v>
      </c>
      <c r="E25" s="3" t="s">
        <v>25</v>
      </c>
      <c r="F25" s="3" t="s">
        <v>25</v>
      </c>
      <c r="G25" s="3" t="s">
        <v>25</v>
      </c>
      <c r="H25" s="3" t="s">
        <v>25</v>
      </c>
      <c r="I25" s="3" t="s">
        <v>25</v>
      </c>
      <c r="J25" s="3" t="s">
        <v>25</v>
      </c>
      <c r="K25" s="3" t="s">
        <v>25</v>
      </c>
      <c r="L25" s="5" t="s">
        <v>79</v>
      </c>
      <c r="M25" s="4"/>
      <c r="N25" s="3" t="s">
        <v>27</v>
      </c>
      <c r="O25" s="15"/>
      <c r="P25" s="15"/>
      <c r="Q25" s="15"/>
      <c r="R25" s="4"/>
      <c r="S25" s="4" t="s">
        <v>999</v>
      </c>
      <c r="T25" s="3" t="s">
        <v>79</v>
      </c>
      <c r="U25" s="4"/>
      <c r="V25" s="4"/>
      <c r="W25" s="3" t="s">
        <v>80</v>
      </c>
      <c r="X25" s="1" t="str">
        <f t="shared" si="1"/>
        <v>*/Importer</v>
      </c>
    </row>
    <row r="26" spans="1:24" ht="12" customHeight="1" outlineLevel="2" x14ac:dyDescent="0.35">
      <c r="A26" s="2" t="str">
        <f t="shared" si="0"/>
        <v>CC413B</v>
      </c>
      <c r="B26" s="1">
        <v>2</v>
      </c>
      <c r="C26" s="1" t="s">
        <v>19</v>
      </c>
      <c r="D26" s="1" t="s">
        <v>30</v>
      </c>
      <c r="E26" s="2" t="s">
        <v>30</v>
      </c>
      <c r="F26" s="2" t="s">
        <v>30</v>
      </c>
      <c r="G26" s="2" t="s">
        <v>30</v>
      </c>
      <c r="H26" s="2" t="s">
        <v>30</v>
      </c>
      <c r="I26" s="2" t="s">
        <v>30</v>
      </c>
      <c r="J26" s="2" t="s">
        <v>30</v>
      </c>
      <c r="K26" s="2" t="s">
        <v>30</v>
      </c>
      <c r="L26" s="6" t="s">
        <v>81</v>
      </c>
      <c r="M26" s="7" t="s">
        <v>68</v>
      </c>
      <c r="N26" s="2" t="s">
        <v>22</v>
      </c>
      <c r="O26" s="7" t="s">
        <v>397</v>
      </c>
      <c r="P26" s="14"/>
      <c r="Q26" s="14"/>
      <c r="S26" s="1" t="s">
        <v>1000</v>
      </c>
      <c r="T26" s="2" t="s">
        <v>82</v>
      </c>
      <c r="W26" s="2" t="s">
        <v>70</v>
      </c>
      <c r="X26" s="1" t="str">
        <f t="shared" si="1"/>
        <v>*/Importer/identificationNumber</v>
      </c>
    </row>
    <row r="27" spans="1:24" ht="12" customHeight="1" outlineLevel="2" x14ac:dyDescent="0.35">
      <c r="A27" s="2" t="str">
        <f t="shared" si="0"/>
        <v>CC413B</v>
      </c>
      <c r="B27" s="1">
        <v>2</v>
      </c>
      <c r="C27" s="1" t="s">
        <v>19</v>
      </c>
      <c r="D27" s="1" t="s">
        <v>30</v>
      </c>
      <c r="E27" s="2" t="s">
        <v>30</v>
      </c>
      <c r="F27" s="2" t="s">
        <v>30</v>
      </c>
      <c r="G27" s="2" t="s">
        <v>30</v>
      </c>
      <c r="H27" s="2" t="s">
        <v>30</v>
      </c>
      <c r="I27" s="2" t="s">
        <v>30</v>
      </c>
      <c r="J27" s="2" t="s">
        <v>30</v>
      </c>
      <c r="K27" s="2" t="s">
        <v>30</v>
      </c>
      <c r="L27" s="6" t="s">
        <v>4</v>
      </c>
      <c r="M27" s="7" t="s">
        <v>83</v>
      </c>
      <c r="N27" s="2" t="s">
        <v>396</v>
      </c>
      <c r="O27" s="14"/>
      <c r="P27" s="7" t="s">
        <v>401</v>
      </c>
      <c r="Q27" s="14"/>
      <c r="S27" s="1" t="s">
        <v>1001</v>
      </c>
      <c r="T27" s="2" t="s">
        <v>84</v>
      </c>
      <c r="W27" s="2" t="s">
        <v>85</v>
      </c>
      <c r="X27" s="1" t="str">
        <f t="shared" si="1"/>
        <v>*/Importer/name</v>
      </c>
    </row>
    <row r="28" spans="1:24" ht="12" customHeight="1" outlineLevel="2" x14ac:dyDescent="0.35">
      <c r="A28" s="3" t="str">
        <f t="shared" si="0"/>
        <v>CC413B</v>
      </c>
      <c r="B28" s="4">
        <v>2</v>
      </c>
      <c r="C28" s="3" t="s">
        <v>24</v>
      </c>
      <c r="D28" s="3" t="s">
        <v>30</v>
      </c>
      <c r="E28" s="3" t="s">
        <v>30</v>
      </c>
      <c r="F28" s="3" t="s">
        <v>30</v>
      </c>
      <c r="G28" s="3" t="s">
        <v>30</v>
      </c>
      <c r="H28" s="3" t="s">
        <v>30</v>
      </c>
      <c r="I28" s="3" t="s">
        <v>30</v>
      </c>
      <c r="J28" s="3" t="s">
        <v>30</v>
      </c>
      <c r="K28" s="3" t="s">
        <v>30</v>
      </c>
      <c r="L28" s="8" t="s">
        <v>86</v>
      </c>
      <c r="M28" s="4"/>
      <c r="N28" s="3" t="s">
        <v>396</v>
      </c>
      <c r="O28" s="15"/>
      <c r="P28" s="16" t="s">
        <v>401</v>
      </c>
      <c r="Q28" s="15"/>
      <c r="R28" s="4"/>
      <c r="S28" s="4" t="s">
        <v>1002</v>
      </c>
      <c r="T28" s="3" t="s">
        <v>86</v>
      </c>
      <c r="U28" s="4"/>
      <c r="V28" s="4"/>
      <c r="W28" s="3" t="s">
        <v>87</v>
      </c>
      <c r="X28" s="1" t="str">
        <f t="shared" si="1"/>
        <v>*/Importer/Address</v>
      </c>
    </row>
    <row r="29" spans="1:24" ht="12" customHeight="1" outlineLevel="3" x14ac:dyDescent="0.35">
      <c r="A29" s="2" t="str">
        <f t="shared" si="0"/>
        <v>CC413B</v>
      </c>
      <c r="B29" s="1">
        <v>3</v>
      </c>
      <c r="C29" s="1" t="s">
        <v>19</v>
      </c>
      <c r="D29" s="1" t="s">
        <v>25</v>
      </c>
      <c r="E29" s="2" t="s">
        <v>25</v>
      </c>
      <c r="F29" s="2" t="s">
        <v>25</v>
      </c>
      <c r="G29" s="2" t="s">
        <v>25</v>
      </c>
      <c r="H29" s="2" t="s">
        <v>25</v>
      </c>
      <c r="I29" s="2" t="s">
        <v>25</v>
      </c>
      <c r="J29" s="2" t="s">
        <v>25</v>
      </c>
      <c r="K29" s="2" t="s">
        <v>25</v>
      </c>
      <c r="L29" s="9" t="s">
        <v>88</v>
      </c>
      <c r="M29" s="7" t="s">
        <v>83</v>
      </c>
      <c r="N29" s="2" t="s">
        <v>27</v>
      </c>
      <c r="O29" s="14"/>
      <c r="P29" s="14"/>
      <c r="Q29" s="14"/>
      <c r="S29" s="1" t="s">
        <v>1003</v>
      </c>
      <c r="T29" s="2" t="s">
        <v>89</v>
      </c>
      <c r="W29" s="2" t="s">
        <v>90</v>
      </c>
      <c r="X29" s="1" t="str">
        <f t="shared" si="1"/>
        <v>*/Importer/Address/streetAndNumber</v>
      </c>
    </row>
    <row r="30" spans="1:24" ht="12" customHeight="1" outlineLevel="3" x14ac:dyDescent="0.35">
      <c r="A30" s="2" t="str">
        <f t="shared" si="0"/>
        <v>CC413B</v>
      </c>
      <c r="B30" s="1">
        <v>3</v>
      </c>
      <c r="C30" s="1" t="s">
        <v>19</v>
      </c>
      <c r="D30" s="1" t="s">
        <v>30</v>
      </c>
      <c r="E30" s="2" t="s">
        <v>30</v>
      </c>
      <c r="F30" s="2" t="s">
        <v>30</v>
      </c>
      <c r="G30" s="2" t="s">
        <v>30</v>
      </c>
      <c r="H30" s="2" t="s">
        <v>30</v>
      </c>
      <c r="I30" s="2" t="s">
        <v>30</v>
      </c>
      <c r="J30" s="2" t="s">
        <v>30</v>
      </c>
      <c r="K30" s="2" t="s">
        <v>30</v>
      </c>
      <c r="L30" s="9" t="s">
        <v>91</v>
      </c>
      <c r="M30" s="7" t="s">
        <v>92</v>
      </c>
      <c r="N30" s="2" t="s">
        <v>396</v>
      </c>
      <c r="O30" s="14"/>
      <c r="P30" s="7" t="s">
        <v>402</v>
      </c>
      <c r="Q30" s="14"/>
      <c r="S30" s="1" t="s">
        <v>1004</v>
      </c>
      <c r="T30" s="2" t="s">
        <v>93</v>
      </c>
      <c r="W30" s="2" t="s">
        <v>94</v>
      </c>
      <c r="X30" s="1" t="str">
        <f t="shared" si="1"/>
        <v>*/Importer/Address/postcode</v>
      </c>
    </row>
    <row r="31" spans="1:24" ht="12" customHeight="1" outlineLevel="3" x14ac:dyDescent="0.35">
      <c r="A31" s="2" t="str">
        <f t="shared" si="0"/>
        <v>CC413B</v>
      </c>
      <c r="B31" s="1">
        <v>3</v>
      </c>
      <c r="C31" s="1" t="s">
        <v>19</v>
      </c>
      <c r="D31" s="1" t="s">
        <v>25</v>
      </c>
      <c r="E31" s="2" t="s">
        <v>25</v>
      </c>
      <c r="F31" s="2" t="s">
        <v>25</v>
      </c>
      <c r="G31" s="2" t="s">
        <v>25</v>
      </c>
      <c r="H31" s="2" t="s">
        <v>25</v>
      </c>
      <c r="I31" s="2" t="s">
        <v>25</v>
      </c>
      <c r="J31" s="2" t="s">
        <v>25</v>
      </c>
      <c r="K31" s="2" t="s">
        <v>25</v>
      </c>
      <c r="L31" s="9" t="s">
        <v>95</v>
      </c>
      <c r="M31" s="7" t="s">
        <v>96</v>
      </c>
      <c r="N31" s="2" t="s">
        <v>27</v>
      </c>
      <c r="O31" s="14"/>
      <c r="P31" s="14"/>
      <c r="Q31" s="14"/>
      <c r="S31" s="1" t="s">
        <v>1005</v>
      </c>
      <c r="T31" s="2" t="s">
        <v>97</v>
      </c>
      <c r="W31" s="2" t="s">
        <v>98</v>
      </c>
      <c r="X31" s="1" t="str">
        <f t="shared" si="1"/>
        <v>*/Importer/Address/city</v>
      </c>
    </row>
    <row r="32" spans="1:24" ht="12" customHeight="1" outlineLevel="3" x14ac:dyDescent="0.35">
      <c r="A32" s="2" t="str">
        <f t="shared" si="0"/>
        <v>CC413B</v>
      </c>
      <c r="B32" s="1">
        <v>3</v>
      </c>
      <c r="C32" s="1" t="s">
        <v>19</v>
      </c>
      <c r="D32" s="1" t="s">
        <v>25</v>
      </c>
      <c r="E32" s="2" t="s">
        <v>25</v>
      </c>
      <c r="F32" s="2" t="s">
        <v>25</v>
      </c>
      <c r="G32" s="2" t="s">
        <v>25</v>
      </c>
      <c r="H32" s="2" t="s">
        <v>25</v>
      </c>
      <c r="I32" s="2" t="s">
        <v>25</v>
      </c>
      <c r="J32" s="2" t="s">
        <v>25</v>
      </c>
      <c r="K32" s="2" t="s">
        <v>25</v>
      </c>
      <c r="L32" s="9" t="s">
        <v>99</v>
      </c>
      <c r="M32" s="7" t="s">
        <v>50</v>
      </c>
      <c r="N32" s="2" t="s">
        <v>27</v>
      </c>
      <c r="O32" s="14"/>
      <c r="P32" s="14"/>
      <c r="Q32" s="7" t="s">
        <v>403</v>
      </c>
      <c r="S32" s="1" t="s">
        <v>1006</v>
      </c>
      <c r="T32" s="2" t="s">
        <v>100</v>
      </c>
      <c r="W32" s="2" t="s">
        <v>52</v>
      </c>
      <c r="X32" s="1" t="str">
        <f t="shared" si="1"/>
        <v>*/Importer/Address/country</v>
      </c>
    </row>
    <row r="33" spans="1:24" ht="12" customHeight="1" outlineLevel="1" x14ac:dyDescent="0.35">
      <c r="A33" s="3" t="str">
        <f t="shared" si="0"/>
        <v>CC413B</v>
      </c>
      <c r="B33" s="4">
        <v>1</v>
      </c>
      <c r="C33" s="3" t="s">
        <v>24</v>
      </c>
      <c r="D33" s="3" t="s">
        <v>25</v>
      </c>
      <c r="E33" s="3" t="s">
        <v>25</v>
      </c>
      <c r="F33" s="3" t="s">
        <v>25</v>
      </c>
      <c r="G33" s="3" t="s">
        <v>25</v>
      </c>
      <c r="H33" s="3" t="s">
        <v>25</v>
      </c>
      <c r="I33" s="3" t="s">
        <v>25</v>
      </c>
      <c r="J33" s="3" t="s">
        <v>25</v>
      </c>
      <c r="K33" s="3" t="s">
        <v>25</v>
      </c>
      <c r="L33" s="5" t="s">
        <v>101</v>
      </c>
      <c r="M33" s="4"/>
      <c r="N33" s="3" t="s">
        <v>27</v>
      </c>
      <c r="O33" s="16" t="s">
        <v>440</v>
      </c>
      <c r="P33" s="15"/>
      <c r="Q33" s="15"/>
      <c r="R33" s="4"/>
      <c r="S33" s="4" t="s">
        <v>1007</v>
      </c>
      <c r="T33" s="3" t="s">
        <v>101</v>
      </c>
      <c r="U33" s="4"/>
      <c r="V33" s="4"/>
      <c r="W33" s="3" t="s">
        <v>102</v>
      </c>
      <c r="X33" s="1" t="str">
        <f t="shared" si="1"/>
        <v>*/Declarant</v>
      </c>
    </row>
    <row r="34" spans="1:24" ht="12" customHeight="1" outlineLevel="2" x14ac:dyDescent="0.35">
      <c r="A34" s="2" t="str">
        <f t="shared" si="0"/>
        <v>CC413B</v>
      </c>
      <c r="B34" s="1">
        <v>2</v>
      </c>
      <c r="C34" s="1" t="s">
        <v>19</v>
      </c>
      <c r="D34" s="1" t="s">
        <v>25</v>
      </c>
      <c r="E34" s="2" t="s">
        <v>30</v>
      </c>
      <c r="F34" s="2" t="s">
        <v>30</v>
      </c>
      <c r="G34" s="2" t="s">
        <v>30</v>
      </c>
      <c r="H34" s="2" t="s">
        <v>30</v>
      </c>
      <c r="I34" s="2" t="s">
        <v>30</v>
      </c>
      <c r="J34" s="2" t="s">
        <v>30</v>
      </c>
      <c r="K34" s="2" t="s">
        <v>30</v>
      </c>
      <c r="L34" s="6" t="s">
        <v>81</v>
      </c>
      <c r="M34" s="7" t="s">
        <v>68</v>
      </c>
      <c r="N34" s="2" t="s">
        <v>27</v>
      </c>
      <c r="O34" s="7" t="s">
        <v>397</v>
      </c>
      <c r="P34" s="14"/>
      <c r="Q34" s="14"/>
      <c r="S34" s="1" t="s">
        <v>1008</v>
      </c>
      <c r="T34" s="2" t="s">
        <v>82</v>
      </c>
      <c r="W34" s="2" t="s">
        <v>70</v>
      </c>
      <c r="X34" s="1" t="str">
        <f t="shared" si="1"/>
        <v>*/Declarant/identificationNumber</v>
      </c>
    </row>
    <row r="35" spans="1:24" ht="12" customHeight="1" outlineLevel="2" x14ac:dyDescent="0.35">
      <c r="A35" s="2" t="str">
        <f t="shared" si="0"/>
        <v>CC413B</v>
      </c>
      <c r="B35" s="1">
        <v>2</v>
      </c>
      <c r="C35" s="1" t="s">
        <v>19</v>
      </c>
      <c r="D35" s="1" t="s">
        <v>30</v>
      </c>
      <c r="E35" s="2" t="s">
        <v>30</v>
      </c>
      <c r="F35" s="2" t="s">
        <v>30</v>
      </c>
      <c r="G35" s="2" t="s">
        <v>30</v>
      </c>
      <c r="H35" s="2" t="s">
        <v>30</v>
      </c>
      <c r="I35" s="2" t="s">
        <v>30</v>
      </c>
      <c r="J35" s="2" t="s">
        <v>30</v>
      </c>
      <c r="K35" s="2" t="s">
        <v>30</v>
      </c>
      <c r="L35" s="6" t="s">
        <v>4</v>
      </c>
      <c r="M35" s="7" t="s">
        <v>83</v>
      </c>
      <c r="N35" s="2" t="s">
        <v>396</v>
      </c>
      <c r="O35" s="14"/>
      <c r="P35" s="7" t="s">
        <v>401</v>
      </c>
      <c r="Q35" s="14"/>
      <c r="S35" s="1" t="s">
        <v>1009</v>
      </c>
      <c r="T35" s="2" t="s">
        <v>84</v>
      </c>
      <c r="W35" s="2" t="s">
        <v>85</v>
      </c>
      <c r="X35" s="1" t="str">
        <f t="shared" si="1"/>
        <v>*/Declarant/name</v>
      </c>
    </row>
    <row r="36" spans="1:24" ht="12" customHeight="1" outlineLevel="2" x14ac:dyDescent="0.35">
      <c r="A36" s="3" t="str">
        <f t="shared" si="0"/>
        <v>CC413B</v>
      </c>
      <c r="B36" s="4">
        <v>2</v>
      </c>
      <c r="C36" s="3" t="s">
        <v>24</v>
      </c>
      <c r="D36" s="3" t="s">
        <v>30</v>
      </c>
      <c r="E36" s="3" t="s">
        <v>30</v>
      </c>
      <c r="F36" s="3" t="s">
        <v>30</v>
      </c>
      <c r="G36" s="3" t="s">
        <v>30</v>
      </c>
      <c r="H36" s="3" t="s">
        <v>30</v>
      </c>
      <c r="I36" s="3" t="s">
        <v>30</v>
      </c>
      <c r="J36" s="3" t="s">
        <v>30</v>
      </c>
      <c r="K36" s="3" t="s">
        <v>30</v>
      </c>
      <c r="L36" s="8" t="s">
        <v>86</v>
      </c>
      <c r="M36" s="4"/>
      <c r="N36" s="3" t="s">
        <v>396</v>
      </c>
      <c r="O36" s="15"/>
      <c r="P36" s="16" t="s">
        <v>401</v>
      </c>
      <c r="Q36" s="15"/>
      <c r="R36" s="4"/>
      <c r="S36" s="4" t="s">
        <v>1010</v>
      </c>
      <c r="T36" s="3" t="s">
        <v>86</v>
      </c>
      <c r="U36" s="4"/>
      <c r="V36" s="4"/>
      <c r="W36" s="3" t="s">
        <v>87</v>
      </c>
      <c r="X36" s="1" t="str">
        <f t="shared" si="1"/>
        <v>*/Declarant/Address</v>
      </c>
    </row>
    <row r="37" spans="1:24" ht="12" customHeight="1" outlineLevel="3" x14ac:dyDescent="0.35">
      <c r="A37" s="2" t="str">
        <f t="shared" si="0"/>
        <v>CC413B</v>
      </c>
      <c r="B37" s="1">
        <v>3</v>
      </c>
      <c r="C37" s="1" t="s">
        <v>19</v>
      </c>
      <c r="D37" s="1" t="s">
        <v>25</v>
      </c>
      <c r="E37" s="2" t="s">
        <v>25</v>
      </c>
      <c r="F37" s="2" t="s">
        <v>25</v>
      </c>
      <c r="G37" s="2" t="s">
        <v>25</v>
      </c>
      <c r="H37" s="2" t="s">
        <v>25</v>
      </c>
      <c r="I37" s="2" t="s">
        <v>25</v>
      </c>
      <c r="J37" s="2" t="s">
        <v>25</v>
      </c>
      <c r="K37" s="2" t="s">
        <v>25</v>
      </c>
      <c r="L37" s="9" t="s">
        <v>88</v>
      </c>
      <c r="M37" s="7" t="s">
        <v>83</v>
      </c>
      <c r="N37" s="2" t="s">
        <v>27</v>
      </c>
      <c r="O37" s="14"/>
      <c r="P37" s="14"/>
      <c r="Q37" s="14"/>
      <c r="S37" s="1" t="s">
        <v>1011</v>
      </c>
      <c r="T37" s="2" t="s">
        <v>89</v>
      </c>
      <c r="W37" s="2" t="s">
        <v>90</v>
      </c>
      <c r="X37" s="1" t="str">
        <f t="shared" si="1"/>
        <v>*/Declarant/Address/streetAndNumber</v>
      </c>
    </row>
    <row r="38" spans="1:24" ht="12" customHeight="1" outlineLevel="3" x14ac:dyDescent="0.35">
      <c r="A38" s="2" t="str">
        <f t="shared" si="0"/>
        <v>CC413B</v>
      </c>
      <c r="B38" s="1">
        <v>3</v>
      </c>
      <c r="C38" s="1" t="s">
        <v>19</v>
      </c>
      <c r="D38" s="1" t="s">
        <v>30</v>
      </c>
      <c r="E38" s="2" t="s">
        <v>30</v>
      </c>
      <c r="F38" s="2" t="s">
        <v>30</v>
      </c>
      <c r="G38" s="2" t="s">
        <v>30</v>
      </c>
      <c r="H38" s="2" t="s">
        <v>30</v>
      </c>
      <c r="I38" s="2" t="s">
        <v>30</v>
      </c>
      <c r="J38" s="2" t="s">
        <v>30</v>
      </c>
      <c r="K38" s="2" t="s">
        <v>30</v>
      </c>
      <c r="L38" s="9" t="s">
        <v>91</v>
      </c>
      <c r="M38" s="7" t="s">
        <v>92</v>
      </c>
      <c r="N38" s="2" t="s">
        <v>396</v>
      </c>
      <c r="O38" s="14"/>
      <c r="P38" s="7" t="s">
        <v>402</v>
      </c>
      <c r="Q38" s="14"/>
      <c r="S38" s="1" t="s">
        <v>1012</v>
      </c>
      <c r="T38" s="2" t="s">
        <v>93</v>
      </c>
      <c r="W38" s="2" t="s">
        <v>94</v>
      </c>
      <c r="X38" s="1" t="str">
        <f t="shared" si="1"/>
        <v>*/Declarant/Address/postcode</v>
      </c>
    </row>
    <row r="39" spans="1:24" ht="12" customHeight="1" outlineLevel="3" x14ac:dyDescent="0.35">
      <c r="A39" s="2" t="str">
        <f t="shared" si="0"/>
        <v>CC413B</v>
      </c>
      <c r="B39" s="1">
        <v>3</v>
      </c>
      <c r="C39" s="1" t="s">
        <v>19</v>
      </c>
      <c r="D39" s="1" t="s">
        <v>25</v>
      </c>
      <c r="E39" s="2" t="s">
        <v>25</v>
      </c>
      <c r="F39" s="2" t="s">
        <v>25</v>
      </c>
      <c r="G39" s="2" t="s">
        <v>25</v>
      </c>
      <c r="H39" s="2" t="s">
        <v>25</v>
      </c>
      <c r="I39" s="2" t="s">
        <v>25</v>
      </c>
      <c r="J39" s="2" t="s">
        <v>25</v>
      </c>
      <c r="K39" s="2" t="s">
        <v>25</v>
      </c>
      <c r="L39" s="9" t="s">
        <v>95</v>
      </c>
      <c r="M39" s="7" t="s">
        <v>96</v>
      </c>
      <c r="N39" s="2" t="s">
        <v>27</v>
      </c>
      <c r="O39" s="14"/>
      <c r="P39" s="14"/>
      <c r="Q39" s="14"/>
      <c r="S39" s="1" t="s">
        <v>1013</v>
      </c>
      <c r="T39" s="2" t="s">
        <v>97</v>
      </c>
      <c r="W39" s="2" t="s">
        <v>98</v>
      </c>
      <c r="X39" s="1" t="str">
        <f t="shared" si="1"/>
        <v>*/Declarant/Address/city</v>
      </c>
    </row>
    <row r="40" spans="1:24" ht="12" customHeight="1" outlineLevel="3" x14ac:dyDescent="0.35">
      <c r="A40" s="2" t="str">
        <f t="shared" si="0"/>
        <v>CC413B</v>
      </c>
      <c r="B40" s="1">
        <v>3</v>
      </c>
      <c r="C40" s="1" t="s">
        <v>19</v>
      </c>
      <c r="D40" s="1" t="s">
        <v>25</v>
      </c>
      <c r="E40" s="2" t="s">
        <v>25</v>
      </c>
      <c r="F40" s="2" t="s">
        <v>25</v>
      </c>
      <c r="G40" s="2" t="s">
        <v>25</v>
      </c>
      <c r="H40" s="2" t="s">
        <v>25</v>
      </c>
      <c r="I40" s="2" t="s">
        <v>25</v>
      </c>
      <c r="J40" s="2" t="s">
        <v>25</v>
      </c>
      <c r="K40" s="2" t="s">
        <v>25</v>
      </c>
      <c r="L40" s="9" t="s">
        <v>99</v>
      </c>
      <c r="M40" s="7" t="s">
        <v>50</v>
      </c>
      <c r="N40" s="2" t="s">
        <v>27</v>
      </c>
      <c r="O40" s="14"/>
      <c r="P40" s="14"/>
      <c r="Q40" s="7" t="s">
        <v>403</v>
      </c>
      <c r="S40" s="1" t="s">
        <v>1014</v>
      </c>
      <c r="T40" s="2" t="s">
        <v>100</v>
      </c>
      <c r="W40" s="2" t="s">
        <v>52</v>
      </c>
      <c r="X40" s="1" t="str">
        <f t="shared" si="1"/>
        <v>*/Declarant/Address/country</v>
      </c>
    </row>
    <row r="41" spans="1:24" ht="12" customHeight="1" outlineLevel="2" x14ac:dyDescent="0.35">
      <c r="A41" s="3" t="str">
        <f t="shared" si="0"/>
        <v>CC413B</v>
      </c>
      <c r="B41" s="4">
        <v>2</v>
      </c>
      <c r="C41" s="3" t="s">
        <v>24</v>
      </c>
      <c r="D41" s="3" t="s">
        <v>30</v>
      </c>
      <c r="E41" s="3" t="s">
        <v>30</v>
      </c>
      <c r="F41" s="3" t="s">
        <v>30</v>
      </c>
      <c r="G41" s="3" t="s">
        <v>30</v>
      </c>
      <c r="H41" s="3" t="s">
        <v>30</v>
      </c>
      <c r="I41" s="3" t="s">
        <v>30</v>
      </c>
      <c r="J41" s="3" t="s">
        <v>30</v>
      </c>
      <c r="K41" s="3"/>
      <c r="L41" s="8" t="s">
        <v>105</v>
      </c>
      <c r="M41" s="4"/>
      <c r="N41" s="3" t="s">
        <v>22</v>
      </c>
      <c r="O41" s="16" t="s">
        <v>409</v>
      </c>
      <c r="P41" s="15"/>
      <c r="Q41" s="15"/>
      <c r="R41" s="4"/>
      <c r="S41" s="4" t="s">
        <v>1015</v>
      </c>
      <c r="T41" s="3" t="s">
        <v>106</v>
      </c>
      <c r="U41" s="4"/>
      <c r="V41" s="4"/>
      <c r="W41" s="3" t="s">
        <v>107</v>
      </c>
      <c r="X41" s="1" t="str">
        <f t="shared" si="1"/>
        <v>*/Declarant/ContactPerson</v>
      </c>
    </row>
    <row r="42" spans="1:24" ht="12" customHeight="1" outlineLevel="3" x14ac:dyDescent="0.35">
      <c r="A42" s="2" t="str">
        <f t="shared" si="0"/>
        <v>CC413B</v>
      </c>
      <c r="B42" s="1">
        <v>3</v>
      </c>
      <c r="C42" s="1" t="s">
        <v>19</v>
      </c>
      <c r="D42" s="1" t="s">
        <v>25</v>
      </c>
      <c r="E42" s="2" t="s">
        <v>25</v>
      </c>
      <c r="F42" s="2" t="s">
        <v>25</v>
      </c>
      <c r="G42" s="2" t="s">
        <v>25</v>
      </c>
      <c r="H42" s="2" t="s">
        <v>25</v>
      </c>
      <c r="I42" s="2" t="s">
        <v>25</v>
      </c>
      <c r="J42" s="2" t="s">
        <v>25</v>
      </c>
      <c r="K42" s="2"/>
      <c r="L42" s="9" t="s">
        <v>4</v>
      </c>
      <c r="M42" s="7" t="s">
        <v>83</v>
      </c>
      <c r="N42" s="2" t="s">
        <v>27</v>
      </c>
      <c r="O42" s="14"/>
      <c r="P42" s="14"/>
      <c r="Q42" s="14"/>
      <c r="S42" s="1" t="s">
        <v>1030</v>
      </c>
      <c r="T42" s="2" t="s">
        <v>84</v>
      </c>
      <c r="W42" s="2" t="s">
        <v>85</v>
      </c>
      <c r="X42" s="1" t="str">
        <f t="shared" si="1"/>
        <v>*/Declarant/ContactPerson/name</v>
      </c>
    </row>
    <row r="43" spans="1:24" ht="12" customHeight="1" outlineLevel="3" x14ac:dyDescent="0.35">
      <c r="A43" s="2" t="str">
        <f t="shared" si="0"/>
        <v>CC413B</v>
      </c>
      <c r="B43" s="1">
        <v>3</v>
      </c>
      <c r="C43" s="1" t="s">
        <v>19</v>
      </c>
      <c r="D43" s="1" t="s">
        <v>25</v>
      </c>
      <c r="E43" s="2" t="s">
        <v>25</v>
      </c>
      <c r="F43" s="2" t="s">
        <v>25</v>
      </c>
      <c r="G43" s="2" t="s">
        <v>25</v>
      </c>
      <c r="H43" s="2" t="s">
        <v>25</v>
      </c>
      <c r="I43" s="2" t="s">
        <v>25</v>
      </c>
      <c r="J43" s="2" t="s">
        <v>25</v>
      </c>
      <c r="K43" s="2"/>
      <c r="L43" s="9" t="s">
        <v>108</v>
      </c>
      <c r="M43" s="7" t="s">
        <v>96</v>
      </c>
      <c r="N43" s="2" t="s">
        <v>27</v>
      </c>
      <c r="O43" s="14"/>
      <c r="P43" s="14"/>
      <c r="Q43" s="14"/>
      <c r="S43" s="1" t="s">
        <v>1031</v>
      </c>
      <c r="T43" s="2" t="s">
        <v>109</v>
      </c>
      <c r="W43" s="2" t="s">
        <v>110</v>
      </c>
      <c r="X43" s="1" t="str">
        <f t="shared" si="1"/>
        <v>*/Declarant/ContactPerson/phoneNumber</v>
      </c>
    </row>
    <row r="44" spans="1:24" ht="12" customHeight="1" outlineLevel="3" x14ac:dyDescent="0.35">
      <c r="A44" s="2" t="str">
        <f t="shared" si="0"/>
        <v>CC413B</v>
      </c>
      <c r="B44" s="1">
        <v>3</v>
      </c>
      <c r="C44" s="1" t="s">
        <v>19</v>
      </c>
      <c r="D44" s="1" t="s">
        <v>25</v>
      </c>
      <c r="E44" s="2" t="s">
        <v>25</v>
      </c>
      <c r="F44" s="2" t="s">
        <v>25</v>
      </c>
      <c r="G44" s="2" t="s">
        <v>25</v>
      </c>
      <c r="H44" s="2" t="s">
        <v>25</v>
      </c>
      <c r="I44" s="2" t="s">
        <v>25</v>
      </c>
      <c r="J44" s="2" t="s">
        <v>25</v>
      </c>
      <c r="K44" s="2"/>
      <c r="L44" s="9" t="s">
        <v>111</v>
      </c>
      <c r="M44" s="7" t="s">
        <v>112</v>
      </c>
      <c r="N44" s="2" t="s">
        <v>27</v>
      </c>
      <c r="O44" s="14"/>
      <c r="P44" s="14"/>
      <c r="Q44" s="14"/>
      <c r="S44" s="1" t="s">
        <v>1032</v>
      </c>
      <c r="T44" s="2" t="s">
        <v>113</v>
      </c>
      <c r="W44" s="2" t="s">
        <v>114</v>
      </c>
      <c r="X44" s="1" t="str">
        <f t="shared" si="1"/>
        <v>*/Declarant/ContactPerson/eMailAddress</v>
      </c>
    </row>
    <row r="45" spans="1:24" ht="12" customHeight="1" outlineLevel="1" x14ac:dyDescent="0.35">
      <c r="A45" s="3" t="str">
        <f t="shared" si="0"/>
        <v>CC413B</v>
      </c>
      <c r="B45" s="4">
        <v>1</v>
      </c>
      <c r="C45" s="3" t="s">
        <v>24</v>
      </c>
      <c r="D45" s="3" t="s">
        <v>30</v>
      </c>
      <c r="E45" s="3" t="s">
        <v>30</v>
      </c>
      <c r="F45" s="3" t="s">
        <v>30</v>
      </c>
      <c r="G45" s="3" t="s">
        <v>30</v>
      </c>
      <c r="H45" s="3" t="s">
        <v>30</v>
      </c>
      <c r="I45" s="3"/>
      <c r="J45" s="3"/>
      <c r="K45" s="3"/>
      <c r="L45" s="5" t="s">
        <v>115</v>
      </c>
      <c r="M45" s="4"/>
      <c r="N45" s="3" t="s">
        <v>396</v>
      </c>
      <c r="O45" s="16" t="s">
        <v>397</v>
      </c>
      <c r="P45" s="16" t="s">
        <v>404</v>
      </c>
      <c r="Q45" s="15"/>
      <c r="R45" s="4"/>
      <c r="S45" s="4" t="s">
        <v>1016</v>
      </c>
      <c r="T45" s="3" t="s">
        <v>116</v>
      </c>
      <c r="U45" s="4"/>
      <c r="V45" s="4"/>
      <c r="W45" s="3" t="s">
        <v>117</v>
      </c>
      <c r="X45" s="1" t="str">
        <f t="shared" si="1"/>
        <v>*/PersonProvidingAGuarantee</v>
      </c>
    </row>
    <row r="46" spans="1:24" ht="12" customHeight="1" outlineLevel="2" x14ac:dyDescent="0.35">
      <c r="A46" s="2" t="str">
        <f t="shared" si="0"/>
        <v>CC413B</v>
      </c>
      <c r="B46" s="1">
        <v>2</v>
      </c>
      <c r="C46" s="1" t="s">
        <v>19</v>
      </c>
      <c r="D46" s="1" t="s">
        <v>25</v>
      </c>
      <c r="E46" s="2" t="s">
        <v>25</v>
      </c>
      <c r="F46" s="2" t="s">
        <v>25</v>
      </c>
      <c r="G46" s="2" t="s">
        <v>25</v>
      </c>
      <c r="H46" s="2" t="s">
        <v>25</v>
      </c>
      <c r="I46" s="2"/>
      <c r="J46" s="2"/>
      <c r="K46" s="2"/>
      <c r="L46" s="6" t="s">
        <v>81</v>
      </c>
      <c r="M46" s="7" t="s">
        <v>68</v>
      </c>
      <c r="N46" s="2" t="s">
        <v>27</v>
      </c>
      <c r="O46" s="14"/>
      <c r="P46" s="14"/>
      <c r="Q46" s="14"/>
      <c r="S46" s="1" t="s">
        <v>1017</v>
      </c>
      <c r="T46" s="2" t="s">
        <v>82</v>
      </c>
      <c r="W46" s="2" t="s">
        <v>70</v>
      </c>
      <c r="X46" s="1" t="str">
        <f t="shared" si="1"/>
        <v>*/PersonProvidingAGuarantee/identificationNumber</v>
      </c>
    </row>
    <row r="47" spans="1:24" ht="12" customHeight="1" outlineLevel="1" x14ac:dyDescent="0.35">
      <c r="A47" s="3" t="str">
        <f t="shared" si="0"/>
        <v>CC413B</v>
      </c>
      <c r="B47" s="4">
        <v>1</v>
      </c>
      <c r="C47" s="3" t="s">
        <v>24</v>
      </c>
      <c r="D47" s="3" t="s">
        <v>30</v>
      </c>
      <c r="E47" s="3" t="s">
        <v>30</v>
      </c>
      <c r="F47" s="3" t="s">
        <v>30</v>
      </c>
      <c r="G47" s="3" t="s">
        <v>30</v>
      </c>
      <c r="H47" s="3" t="s">
        <v>30</v>
      </c>
      <c r="I47" s="3" t="s">
        <v>30</v>
      </c>
      <c r="J47" s="3" t="s">
        <v>30</v>
      </c>
      <c r="K47" s="3" t="s">
        <v>30</v>
      </c>
      <c r="L47" s="5" t="s">
        <v>118</v>
      </c>
      <c r="M47" s="4"/>
      <c r="N47" s="3" t="s">
        <v>396</v>
      </c>
      <c r="O47" s="16" t="s">
        <v>397</v>
      </c>
      <c r="P47" s="16" t="s">
        <v>405</v>
      </c>
      <c r="Q47" s="15"/>
      <c r="R47" s="4"/>
      <c r="S47" s="4" t="s">
        <v>1201</v>
      </c>
      <c r="T47" s="3" t="s">
        <v>119</v>
      </c>
      <c r="U47" s="4"/>
      <c r="V47" s="4"/>
      <c r="W47" s="3" t="s">
        <v>120</v>
      </c>
      <c r="X47" s="1" t="str">
        <f t="shared" si="1"/>
        <v>*/PersonPayingCustomsDuty</v>
      </c>
    </row>
    <row r="48" spans="1:24" ht="12" customHeight="1" outlineLevel="2" x14ac:dyDescent="0.35">
      <c r="A48" s="2" t="str">
        <f t="shared" si="0"/>
        <v>CC413B</v>
      </c>
      <c r="B48" s="1">
        <v>2</v>
      </c>
      <c r="C48" s="1" t="s">
        <v>19</v>
      </c>
      <c r="D48" s="1" t="s">
        <v>25</v>
      </c>
      <c r="E48" s="2" t="s">
        <v>25</v>
      </c>
      <c r="F48" s="2" t="s">
        <v>25</v>
      </c>
      <c r="G48" s="2" t="s">
        <v>25</v>
      </c>
      <c r="H48" s="2" t="s">
        <v>25</v>
      </c>
      <c r="I48" s="2" t="s">
        <v>25</v>
      </c>
      <c r="J48" s="2" t="s">
        <v>25</v>
      </c>
      <c r="K48" s="2" t="s">
        <v>25</v>
      </c>
      <c r="L48" s="6" t="s">
        <v>81</v>
      </c>
      <c r="M48" s="7" t="s">
        <v>68</v>
      </c>
      <c r="N48" s="2" t="s">
        <v>27</v>
      </c>
      <c r="O48" s="14"/>
      <c r="P48" s="14"/>
      <c r="Q48" s="14"/>
      <c r="S48" s="1" t="s">
        <v>1202</v>
      </c>
      <c r="T48" s="2" t="s">
        <v>82</v>
      </c>
      <c r="W48" s="2" t="s">
        <v>70</v>
      </c>
      <c r="X48" s="1" t="str">
        <f t="shared" si="1"/>
        <v>*/PersonPayingCustomsDuty/identificationNumber</v>
      </c>
    </row>
    <row r="49" spans="1:24" ht="12" customHeight="1" outlineLevel="1" x14ac:dyDescent="0.35">
      <c r="A49" s="3" t="str">
        <f t="shared" si="0"/>
        <v>CC413B</v>
      </c>
      <c r="B49" s="4">
        <v>1</v>
      </c>
      <c r="C49" s="3" t="s">
        <v>24</v>
      </c>
      <c r="D49" s="3" t="s">
        <v>30</v>
      </c>
      <c r="E49" s="3" t="s">
        <v>30</v>
      </c>
      <c r="F49" s="3" t="s">
        <v>30</v>
      </c>
      <c r="G49" s="3" t="s">
        <v>30</v>
      </c>
      <c r="H49" s="3" t="s">
        <v>30</v>
      </c>
      <c r="I49" s="3" t="s">
        <v>30</v>
      </c>
      <c r="J49" s="3" t="s">
        <v>30</v>
      </c>
      <c r="K49" s="3" t="s">
        <v>30</v>
      </c>
      <c r="L49" s="5" t="s">
        <v>121</v>
      </c>
      <c r="M49" s="4"/>
      <c r="N49" s="3" t="s">
        <v>22</v>
      </c>
      <c r="O49" s="16" t="s">
        <v>440</v>
      </c>
      <c r="P49" s="15"/>
      <c r="Q49" s="15"/>
      <c r="R49" s="4"/>
      <c r="S49" s="4" t="s">
        <v>1018</v>
      </c>
      <c r="T49" s="3" t="s">
        <v>121</v>
      </c>
      <c r="U49" s="4"/>
      <c r="V49" s="4"/>
      <c r="W49" s="3" t="s">
        <v>122</v>
      </c>
      <c r="X49" s="1" t="str">
        <f t="shared" si="1"/>
        <v>*/Representative</v>
      </c>
    </row>
    <row r="50" spans="1:24" ht="12" customHeight="1" outlineLevel="2" x14ac:dyDescent="0.35">
      <c r="A50" s="2" t="str">
        <f t="shared" si="0"/>
        <v>CC413B</v>
      </c>
      <c r="B50" s="1">
        <v>2</v>
      </c>
      <c r="C50" s="1" t="s">
        <v>19</v>
      </c>
      <c r="D50" s="1" t="s">
        <v>25</v>
      </c>
      <c r="E50" s="2" t="s">
        <v>25</v>
      </c>
      <c r="F50" s="2" t="s">
        <v>25</v>
      </c>
      <c r="G50" s="2" t="s">
        <v>25</v>
      </c>
      <c r="H50" s="2" t="s">
        <v>25</v>
      </c>
      <c r="I50" s="2" t="s">
        <v>25</v>
      </c>
      <c r="J50" s="2" t="s">
        <v>25</v>
      </c>
      <c r="K50" s="2" t="s">
        <v>25</v>
      </c>
      <c r="L50" s="6" t="s">
        <v>81</v>
      </c>
      <c r="M50" s="7" t="s">
        <v>68</v>
      </c>
      <c r="N50" s="2" t="s">
        <v>27</v>
      </c>
      <c r="O50" s="7" t="s">
        <v>406</v>
      </c>
      <c r="P50" s="14"/>
      <c r="Q50" s="14"/>
      <c r="S50" s="1" t="s">
        <v>1019</v>
      </c>
      <c r="T50" s="2" t="s">
        <v>82</v>
      </c>
      <c r="W50" s="2" t="s">
        <v>70</v>
      </c>
      <c r="X50" s="1" t="str">
        <f t="shared" si="1"/>
        <v>*/Representative/identificationNumber</v>
      </c>
    </row>
    <row r="51" spans="1:24" ht="12" customHeight="1" outlineLevel="2" x14ac:dyDescent="0.35">
      <c r="A51" s="2" t="str">
        <f t="shared" si="0"/>
        <v>CC413B</v>
      </c>
      <c r="B51" s="1">
        <v>2</v>
      </c>
      <c r="C51" s="1" t="s">
        <v>19</v>
      </c>
      <c r="D51" s="1" t="s">
        <v>25</v>
      </c>
      <c r="E51" s="2" t="s">
        <v>25</v>
      </c>
      <c r="F51" s="2" t="s">
        <v>25</v>
      </c>
      <c r="G51" s="2" t="s">
        <v>25</v>
      </c>
      <c r="H51" s="2" t="s">
        <v>25</v>
      </c>
      <c r="I51" s="2" t="s">
        <v>25</v>
      </c>
      <c r="J51" s="2" t="s">
        <v>25</v>
      </c>
      <c r="K51" s="2" t="s">
        <v>25</v>
      </c>
      <c r="L51" s="6" t="s">
        <v>6</v>
      </c>
      <c r="M51" s="7" t="s">
        <v>123</v>
      </c>
      <c r="N51" s="2" t="s">
        <v>27</v>
      </c>
      <c r="O51" s="7" t="s">
        <v>407</v>
      </c>
      <c r="P51" s="14"/>
      <c r="Q51" s="7" t="s">
        <v>408</v>
      </c>
      <c r="S51" s="1" t="s">
        <v>1020</v>
      </c>
      <c r="T51" s="2" t="s">
        <v>124</v>
      </c>
      <c r="W51" s="2" t="s">
        <v>125</v>
      </c>
      <c r="X51" s="1" t="str">
        <f t="shared" si="1"/>
        <v>*/Representative/status</v>
      </c>
    </row>
    <row r="52" spans="1:24" ht="12" customHeight="1" outlineLevel="2" x14ac:dyDescent="0.35">
      <c r="A52" s="3" t="str">
        <f t="shared" si="0"/>
        <v>CC413B</v>
      </c>
      <c r="B52" s="4">
        <v>2</v>
      </c>
      <c r="C52" s="3" t="s">
        <v>24</v>
      </c>
      <c r="D52" s="3" t="s">
        <v>30</v>
      </c>
      <c r="E52" s="3" t="s">
        <v>30</v>
      </c>
      <c r="F52" s="3" t="s">
        <v>30</v>
      </c>
      <c r="G52" s="3" t="s">
        <v>30</v>
      </c>
      <c r="H52" s="3" t="s">
        <v>30</v>
      </c>
      <c r="I52" s="3" t="s">
        <v>30</v>
      </c>
      <c r="J52" s="3" t="s">
        <v>30</v>
      </c>
      <c r="K52" s="3"/>
      <c r="L52" s="8" t="s">
        <v>105</v>
      </c>
      <c r="M52" s="4"/>
      <c r="N52" s="3" t="s">
        <v>22</v>
      </c>
      <c r="O52" s="16" t="s">
        <v>409</v>
      </c>
      <c r="P52" s="15"/>
      <c r="Q52" s="15"/>
      <c r="R52" s="4"/>
      <c r="S52" s="4" t="s">
        <v>1021</v>
      </c>
      <c r="T52" s="3" t="s">
        <v>106</v>
      </c>
      <c r="U52" s="4"/>
      <c r="V52" s="4"/>
      <c r="W52" s="3" t="s">
        <v>107</v>
      </c>
      <c r="X52" s="1" t="str">
        <f t="shared" si="1"/>
        <v>*/Representative/ContactPerson</v>
      </c>
    </row>
    <row r="53" spans="1:24" ht="12" customHeight="1" outlineLevel="3" x14ac:dyDescent="0.35">
      <c r="A53" s="2" t="str">
        <f t="shared" si="0"/>
        <v>CC413B</v>
      </c>
      <c r="B53" s="1">
        <v>3</v>
      </c>
      <c r="C53" s="1" t="s">
        <v>19</v>
      </c>
      <c r="D53" s="1" t="s">
        <v>25</v>
      </c>
      <c r="E53" s="2" t="s">
        <v>25</v>
      </c>
      <c r="F53" s="2" t="s">
        <v>25</v>
      </c>
      <c r="G53" s="2" t="s">
        <v>25</v>
      </c>
      <c r="H53" s="2" t="s">
        <v>25</v>
      </c>
      <c r="I53" s="2" t="s">
        <v>25</v>
      </c>
      <c r="J53" s="2" t="s">
        <v>25</v>
      </c>
      <c r="K53" s="2"/>
      <c r="L53" s="9" t="s">
        <v>4</v>
      </c>
      <c r="M53" s="7" t="s">
        <v>83</v>
      </c>
      <c r="N53" s="2" t="s">
        <v>27</v>
      </c>
      <c r="O53" s="14"/>
      <c r="P53" s="14"/>
      <c r="Q53" s="14"/>
      <c r="S53" s="1" t="s">
        <v>1033</v>
      </c>
      <c r="T53" s="2" t="s">
        <v>84</v>
      </c>
      <c r="W53" s="2" t="s">
        <v>85</v>
      </c>
      <c r="X53" s="1" t="str">
        <f t="shared" si="1"/>
        <v>*/Representative/ContactPerson/name</v>
      </c>
    </row>
    <row r="54" spans="1:24" ht="12" customHeight="1" outlineLevel="3" x14ac:dyDescent="0.35">
      <c r="A54" s="2" t="str">
        <f t="shared" si="0"/>
        <v>CC413B</v>
      </c>
      <c r="B54" s="1">
        <v>3</v>
      </c>
      <c r="C54" s="1" t="s">
        <v>19</v>
      </c>
      <c r="D54" s="1" t="s">
        <v>25</v>
      </c>
      <c r="E54" s="2" t="s">
        <v>25</v>
      </c>
      <c r="F54" s="2" t="s">
        <v>25</v>
      </c>
      <c r="G54" s="2" t="s">
        <v>25</v>
      </c>
      <c r="H54" s="2" t="s">
        <v>25</v>
      </c>
      <c r="I54" s="2" t="s">
        <v>25</v>
      </c>
      <c r="J54" s="2" t="s">
        <v>25</v>
      </c>
      <c r="K54" s="2"/>
      <c r="L54" s="9" t="s">
        <v>108</v>
      </c>
      <c r="M54" s="7" t="s">
        <v>96</v>
      </c>
      <c r="N54" s="2" t="s">
        <v>27</v>
      </c>
      <c r="O54" s="14"/>
      <c r="P54" s="14"/>
      <c r="Q54" s="14"/>
      <c r="S54" s="1" t="s">
        <v>1034</v>
      </c>
      <c r="T54" s="2" t="s">
        <v>109</v>
      </c>
      <c r="W54" s="2" t="s">
        <v>110</v>
      </c>
      <c r="X54" s="1" t="str">
        <f t="shared" si="1"/>
        <v>*/Representative/ContactPerson/phoneNumber</v>
      </c>
    </row>
    <row r="55" spans="1:24" ht="12" customHeight="1" outlineLevel="3" x14ac:dyDescent="0.35">
      <c r="A55" s="2" t="str">
        <f t="shared" si="0"/>
        <v>CC413B</v>
      </c>
      <c r="B55" s="1">
        <v>3</v>
      </c>
      <c r="C55" s="1" t="s">
        <v>19</v>
      </c>
      <c r="D55" s="1" t="s">
        <v>25</v>
      </c>
      <c r="E55" s="2" t="s">
        <v>25</v>
      </c>
      <c r="F55" s="2" t="s">
        <v>25</v>
      </c>
      <c r="G55" s="2" t="s">
        <v>25</v>
      </c>
      <c r="H55" s="2" t="s">
        <v>25</v>
      </c>
      <c r="I55" s="2" t="s">
        <v>25</v>
      </c>
      <c r="J55" s="2" t="s">
        <v>25</v>
      </c>
      <c r="K55" s="2"/>
      <c r="L55" s="9" t="s">
        <v>111</v>
      </c>
      <c r="M55" s="7" t="s">
        <v>112</v>
      </c>
      <c r="N55" s="2" t="s">
        <v>27</v>
      </c>
      <c r="O55" s="14"/>
      <c r="P55" s="14"/>
      <c r="Q55" s="14"/>
      <c r="S55" s="1" t="s">
        <v>1035</v>
      </c>
      <c r="T55" s="2" t="s">
        <v>113</v>
      </c>
      <c r="W55" s="2" t="s">
        <v>114</v>
      </c>
      <c r="X55" s="1" t="str">
        <f t="shared" si="1"/>
        <v>*/Representative/ContactPerson/eMailAddress</v>
      </c>
    </row>
    <row r="56" spans="1:24" ht="12" customHeight="1" outlineLevel="1" x14ac:dyDescent="0.35">
      <c r="A56" s="3" t="str">
        <f t="shared" si="0"/>
        <v>CC413B</v>
      </c>
      <c r="B56" s="4">
        <v>1</v>
      </c>
      <c r="C56" s="3" t="s">
        <v>24</v>
      </c>
      <c r="D56" s="3" t="s">
        <v>53</v>
      </c>
      <c r="E56" s="3" t="s">
        <v>53</v>
      </c>
      <c r="F56" s="3"/>
      <c r="G56" s="3" t="s">
        <v>299</v>
      </c>
      <c r="H56" s="3" t="s">
        <v>299</v>
      </c>
      <c r="I56" s="3"/>
      <c r="J56" s="3"/>
      <c r="K56" s="3"/>
      <c r="L56" s="5" t="s">
        <v>126</v>
      </c>
      <c r="M56" s="4"/>
      <c r="N56" s="3" t="s">
        <v>396</v>
      </c>
      <c r="O56" s="16" t="s">
        <v>410</v>
      </c>
      <c r="P56" s="16" t="s">
        <v>411</v>
      </c>
      <c r="Q56" s="15"/>
      <c r="R56" s="4"/>
      <c r="S56" s="4" t="s">
        <v>1812</v>
      </c>
      <c r="T56" s="3" t="s">
        <v>126</v>
      </c>
      <c r="U56" s="4"/>
      <c r="V56" s="4"/>
      <c r="W56" s="3" t="s">
        <v>127</v>
      </c>
      <c r="X56" s="1" t="str">
        <f t="shared" si="1"/>
        <v>*/Guarantee[0]</v>
      </c>
    </row>
    <row r="57" spans="1:24" ht="12" customHeight="1" outlineLevel="2" x14ac:dyDescent="0.35">
      <c r="A57" s="2" t="str">
        <f t="shared" si="0"/>
        <v>CC413B</v>
      </c>
      <c r="B57" s="1">
        <v>2</v>
      </c>
      <c r="C57" s="1" t="s">
        <v>19</v>
      </c>
      <c r="D57" s="1" t="s">
        <v>25</v>
      </c>
      <c r="E57" s="2" t="s">
        <v>25</v>
      </c>
      <c r="F57" s="2"/>
      <c r="G57" s="2" t="s">
        <v>25</v>
      </c>
      <c r="H57" s="2" t="s">
        <v>25</v>
      </c>
      <c r="I57" s="2"/>
      <c r="J57" s="2"/>
      <c r="K57" s="2"/>
      <c r="L57" s="6" t="s">
        <v>56</v>
      </c>
      <c r="M57" s="7" t="s">
        <v>57</v>
      </c>
      <c r="N57" s="2" t="s">
        <v>27</v>
      </c>
      <c r="O57" s="7" t="s">
        <v>393</v>
      </c>
      <c r="P57" s="14"/>
      <c r="Q57" s="14"/>
      <c r="T57" s="2" t="s">
        <v>58</v>
      </c>
      <c r="W57" s="2" t="s">
        <v>59</v>
      </c>
      <c r="X57" s="1" t="str">
        <f t="shared" si="1"/>
        <v>*/Guarantee[0]/sequenceNumber</v>
      </c>
    </row>
    <row r="58" spans="1:24" ht="12" customHeight="1" outlineLevel="2" x14ac:dyDescent="0.35">
      <c r="A58" s="2" t="str">
        <f t="shared" si="0"/>
        <v>CC413B</v>
      </c>
      <c r="B58" s="1">
        <v>2</v>
      </c>
      <c r="C58" s="1" t="s">
        <v>19</v>
      </c>
      <c r="D58" s="1" t="s">
        <v>25</v>
      </c>
      <c r="E58" s="2" t="s">
        <v>25</v>
      </c>
      <c r="F58" s="2"/>
      <c r="G58" s="2" t="s">
        <v>25</v>
      </c>
      <c r="H58" s="2" t="s">
        <v>25</v>
      </c>
      <c r="I58" s="2"/>
      <c r="J58" s="2"/>
      <c r="K58" s="2"/>
      <c r="L58" s="6" t="s">
        <v>128</v>
      </c>
      <c r="M58" s="7" t="s">
        <v>129</v>
      </c>
      <c r="N58" s="2" t="s">
        <v>27</v>
      </c>
      <c r="O58" s="14"/>
      <c r="P58" s="14"/>
      <c r="Q58" s="7" t="s">
        <v>412</v>
      </c>
      <c r="S58" s="1" t="s">
        <v>1022</v>
      </c>
      <c r="T58" s="2" t="s">
        <v>130</v>
      </c>
      <c r="W58" s="2" t="s">
        <v>131</v>
      </c>
      <c r="X58" s="1" t="str">
        <f t="shared" si="1"/>
        <v>*/Guarantee[0]/guaranteeType</v>
      </c>
    </row>
    <row r="59" spans="1:24" ht="12" customHeight="1" outlineLevel="2" x14ac:dyDescent="0.35">
      <c r="A59" s="3" t="str">
        <f t="shared" si="0"/>
        <v>CC413B</v>
      </c>
      <c r="B59" s="4">
        <v>2</v>
      </c>
      <c r="C59" s="3" t="s">
        <v>24</v>
      </c>
      <c r="D59" s="3" t="s">
        <v>134</v>
      </c>
      <c r="E59" s="3" t="s">
        <v>134</v>
      </c>
      <c r="F59" s="3"/>
      <c r="G59" s="3" t="s">
        <v>134</v>
      </c>
      <c r="H59" s="3" t="s">
        <v>134</v>
      </c>
      <c r="I59" s="3"/>
      <c r="J59" s="3"/>
      <c r="K59" s="3"/>
      <c r="L59" s="8" t="s">
        <v>135</v>
      </c>
      <c r="M59" s="4"/>
      <c r="N59" s="3" t="s">
        <v>27</v>
      </c>
      <c r="O59" s="15"/>
      <c r="P59" s="15"/>
      <c r="Q59" s="15"/>
      <c r="R59" s="4"/>
      <c r="S59" s="4" t="s">
        <v>1203</v>
      </c>
      <c r="T59" s="3" t="s">
        <v>136</v>
      </c>
      <c r="U59" s="4"/>
      <c r="V59" s="4"/>
      <c r="W59" s="3" t="s">
        <v>137</v>
      </c>
      <c r="X59" s="1" t="str">
        <f t="shared" si="1"/>
        <v>*/Guarantee[0]/GuaranteeReference[0]</v>
      </c>
    </row>
    <row r="60" spans="1:24" ht="12" customHeight="1" outlineLevel="3" x14ac:dyDescent="0.35">
      <c r="A60" s="2" t="str">
        <f t="shared" si="0"/>
        <v>CC413B</v>
      </c>
      <c r="B60" s="1">
        <v>3</v>
      </c>
      <c r="C60" s="1" t="s">
        <v>19</v>
      </c>
      <c r="D60" s="1" t="s">
        <v>25</v>
      </c>
      <c r="E60" s="2" t="s">
        <v>25</v>
      </c>
      <c r="F60" s="2"/>
      <c r="G60" s="2" t="s">
        <v>25</v>
      </c>
      <c r="H60" s="2" t="s">
        <v>25</v>
      </c>
      <c r="I60" s="2"/>
      <c r="J60" s="2"/>
      <c r="K60" s="2"/>
      <c r="L60" s="9" t="s">
        <v>56</v>
      </c>
      <c r="M60" s="7" t="s">
        <v>57</v>
      </c>
      <c r="N60" s="2" t="s">
        <v>27</v>
      </c>
      <c r="O60" s="7" t="s">
        <v>393</v>
      </c>
      <c r="P60" s="14"/>
      <c r="Q60" s="14"/>
      <c r="T60" s="2" t="s">
        <v>58</v>
      </c>
      <c r="W60" s="2" t="s">
        <v>59</v>
      </c>
      <c r="X60" s="1" t="str">
        <f t="shared" si="1"/>
        <v>*/Guarantee[0]/GuaranteeReference[0]/sequenceNumber</v>
      </c>
    </row>
    <row r="61" spans="1:24" ht="12" customHeight="1" outlineLevel="3" x14ac:dyDescent="0.35">
      <c r="A61" s="2" t="str">
        <f t="shared" si="0"/>
        <v>CC413B</v>
      </c>
      <c r="B61" s="1">
        <v>3</v>
      </c>
      <c r="C61" s="1" t="s">
        <v>19</v>
      </c>
      <c r="D61" s="1" t="s">
        <v>30</v>
      </c>
      <c r="E61" s="2" t="s">
        <v>30</v>
      </c>
      <c r="F61" s="2"/>
      <c r="G61" s="2" t="s">
        <v>30</v>
      </c>
      <c r="H61" s="2" t="s">
        <v>30</v>
      </c>
      <c r="I61" s="2"/>
      <c r="J61" s="2"/>
      <c r="K61" s="2"/>
      <c r="L61" s="9" t="s">
        <v>1967</v>
      </c>
      <c r="M61" s="7" t="s">
        <v>139</v>
      </c>
      <c r="N61" s="2" t="s">
        <v>396</v>
      </c>
      <c r="O61" s="14"/>
      <c r="P61" s="7" t="s">
        <v>413</v>
      </c>
      <c r="Q61" s="14"/>
      <c r="S61" s="1" t="s">
        <v>1023</v>
      </c>
      <c r="T61" s="2" t="s">
        <v>140</v>
      </c>
      <c r="W61" s="2" t="s">
        <v>141</v>
      </c>
      <c r="X61" s="1" t="str">
        <f t="shared" si="1"/>
        <v>*/Guarantee[0]/GuaranteeReference[0]/GRN</v>
      </c>
    </row>
    <row r="62" spans="1:24" ht="12" customHeight="1" outlineLevel="3" x14ac:dyDescent="0.35">
      <c r="A62" s="2" t="str">
        <f t="shared" ref="A62:A109" si="2">$L$2</f>
        <v>CC413B</v>
      </c>
      <c r="B62" s="1">
        <v>3</v>
      </c>
      <c r="C62" s="1" t="s">
        <v>19</v>
      </c>
      <c r="D62" s="1" t="s">
        <v>30</v>
      </c>
      <c r="E62" s="2" t="s">
        <v>30</v>
      </c>
      <c r="F62" s="2"/>
      <c r="G62" s="2" t="s">
        <v>30</v>
      </c>
      <c r="H62" s="2" t="s">
        <v>30</v>
      </c>
      <c r="I62" s="2"/>
      <c r="J62" s="2"/>
      <c r="K62" s="2"/>
      <c r="L62" s="9" t="s">
        <v>142</v>
      </c>
      <c r="M62" s="7" t="s">
        <v>50</v>
      </c>
      <c r="N62" s="2" t="s">
        <v>396</v>
      </c>
      <c r="O62" s="7" t="s">
        <v>414</v>
      </c>
      <c r="P62" s="7" t="s">
        <v>415</v>
      </c>
      <c r="Q62" s="7" t="s">
        <v>416</v>
      </c>
      <c r="T62" s="2" t="s">
        <v>143</v>
      </c>
      <c r="W62" s="2" t="s">
        <v>52</v>
      </c>
      <c r="X62" s="1" t="str">
        <f t="shared" si="1"/>
        <v>*/Guarantee[0]/GuaranteeReference[0]/ccQualifier</v>
      </c>
    </row>
    <row r="63" spans="1:24" ht="12" customHeight="1" outlineLevel="3" x14ac:dyDescent="0.35">
      <c r="A63" s="2" t="str">
        <f t="shared" si="2"/>
        <v>CC413B</v>
      </c>
      <c r="B63" s="1">
        <v>3</v>
      </c>
      <c r="C63" s="1" t="s">
        <v>19</v>
      </c>
      <c r="D63" s="1" t="s">
        <v>30</v>
      </c>
      <c r="E63" s="2" t="s">
        <v>30</v>
      </c>
      <c r="F63" s="2"/>
      <c r="G63" s="2" t="s">
        <v>30</v>
      </c>
      <c r="H63" s="2" t="s">
        <v>30</v>
      </c>
      <c r="I63" s="2"/>
      <c r="J63" s="2"/>
      <c r="K63" s="2"/>
      <c r="L63" s="9" t="s">
        <v>144</v>
      </c>
      <c r="M63" s="7" t="s">
        <v>60</v>
      </c>
      <c r="N63" s="2" t="s">
        <v>22</v>
      </c>
      <c r="O63" s="7" t="s">
        <v>417</v>
      </c>
      <c r="P63" s="14"/>
      <c r="Q63" s="14"/>
      <c r="S63" s="1" t="s">
        <v>1024</v>
      </c>
      <c r="T63" s="2" t="s">
        <v>145</v>
      </c>
      <c r="W63" s="2" t="s">
        <v>146</v>
      </c>
      <c r="X63" s="1" t="str">
        <f t="shared" si="1"/>
        <v>*/Guarantee[0]/GuaranteeReference[0]/accessCode</v>
      </c>
    </row>
    <row r="64" spans="1:24" ht="12" customHeight="1" outlineLevel="3" x14ac:dyDescent="0.35">
      <c r="A64" s="2" t="str">
        <f t="shared" si="2"/>
        <v>CC413B</v>
      </c>
      <c r="B64" s="1">
        <v>3</v>
      </c>
      <c r="C64" s="1" t="s">
        <v>19</v>
      </c>
      <c r="D64" s="1" t="s">
        <v>25</v>
      </c>
      <c r="E64" s="2" t="s">
        <v>25</v>
      </c>
      <c r="F64" s="2"/>
      <c r="G64" s="2" t="s">
        <v>25</v>
      </c>
      <c r="H64" s="2" t="s">
        <v>25</v>
      </c>
      <c r="I64" s="2"/>
      <c r="J64" s="2"/>
      <c r="K64" s="2"/>
      <c r="L64" s="9" t="s">
        <v>147</v>
      </c>
      <c r="M64" s="7" t="s">
        <v>148</v>
      </c>
      <c r="N64" s="2" t="s">
        <v>27</v>
      </c>
      <c r="O64" s="14"/>
      <c r="P64" s="14"/>
      <c r="Q64" s="7" t="s">
        <v>418</v>
      </c>
      <c r="S64" s="1" t="s">
        <v>1036</v>
      </c>
      <c r="T64" s="2" t="s">
        <v>149</v>
      </c>
      <c r="W64" s="2" t="s">
        <v>150</v>
      </c>
      <c r="X64" s="1" t="str">
        <f t="shared" si="1"/>
        <v>*/Guarantee[0]/GuaranteeReference[0]/currencyCode</v>
      </c>
    </row>
    <row r="65" spans="1:24" ht="12" customHeight="1" outlineLevel="3" x14ac:dyDescent="0.35">
      <c r="A65" s="2" t="str">
        <f t="shared" si="2"/>
        <v>CC413B</v>
      </c>
      <c r="B65" s="1">
        <v>3</v>
      </c>
      <c r="C65" s="1" t="s">
        <v>19</v>
      </c>
      <c r="D65" s="1" t="s">
        <v>25</v>
      </c>
      <c r="E65" s="2" t="s">
        <v>25</v>
      </c>
      <c r="F65" s="2"/>
      <c r="G65" s="2" t="s">
        <v>25</v>
      </c>
      <c r="H65" s="2" t="s">
        <v>25</v>
      </c>
      <c r="I65" s="2"/>
      <c r="J65" s="2"/>
      <c r="K65" s="2"/>
      <c r="L65" s="9" t="s">
        <v>151</v>
      </c>
      <c r="M65" s="7" t="s">
        <v>152</v>
      </c>
      <c r="N65" s="2" t="s">
        <v>27</v>
      </c>
      <c r="O65" s="7" t="s">
        <v>419</v>
      </c>
      <c r="P65" s="14"/>
      <c r="Q65" s="14"/>
      <c r="S65" s="1" t="s">
        <v>1025</v>
      </c>
      <c r="T65" s="2" t="s">
        <v>153</v>
      </c>
      <c r="W65" s="2" t="s">
        <v>154</v>
      </c>
      <c r="X65" s="1" t="str">
        <f t="shared" si="1"/>
        <v>*/Guarantee[0]/GuaranteeReference[0]/amountToBeCovered</v>
      </c>
    </row>
    <row r="66" spans="1:24" ht="12" customHeight="1" outlineLevel="3" x14ac:dyDescent="0.35">
      <c r="A66" s="2" t="str">
        <f t="shared" si="2"/>
        <v>CC413B</v>
      </c>
      <c r="B66" s="1">
        <v>3</v>
      </c>
      <c r="C66" s="1" t="s">
        <v>19</v>
      </c>
      <c r="D66" s="1" t="s">
        <v>30</v>
      </c>
      <c r="E66" s="2" t="s">
        <v>30</v>
      </c>
      <c r="F66" s="2"/>
      <c r="G66" s="2" t="s">
        <v>30</v>
      </c>
      <c r="H66" s="2" t="s">
        <v>30</v>
      </c>
      <c r="I66" s="2"/>
      <c r="J66" s="2"/>
      <c r="K66" s="2"/>
      <c r="L66" s="9" t="s">
        <v>155</v>
      </c>
      <c r="M66" s="7" t="s">
        <v>156</v>
      </c>
      <c r="N66" s="2" t="s">
        <v>396</v>
      </c>
      <c r="O66" s="14"/>
      <c r="P66" s="7" t="s">
        <v>415</v>
      </c>
      <c r="Q66" s="14"/>
      <c r="S66" s="1" t="s">
        <v>1028</v>
      </c>
      <c r="T66" s="2" t="s">
        <v>157</v>
      </c>
      <c r="W66" s="2" t="s">
        <v>158</v>
      </c>
      <c r="X66" s="1" t="str">
        <f t="shared" si="1"/>
        <v>*/Guarantee[0]/GuaranteeReference[0]/otherGuaranteeReference</v>
      </c>
    </row>
    <row r="67" spans="1:24" ht="12" customHeight="1" outlineLevel="3" x14ac:dyDescent="0.35">
      <c r="A67" s="3" t="str">
        <f t="shared" si="2"/>
        <v>CC413B</v>
      </c>
      <c r="B67" s="4">
        <v>3</v>
      </c>
      <c r="C67" s="3" t="s">
        <v>24</v>
      </c>
      <c r="D67" s="3" t="s">
        <v>30</v>
      </c>
      <c r="E67" s="3" t="s">
        <v>30</v>
      </c>
      <c r="F67" s="3"/>
      <c r="G67" s="3" t="s">
        <v>30</v>
      </c>
      <c r="H67" s="3" t="s">
        <v>30</v>
      </c>
      <c r="I67" s="3"/>
      <c r="J67" s="3"/>
      <c r="K67" s="3"/>
      <c r="L67" s="10" t="s">
        <v>159</v>
      </c>
      <c r="M67" s="4"/>
      <c r="N67" s="3" t="s">
        <v>396</v>
      </c>
      <c r="O67" s="15"/>
      <c r="P67" s="16" t="s">
        <v>420</v>
      </c>
      <c r="Q67" s="15"/>
      <c r="R67" s="4"/>
      <c r="S67" s="4" t="s">
        <v>1029</v>
      </c>
      <c r="T67" s="3" t="s">
        <v>160</v>
      </c>
      <c r="U67" s="4"/>
      <c r="V67" s="4"/>
      <c r="W67" s="3" t="s">
        <v>161</v>
      </c>
      <c r="X67" s="1" t="str">
        <f t="shared" ref="X67:X130" si="3">IF($B67=0,$T67,_xlfn.TEXTBEFORE(X66,"/",$B67,,,X66)&amp;"/"&amp;$T67)&amp;IF(_xlfn.TEXTAFTER($E67,"..",,,,1)&lt;&gt;"1","[0]","")</f>
        <v>*/Guarantee[0]/GuaranteeReference[0]/CustomsOfficeOfGuarantee</v>
      </c>
    </row>
    <row r="68" spans="1:24" ht="12" customHeight="1" outlineLevel="4" x14ac:dyDescent="0.35">
      <c r="A68" s="2" t="str">
        <f t="shared" si="2"/>
        <v>CC413B</v>
      </c>
      <c r="B68" s="1">
        <v>4</v>
      </c>
      <c r="C68" s="1" t="s">
        <v>19</v>
      </c>
      <c r="D68" s="1" t="s">
        <v>25</v>
      </c>
      <c r="E68" s="2" t="s">
        <v>25</v>
      </c>
      <c r="F68" s="2"/>
      <c r="G68" s="2" t="s">
        <v>25</v>
      </c>
      <c r="H68" s="2" t="s">
        <v>25</v>
      </c>
      <c r="I68" s="2"/>
      <c r="J68" s="2"/>
      <c r="K68" s="2"/>
      <c r="L68" s="11" t="s">
        <v>63</v>
      </c>
      <c r="M68" s="7" t="s">
        <v>74</v>
      </c>
      <c r="N68" s="2" t="s">
        <v>27</v>
      </c>
      <c r="O68" s="14"/>
      <c r="P68" s="14"/>
      <c r="Q68" s="7" t="s">
        <v>399</v>
      </c>
      <c r="S68" s="1" t="s">
        <v>1029</v>
      </c>
      <c r="T68" s="2" t="s">
        <v>65</v>
      </c>
      <c r="W68" s="2" t="s">
        <v>75</v>
      </c>
      <c r="X68" s="1" t="str">
        <f t="shared" si="3"/>
        <v>*/Guarantee[0]/GuaranteeReference[0]/CustomsOfficeOfGuarantee/referenceNumber</v>
      </c>
    </row>
    <row r="69" spans="1:24" ht="12" customHeight="1" outlineLevel="1" x14ac:dyDescent="0.35">
      <c r="A69" s="3" t="str">
        <f t="shared" si="2"/>
        <v>CC413B</v>
      </c>
      <c r="B69" s="4">
        <v>1</v>
      </c>
      <c r="C69" s="3" t="s">
        <v>24</v>
      </c>
      <c r="D69" s="3" t="s">
        <v>30</v>
      </c>
      <c r="E69" s="3" t="s">
        <v>30</v>
      </c>
      <c r="F69" s="3"/>
      <c r="G69" s="3" t="s">
        <v>30</v>
      </c>
      <c r="H69" s="3" t="s">
        <v>30</v>
      </c>
      <c r="I69" s="3"/>
      <c r="J69" s="3"/>
      <c r="K69" s="3"/>
      <c r="L69" s="5" t="s">
        <v>162</v>
      </c>
      <c r="M69" s="4"/>
      <c r="N69" s="3" t="s">
        <v>22</v>
      </c>
      <c r="O69" s="16" t="s">
        <v>444</v>
      </c>
      <c r="P69" s="15"/>
      <c r="Q69" s="15"/>
      <c r="R69" s="4"/>
      <c r="S69" s="4" t="s">
        <v>1037</v>
      </c>
      <c r="T69" s="3" t="s">
        <v>163</v>
      </c>
      <c r="U69" s="4"/>
      <c r="V69" s="4"/>
      <c r="W69" s="3" t="s">
        <v>164</v>
      </c>
      <c r="X69" s="1" t="str">
        <f t="shared" si="3"/>
        <v>*/CurrencyExchange</v>
      </c>
    </row>
    <row r="70" spans="1:24" ht="12" customHeight="1" outlineLevel="2" x14ac:dyDescent="0.35">
      <c r="A70" s="2" t="str">
        <f t="shared" si="2"/>
        <v>CC413B</v>
      </c>
      <c r="B70" s="1">
        <v>2</v>
      </c>
      <c r="C70" s="1" t="s">
        <v>19</v>
      </c>
      <c r="D70" s="1" t="s">
        <v>30</v>
      </c>
      <c r="E70" s="2" t="s">
        <v>30</v>
      </c>
      <c r="F70" s="2"/>
      <c r="G70" s="2" t="s">
        <v>30</v>
      </c>
      <c r="H70" s="2" t="s">
        <v>30</v>
      </c>
      <c r="I70" s="2"/>
      <c r="J70" s="2"/>
      <c r="K70" s="2"/>
      <c r="L70" s="6" t="s">
        <v>165</v>
      </c>
      <c r="M70" s="7" t="s">
        <v>148</v>
      </c>
      <c r="N70" s="2" t="s">
        <v>396</v>
      </c>
      <c r="O70" s="7" t="s">
        <v>445</v>
      </c>
      <c r="P70" s="7" t="s">
        <v>446</v>
      </c>
      <c r="Q70" s="7" t="s">
        <v>418</v>
      </c>
      <c r="S70" s="1" t="s">
        <v>1038</v>
      </c>
      <c r="T70" s="2" t="s">
        <v>166</v>
      </c>
      <c r="W70" s="2" t="s">
        <v>150</v>
      </c>
      <c r="X70" s="1" t="str">
        <f t="shared" si="3"/>
        <v>*/CurrencyExchange/internalCurrencyUnit</v>
      </c>
    </row>
    <row r="71" spans="1:24" ht="12" customHeight="1" outlineLevel="1" x14ac:dyDescent="0.35">
      <c r="A71" s="3" t="str">
        <f t="shared" si="2"/>
        <v>CC413B</v>
      </c>
      <c r="B71" s="4">
        <v>1</v>
      </c>
      <c r="C71" s="3" t="s">
        <v>24</v>
      </c>
      <c r="D71" s="3" t="s">
        <v>53</v>
      </c>
      <c r="E71" s="3" t="s">
        <v>53</v>
      </c>
      <c r="F71" s="3" t="s">
        <v>53</v>
      </c>
      <c r="G71" s="3" t="s">
        <v>53</v>
      </c>
      <c r="H71" s="3" t="s">
        <v>53</v>
      </c>
      <c r="I71" s="3" t="s">
        <v>53</v>
      </c>
      <c r="J71" s="3" t="s">
        <v>53</v>
      </c>
      <c r="K71" s="3" t="s">
        <v>53</v>
      </c>
      <c r="L71" s="5" t="s">
        <v>167</v>
      </c>
      <c r="M71" s="4"/>
      <c r="N71" s="3" t="s">
        <v>396</v>
      </c>
      <c r="O71" s="15"/>
      <c r="P71" s="16" t="s">
        <v>421</v>
      </c>
      <c r="Q71" s="15"/>
      <c r="R71" s="4"/>
      <c r="S71" s="4" t="s">
        <v>1026</v>
      </c>
      <c r="T71" s="3" t="s">
        <v>168</v>
      </c>
      <c r="U71" s="4"/>
      <c r="V71" s="4"/>
      <c r="W71" s="3" t="s">
        <v>169</v>
      </c>
      <c r="X71" s="1" t="str">
        <f t="shared" si="3"/>
        <v>*/DeferredPayment[0]</v>
      </c>
    </row>
    <row r="72" spans="1:24" ht="12" customHeight="1" outlineLevel="2" x14ac:dyDescent="0.35">
      <c r="A72" s="2" t="str">
        <f t="shared" si="2"/>
        <v>CC413B</v>
      </c>
      <c r="B72" s="1">
        <v>2</v>
      </c>
      <c r="C72" s="1" t="s">
        <v>19</v>
      </c>
      <c r="D72" s="1" t="s">
        <v>25</v>
      </c>
      <c r="E72" s="2" t="s">
        <v>25</v>
      </c>
      <c r="F72" s="2" t="s">
        <v>25</v>
      </c>
      <c r="G72" s="2" t="s">
        <v>25</v>
      </c>
      <c r="H72" s="2" t="s">
        <v>25</v>
      </c>
      <c r="I72" s="2" t="s">
        <v>25</v>
      </c>
      <c r="J72" s="2" t="s">
        <v>25</v>
      </c>
      <c r="K72" s="2" t="s">
        <v>25</v>
      </c>
      <c r="L72" s="6" t="s">
        <v>56</v>
      </c>
      <c r="M72" s="7" t="s">
        <v>57</v>
      </c>
      <c r="N72" s="2" t="s">
        <v>27</v>
      </c>
      <c r="O72" s="7" t="s">
        <v>393</v>
      </c>
      <c r="P72" s="14"/>
      <c r="Q72" s="14"/>
      <c r="T72" s="2" t="s">
        <v>58</v>
      </c>
      <c r="W72" s="2" t="s">
        <v>59</v>
      </c>
      <c r="X72" s="1" t="str">
        <f t="shared" si="3"/>
        <v>*/DeferredPayment[0]/sequenceNumber</v>
      </c>
    </row>
    <row r="73" spans="1:24" ht="12" customHeight="1" outlineLevel="2" x14ac:dyDescent="0.35">
      <c r="A73" s="2" t="str">
        <f t="shared" si="2"/>
        <v>CC413B</v>
      </c>
      <c r="B73" s="1">
        <v>2</v>
      </c>
      <c r="C73" s="1" t="s">
        <v>19</v>
      </c>
      <c r="D73" s="1" t="s">
        <v>25</v>
      </c>
      <c r="E73" s="2" t="s">
        <v>25</v>
      </c>
      <c r="F73" s="2" t="s">
        <v>25</v>
      </c>
      <c r="G73" s="2" t="s">
        <v>25</v>
      </c>
      <c r="H73" s="2" t="s">
        <v>25</v>
      </c>
      <c r="I73" s="2" t="s">
        <v>25</v>
      </c>
      <c r="J73" s="2" t="s">
        <v>25</v>
      </c>
      <c r="K73" s="2" t="s">
        <v>25</v>
      </c>
      <c r="L73" s="6" t="s">
        <v>167</v>
      </c>
      <c r="M73" s="7" t="s">
        <v>156</v>
      </c>
      <c r="N73" s="2" t="s">
        <v>27</v>
      </c>
      <c r="O73" s="14"/>
      <c r="P73" s="14"/>
      <c r="Q73" s="14"/>
      <c r="S73" s="1" t="s">
        <v>1027</v>
      </c>
      <c r="T73" s="2" t="s">
        <v>170</v>
      </c>
      <c r="W73" s="2" t="s">
        <v>171</v>
      </c>
      <c r="X73" s="1" t="str">
        <f t="shared" si="3"/>
        <v>*/DeferredPayment[0]/deferredPayment</v>
      </c>
    </row>
    <row r="74" spans="1:24" ht="12" customHeight="1" outlineLevel="2" x14ac:dyDescent="0.35">
      <c r="A74" s="2" t="str">
        <f t="shared" si="2"/>
        <v>CC413B</v>
      </c>
      <c r="B74" s="1">
        <v>2</v>
      </c>
      <c r="C74" s="1" t="s">
        <v>19</v>
      </c>
      <c r="D74" s="1" t="s">
        <v>30</v>
      </c>
      <c r="E74" s="2" t="s">
        <v>30</v>
      </c>
      <c r="F74" s="2" t="s">
        <v>30</v>
      </c>
      <c r="G74" s="2" t="s">
        <v>30</v>
      </c>
      <c r="H74" s="2" t="s">
        <v>30</v>
      </c>
      <c r="I74" s="2" t="s">
        <v>30</v>
      </c>
      <c r="J74" s="2" t="s">
        <v>30</v>
      </c>
      <c r="K74" s="2" t="s">
        <v>30</v>
      </c>
      <c r="L74" s="6" t="s">
        <v>142</v>
      </c>
      <c r="M74" s="7" t="s">
        <v>50</v>
      </c>
      <c r="N74" s="2" t="s">
        <v>22</v>
      </c>
      <c r="O74" s="7" t="s">
        <v>414</v>
      </c>
      <c r="P74" s="14"/>
      <c r="Q74" s="7" t="s">
        <v>416</v>
      </c>
      <c r="T74" s="2" t="s">
        <v>143</v>
      </c>
      <c r="W74" s="2" t="s">
        <v>52</v>
      </c>
      <c r="X74" s="1" t="str">
        <f t="shared" si="3"/>
        <v>*/DeferredPayment[0]/ccQualifier</v>
      </c>
    </row>
    <row r="75" spans="1:24" ht="12" customHeight="1" outlineLevel="1" x14ac:dyDescent="0.35">
      <c r="A75" s="3" t="str">
        <f t="shared" si="2"/>
        <v>CC413B</v>
      </c>
      <c r="B75" s="4">
        <v>1</v>
      </c>
      <c r="C75" s="3" t="s">
        <v>24</v>
      </c>
      <c r="D75" s="3" t="s">
        <v>172</v>
      </c>
      <c r="E75" s="3" t="s">
        <v>172</v>
      </c>
      <c r="F75" s="3" t="s">
        <v>172</v>
      </c>
      <c r="G75" s="3" t="s">
        <v>172</v>
      </c>
      <c r="H75" s="3" t="s">
        <v>172</v>
      </c>
      <c r="I75" s="3" t="s">
        <v>172</v>
      </c>
      <c r="J75" s="3" t="s">
        <v>172</v>
      </c>
      <c r="K75" s="3" t="s">
        <v>172</v>
      </c>
      <c r="L75" s="5" t="s">
        <v>173</v>
      </c>
      <c r="M75" s="4"/>
      <c r="N75" s="3" t="s">
        <v>27</v>
      </c>
      <c r="O75" s="16" t="s">
        <v>422</v>
      </c>
      <c r="P75" s="15"/>
      <c r="Q75" s="15"/>
      <c r="R75" s="4"/>
      <c r="S75" s="4"/>
      <c r="T75" s="3" t="s">
        <v>174</v>
      </c>
      <c r="U75" s="4"/>
      <c r="V75" s="4"/>
      <c r="W75" s="3" t="s">
        <v>175</v>
      </c>
      <c r="X75" s="1" t="str">
        <f t="shared" si="3"/>
        <v>*/GoodsShipment[0]</v>
      </c>
    </row>
    <row r="76" spans="1:24" ht="12" customHeight="1" outlineLevel="2" x14ac:dyDescent="0.35">
      <c r="A76" s="2" t="str">
        <f t="shared" si="2"/>
        <v>CC413B</v>
      </c>
      <c r="B76" s="1">
        <v>2</v>
      </c>
      <c r="C76" s="1" t="s">
        <v>19</v>
      </c>
      <c r="D76" s="1" t="s">
        <v>25</v>
      </c>
      <c r="E76" s="2" t="s">
        <v>25</v>
      </c>
      <c r="F76" s="2" t="s">
        <v>25</v>
      </c>
      <c r="G76" s="2" t="s">
        <v>25</v>
      </c>
      <c r="H76" s="2" t="s">
        <v>25</v>
      </c>
      <c r="I76" s="2" t="s">
        <v>25</v>
      </c>
      <c r="J76" s="2" t="s">
        <v>25</v>
      </c>
      <c r="K76" s="2" t="s">
        <v>25</v>
      </c>
      <c r="L76" s="6" t="s">
        <v>56</v>
      </c>
      <c r="M76" s="7" t="s">
        <v>57</v>
      </c>
      <c r="N76" s="2" t="s">
        <v>27</v>
      </c>
      <c r="O76" s="7" t="s">
        <v>393</v>
      </c>
      <c r="P76" s="14"/>
      <c r="Q76" s="14"/>
      <c r="T76" s="2" t="s">
        <v>58</v>
      </c>
      <c r="W76" s="2" t="s">
        <v>59</v>
      </c>
      <c r="X76" s="1" t="str">
        <f t="shared" si="3"/>
        <v>*/GoodsShipment[0]/sequenceNumber</v>
      </c>
    </row>
    <row r="77" spans="1:24" ht="12" customHeight="1" outlineLevel="2" x14ac:dyDescent="0.35">
      <c r="A77" s="2" t="str">
        <f t="shared" si="2"/>
        <v>CC413B</v>
      </c>
      <c r="B77" s="1">
        <v>2</v>
      </c>
      <c r="C77" s="1" t="s">
        <v>19</v>
      </c>
      <c r="D77" s="1" t="s">
        <v>30</v>
      </c>
      <c r="E77" s="2" t="s">
        <v>30</v>
      </c>
      <c r="F77" s="2" t="s">
        <v>30</v>
      </c>
      <c r="G77" s="2" t="s">
        <v>30</v>
      </c>
      <c r="H77" s="2" t="s">
        <v>30</v>
      </c>
      <c r="I77" s="2" t="s">
        <v>30</v>
      </c>
      <c r="J77" s="2"/>
      <c r="K77" s="2"/>
      <c r="L77" s="6" t="s">
        <v>176</v>
      </c>
      <c r="M77" s="7" t="s">
        <v>177</v>
      </c>
      <c r="N77" s="2" t="s">
        <v>396</v>
      </c>
      <c r="O77" s="7" t="s">
        <v>423</v>
      </c>
      <c r="P77" s="7" t="s">
        <v>424</v>
      </c>
      <c r="Q77" s="7" t="s">
        <v>425</v>
      </c>
      <c r="S77" s="1" t="s">
        <v>1039</v>
      </c>
      <c r="T77" s="2" t="s">
        <v>178</v>
      </c>
      <c r="W77" s="2" t="s">
        <v>179</v>
      </c>
      <c r="X77" s="1" t="str">
        <f t="shared" si="3"/>
        <v>*/GoodsShipment[0]/natureOfTransaction</v>
      </c>
    </row>
    <row r="78" spans="1:24" ht="12" customHeight="1" outlineLevel="2" x14ac:dyDescent="0.35">
      <c r="A78" s="2" t="str">
        <f t="shared" si="2"/>
        <v>CC413B</v>
      </c>
      <c r="B78" s="1">
        <v>2</v>
      </c>
      <c r="C78" s="1" t="s">
        <v>19</v>
      </c>
      <c r="D78" s="1" t="s">
        <v>30</v>
      </c>
      <c r="E78" s="2" t="s">
        <v>30</v>
      </c>
      <c r="F78" s="2"/>
      <c r="G78" s="2" t="s">
        <v>30</v>
      </c>
      <c r="H78" s="2" t="s">
        <v>30</v>
      </c>
      <c r="I78" s="2" t="s">
        <v>30</v>
      </c>
      <c r="J78" s="2" t="s">
        <v>30</v>
      </c>
      <c r="K78" s="2"/>
      <c r="L78" s="6" t="s">
        <v>180</v>
      </c>
      <c r="M78" s="7" t="s">
        <v>181</v>
      </c>
      <c r="N78" s="2" t="s">
        <v>396</v>
      </c>
      <c r="O78" s="14"/>
      <c r="P78" s="7" t="s">
        <v>426</v>
      </c>
      <c r="Q78" s="14"/>
      <c r="S78" s="1" t="s">
        <v>1040</v>
      </c>
      <c r="T78" s="2" t="s">
        <v>182</v>
      </c>
      <c r="W78" s="2" t="s">
        <v>183</v>
      </c>
      <c r="X78" s="1" t="str">
        <f t="shared" si="3"/>
        <v>*/GoodsShipment[0]/totalAmountInvoiced</v>
      </c>
    </row>
    <row r="79" spans="1:24" ht="12" customHeight="1" outlineLevel="2" x14ac:dyDescent="0.35">
      <c r="A79" s="2" t="str">
        <f t="shared" si="2"/>
        <v>CC413B</v>
      </c>
      <c r="B79" s="1">
        <v>2</v>
      </c>
      <c r="C79" s="1" t="s">
        <v>19</v>
      </c>
      <c r="D79" s="1" t="s">
        <v>30</v>
      </c>
      <c r="E79" s="2" t="s">
        <v>30</v>
      </c>
      <c r="F79" s="2" t="s">
        <v>30</v>
      </c>
      <c r="G79" s="2" t="s">
        <v>30</v>
      </c>
      <c r="H79" s="2" t="s">
        <v>30</v>
      </c>
      <c r="I79" s="2" t="s">
        <v>30</v>
      </c>
      <c r="J79" s="2" t="s">
        <v>30</v>
      </c>
      <c r="K79" s="2" t="s">
        <v>30</v>
      </c>
      <c r="L79" s="6" t="s">
        <v>184</v>
      </c>
      <c r="M79" s="7" t="s">
        <v>148</v>
      </c>
      <c r="N79" s="2" t="s">
        <v>396</v>
      </c>
      <c r="O79" s="7" t="s">
        <v>447</v>
      </c>
      <c r="P79" s="7" t="s">
        <v>428</v>
      </c>
      <c r="Q79" s="7" t="s">
        <v>429</v>
      </c>
      <c r="S79" s="1" t="s">
        <v>1041</v>
      </c>
      <c r="T79" s="2" t="s">
        <v>185</v>
      </c>
      <c r="W79" s="2" t="s">
        <v>150</v>
      </c>
      <c r="X79" s="1" t="str">
        <f t="shared" si="3"/>
        <v>*/GoodsShipment[0]/invoiceCurrency</v>
      </c>
    </row>
    <row r="80" spans="1:24" ht="12" customHeight="1" outlineLevel="2" x14ac:dyDescent="0.35">
      <c r="A80" s="2" t="str">
        <f t="shared" si="2"/>
        <v>CC413B</v>
      </c>
      <c r="B80" s="1">
        <v>2</v>
      </c>
      <c r="C80" s="1" t="s">
        <v>19</v>
      </c>
      <c r="D80" s="1" t="s">
        <v>30</v>
      </c>
      <c r="E80" s="2" t="s">
        <v>30</v>
      </c>
      <c r="F80" s="2" t="s">
        <v>30</v>
      </c>
      <c r="G80" s="2" t="s">
        <v>30</v>
      </c>
      <c r="H80" s="2" t="s">
        <v>30</v>
      </c>
      <c r="I80" s="2" t="s">
        <v>30</v>
      </c>
      <c r="J80" s="2" t="s">
        <v>30</v>
      </c>
      <c r="K80" s="2" t="s">
        <v>30</v>
      </c>
      <c r="L80" s="6" t="s">
        <v>186</v>
      </c>
      <c r="M80" s="7" t="s">
        <v>47</v>
      </c>
      <c r="N80" s="2" t="s">
        <v>396</v>
      </c>
      <c r="O80" s="7" t="s">
        <v>430</v>
      </c>
      <c r="P80" s="7" t="s">
        <v>431</v>
      </c>
      <c r="Q80" s="14"/>
      <c r="S80" s="1" t="s">
        <v>1042</v>
      </c>
      <c r="T80" s="2" t="s">
        <v>187</v>
      </c>
      <c r="W80" s="2" t="s">
        <v>188</v>
      </c>
      <c r="X80" s="1" t="str">
        <f t="shared" si="3"/>
        <v>*/GoodsShipment[0]/dateOfAcceptance</v>
      </c>
    </row>
    <row r="81" spans="1:24" ht="12" customHeight="1" outlineLevel="2" x14ac:dyDescent="0.35">
      <c r="A81" s="2" t="str">
        <f t="shared" si="2"/>
        <v>CC413B</v>
      </c>
      <c r="B81" s="1">
        <v>2</v>
      </c>
      <c r="C81" s="1" t="s">
        <v>19</v>
      </c>
      <c r="D81" s="1" t="s">
        <v>30</v>
      </c>
      <c r="E81" s="2" t="s">
        <v>30</v>
      </c>
      <c r="F81" s="2" t="s">
        <v>30</v>
      </c>
      <c r="G81" s="2" t="s">
        <v>30</v>
      </c>
      <c r="H81" s="2" t="s">
        <v>30</v>
      </c>
      <c r="I81" s="2" t="s">
        <v>30</v>
      </c>
      <c r="J81" s="2" t="s">
        <v>30</v>
      </c>
      <c r="K81" s="2" t="s">
        <v>30</v>
      </c>
      <c r="L81" s="6" t="s">
        <v>189</v>
      </c>
      <c r="M81" s="7" t="s">
        <v>190</v>
      </c>
      <c r="N81" s="2" t="s">
        <v>22</v>
      </c>
      <c r="O81" s="7" t="s">
        <v>448</v>
      </c>
      <c r="P81" s="14"/>
      <c r="Q81" s="14"/>
      <c r="T81" s="2" t="s">
        <v>191</v>
      </c>
      <c r="W81" s="2" t="s">
        <v>192</v>
      </c>
      <c r="X81" s="1" t="str">
        <f t="shared" si="3"/>
        <v>*/GoodsShipment[0]/exchangeRate</v>
      </c>
    </row>
    <row r="82" spans="1:24" ht="12" customHeight="1" outlineLevel="2" x14ac:dyDescent="0.35">
      <c r="A82" s="3" t="str">
        <f t="shared" si="2"/>
        <v>CC413B</v>
      </c>
      <c r="B82" s="4">
        <v>2</v>
      </c>
      <c r="C82" s="3" t="s">
        <v>24</v>
      </c>
      <c r="D82" s="3" t="s">
        <v>193</v>
      </c>
      <c r="E82" s="3" t="s">
        <v>193</v>
      </c>
      <c r="F82" s="3" t="s">
        <v>193</v>
      </c>
      <c r="G82" s="3" t="s">
        <v>193</v>
      </c>
      <c r="H82" s="3" t="s">
        <v>193</v>
      </c>
      <c r="I82" s="3" t="s">
        <v>193</v>
      </c>
      <c r="J82" s="3" t="s">
        <v>193</v>
      </c>
      <c r="K82" s="3"/>
      <c r="L82" s="8" t="s">
        <v>194</v>
      </c>
      <c r="M82" s="4"/>
      <c r="N82" s="3" t="s">
        <v>22</v>
      </c>
      <c r="O82" s="16" t="s">
        <v>432</v>
      </c>
      <c r="P82" s="15"/>
      <c r="Q82" s="15"/>
      <c r="R82" s="4"/>
      <c r="S82" s="4" t="s">
        <v>1043</v>
      </c>
      <c r="T82" s="3" t="s">
        <v>195</v>
      </c>
      <c r="U82" s="4"/>
      <c r="V82" s="4"/>
      <c r="W82" s="3" t="s">
        <v>196</v>
      </c>
      <c r="X82" s="1" t="str">
        <f t="shared" si="3"/>
        <v>*/GoodsShipment[0]/AdditionalSupplyChainActor[0]</v>
      </c>
    </row>
    <row r="83" spans="1:24" ht="12" customHeight="1" outlineLevel="3" x14ac:dyDescent="0.35">
      <c r="A83" s="2" t="str">
        <f t="shared" si="2"/>
        <v>CC413B</v>
      </c>
      <c r="B83" s="1">
        <v>3</v>
      </c>
      <c r="C83" s="1" t="s">
        <v>19</v>
      </c>
      <c r="D83" s="1" t="s">
        <v>25</v>
      </c>
      <c r="E83" s="2" t="s">
        <v>25</v>
      </c>
      <c r="F83" s="2" t="s">
        <v>25</v>
      </c>
      <c r="G83" s="2" t="s">
        <v>25</v>
      </c>
      <c r="H83" s="2" t="s">
        <v>25</v>
      </c>
      <c r="I83" s="2" t="s">
        <v>25</v>
      </c>
      <c r="J83" s="2" t="s">
        <v>25</v>
      </c>
      <c r="K83" s="2"/>
      <c r="L83" s="9" t="s">
        <v>56</v>
      </c>
      <c r="M83" s="7" t="s">
        <v>57</v>
      </c>
      <c r="N83" s="2" t="s">
        <v>27</v>
      </c>
      <c r="O83" s="7" t="s">
        <v>393</v>
      </c>
      <c r="P83" s="14"/>
      <c r="Q83" s="14"/>
      <c r="T83" s="2" t="s">
        <v>58</v>
      </c>
      <c r="W83" s="2" t="s">
        <v>59</v>
      </c>
      <c r="X83" s="1" t="str">
        <f t="shared" si="3"/>
        <v>*/GoodsShipment[0]/AdditionalSupplyChainActor[0]/sequenceNumber</v>
      </c>
    </row>
    <row r="84" spans="1:24" ht="12" customHeight="1" outlineLevel="3" x14ac:dyDescent="0.35">
      <c r="A84" s="2" t="str">
        <f t="shared" si="2"/>
        <v>CC413B</v>
      </c>
      <c r="B84" s="1">
        <v>3</v>
      </c>
      <c r="C84" s="1" t="s">
        <v>19</v>
      </c>
      <c r="D84" s="1" t="s">
        <v>25</v>
      </c>
      <c r="E84" s="2" t="s">
        <v>25</v>
      </c>
      <c r="F84" s="2" t="s">
        <v>25</v>
      </c>
      <c r="G84" s="2" t="s">
        <v>25</v>
      </c>
      <c r="H84" s="2" t="s">
        <v>25</v>
      </c>
      <c r="I84" s="2" t="s">
        <v>25</v>
      </c>
      <c r="J84" s="2" t="s">
        <v>25</v>
      </c>
      <c r="K84" s="2"/>
      <c r="L84" s="9" t="s">
        <v>197</v>
      </c>
      <c r="M84" s="7" t="s">
        <v>198</v>
      </c>
      <c r="N84" s="2" t="s">
        <v>27</v>
      </c>
      <c r="O84" s="14"/>
      <c r="P84" s="14"/>
      <c r="Q84" s="7" t="s">
        <v>433</v>
      </c>
      <c r="S84" s="1" t="s">
        <v>1044</v>
      </c>
      <c r="T84" s="2" t="s">
        <v>199</v>
      </c>
      <c r="W84" s="2" t="s">
        <v>200</v>
      </c>
      <c r="X84" s="1" t="str">
        <f t="shared" si="3"/>
        <v>*/GoodsShipment[0]/AdditionalSupplyChainActor[0]/role</v>
      </c>
    </row>
    <row r="85" spans="1:24" ht="12" customHeight="1" outlineLevel="3" x14ac:dyDescent="0.35">
      <c r="A85" s="2" t="str">
        <f t="shared" si="2"/>
        <v>CC413B</v>
      </c>
      <c r="B85" s="1">
        <v>3</v>
      </c>
      <c r="C85" s="1" t="s">
        <v>19</v>
      </c>
      <c r="D85" s="1" t="s">
        <v>25</v>
      </c>
      <c r="E85" s="2" t="s">
        <v>25</v>
      </c>
      <c r="F85" s="2" t="s">
        <v>25</v>
      </c>
      <c r="G85" s="2" t="s">
        <v>25</v>
      </c>
      <c r="H85" s="2" t="s">
        <v>25</v>
      </c>
      <c r="I85" s="2" t="s">
        <v>25</v>
      </c>
      <c r="J85" s="2" t="s">
        <v>25</v>
      </c>
      <c r="K85" s="2"/>
      <c r="L85" s="9" t="s">
        <v>81</v>
      </c>
      <c r="M85" s="7" t="s">
        <v>68</v>
      </c>
      <c r="N85" s="2" t="s">
        <v>27</v>
      </c>
      <c r="O85" s="7" t="s">
        <v>434</v>
      </c>
      <c r="P85" s="14"/>
      <c r="Q85" s="14"/>
      <c r="S85" s="1" t="s">
        <v>1045</v>
      </c>
      <c r="T85" s="2" t="s">
        <v>82</v>
      </c>
      <c r="W85" s="2" t="s">
        <v>70</v>
      </c>
      <c r="X85" s="1" t="str">
        <f t="shared" si="3"/>
        <v>*/GoodsShipment[0]/AdditionalSupplyChainActor[0]/identificationNumber</v>
      </c>
    </row>
    <row r="86" spans="1:24" ht="12" customHeight="1" outlineLevel="2" x14ac:dyDescent="0.35">
      <c r="A86" s="3" t="str">
        <f t="shared" si="2"/>
        <v>CC413B</v>
      </c>
      <c r="B86" s="4">
        <v>2</v>
      </c>
      <c r="C86" s="3" t="s">
        <v>24</v>
      </c>
      <c r="D86" s="3" t="s">
        <v>30</v>
      </c>
      <c r="E86" s="3" t="s">
        <v>30</v>
      </c>
      <c r="F86" s="3" t="s">
        <v>30</v>
      </c>
      <c r="G86" s="3"/>
      <c r="H86" s="3"/>
      <c r="I86" s="3"/>
      <c r="J86" s="3"/>
      <c r="K86" s="3"/>
      <c r="L86" s="8" t="s">
        <v>201</v>
      </c>
      <c r="M86" s="4"/>
      <c r="N86" s="3" t="s">
        <v>396</v>
      </c>
      <c r="O86" s="16" t="s">
        <v>435</v>
      </c>
      <c r="P86" s="16" t="s">
        <v>436</v>
      </c>
      <c r="Q86" s="15"/>
      <c r="R86" s="4"/>
      <c r="S86" s="4" t="s">
        <v>1046</v>
      </c>
      <c r="T86" s="3" t="s">
        <v>201</v>
      </c>
      <c r="U86" s="4"/>
      <c r="V86" s="4"/>
      <c r="W86" s="3" t="s">
        <v>202</v>
      </c>
      <c r="X86" s="1" t="str">
        <f t="shared" si="3"/>
        <v>*/GoodsShipment[0]/Buyer</v>
      </c>
    </row>
    <row r="87" spans="1:24" ht="12" customHeight="1" outlineLevel="3" x14ac:dyDescent="0.35">
      <c r="A87" s="2" t="str">
        <f t="shared" si="2"/>
        <v>CC413B</v>
      </c>
      <c r="B87" s="1">
        <v>3</v>
      </c>
      <c r="C87" s="1" t="s">
        <v>19</v>
      </c>
      <c r="D87" s="1" t="s">
        <v>30</v>
      </c>
      <c r="E87" s="2" t="s">
        <v>30</v>
      </c>
      <c r="F87" s="2" t="s">
        <v>25</v>
      </c>
      <c r="G87" s="2"/>
      <c r="H87" s="2"/>
      <c r="I87" s="2"/>
      <c r="J87" s="2"/>
      <c r="K87" s="2"/>
      <c r="L87" s="9" t="s">
        <v>81</v>
      </c>
      <c r="M87" s="7" t="s">
        <v>68</v>
      </c>
      <c r="N87" s="2" t="s">
        <v>22</v>
      </c>
      <c r="O87" s="7" t="s">
        <v>434</v>
      </c>
      <c r="P87" s="14"/>
      <c r="Q87" s="14"/>
      <c r="S87" s="1" t="s">
        <v>1047</v>
      </c>
      <c r="T87" s="2" t="s">
        <v>82</v>
      </c>
      <c r="W87" s="2" t="s">
        <v>70</v>
      </c>
      <c r="X87" s="1" t="str">
        <f t="shared" si="3"/>
        <v>*/GoodsShipment[0]/Buyer/identificationNumber</v>
      </c>
    </row>
    <row r="88" spans="1:24" ht="12" customHeight="1" outlineLevel="3" x14ac:dyDescent="0.35">
      <c r="A88" s="2" t="str">
        <f t="shared" si="2"/>
        <v>CC413B</v>
      </c>
      <c r="B88" s="1">
        <v>3</v>
      </c>
      <c r="C88" s="1" t="s">
        <v>19</v>
      </c>
      <c r="D88" s="1" t="s">
        <v>30</v>
      </c>
      <c r="E88" s="2" t="s">
        <v>30</v>
      </c>
      <c r="F88" s="2"/>
      <c r="G88" s="2"/>
      <c r="H88" s="2"/>
      <c r="I88" s="2"/>
      <c r="J88" s="2"/>
      <c r="K88" s="2"/>
      <c r="L88" s="9" t="s">
        <v>4</v>
      </c>
      <c r="M88" s="7" t="s">
        <v>83</v>
      </c>
      <c r="N88" s="2" t="s">
        <v>396</v>
      </c>
      <c r="O88" s="14"/>
      <c r="P88" s="7" t="s">
        <v>401</v>
      </c>
      <c r="Q88" s="14"/>
      <c r="S88" s="1" t="s">
        <v>1048</v>
      </c>
      <c r="T88" s="2" t="s">
        <v>84</v>
      </c>
      <c r="W88" s="2" t="s">
        <v>85</v>
      </c>
      <c r="X88" s="1" t="str">
        <f t="shared" si="3"/>
        <v>*/GoodsShipment[0]/Buyer/name</v>
      </c>
    </row>
    <row r="89" spans="1:24" ht="12" customHeight="1" outlineLevel="3" x14ac:dyDescent="0.35">
      <c r="A89" s="3" t="str">
        <f t="shared" si="2"/>
        <v>CC413B</v>
      </c>
      <c r="B89" s="4">
        <v>3</v>
      </c>
      <c r="C89" s="3" t="s">
        <v>24</v>
      </c>
      <c r="D89" s="3" t="s">
        <v>30</v>
      </c>
      <c r="E89" s="3" t="s">
        <v>30</v>
      </c>
      <c r="F89" s="3"/>
      <c r="G89" s="3"/>
      <c r="H89" s="3"/>
      <c r="I89" s="3"/>
      <c r="J89" s="3"/>
      <c r="K89" s="3"/>
      <c r="L89" s="10" t="s">
        <v>86</v>
      </c>
      <c r="M89" s="4"/>
      <c r="N89" s="3" t="s">
        <v>396</v>
      </c>
      <c r="O89" s="15"/>
      <c r="P89" s="16" t="s">
        <v>401</v>
      </c>
      <c r="Q89" s="15"/>
      <c r="R89" s="4"/>
      <c r="S89" s="4" t="s">
        <v>1049</v>
      </c>
      <c r="T89" s="3" t="s">
        <v>86</v>
      </c>
      <c r="U89" s="4"/>
      <c r="V89" s="4"/>
      <c r="W89" s="3" t="s">
        <v>87</v>
      </c>
      <c r="X89" s="1" t="str">
        <f t="shared" si="3"/>
        <v>*/GoodsShipment[0]/Buyer/Address</v>
      </c>
    </row>
    <row r="90" spans="1:24" ht="12" customHeight="1" outlineLevel="4" x14ac:dyDescent="0.35">
      <c r="A90" s="2" t="str">
        <f t="shared" si="2"/>
        <v>CC413B</v>
      </c>
      <c r="B90" s="1">
        <v>4</v>
      </c>
      <c r="C90" s="1" t="s">
        <v>19</v>
      </c>
      <c r="D90" s="1" t="s">
        <v>25</v>
      </c>
      <c r="E90" s="2" t="s">
        <v>25</v>
      </c>
      <c r="F90" s="2"/>
      <c r="G90" s="2"/>
      <c r="H90" s="2"/>
      <c r="I90" s="2"/>
      <c r="J90" s="2"/>
      <c r="K90" s="2"/>
      <c r="L90" s="11" t="s">
        <v>88</v>
      </c>
      <c r="M90" s="7" t="s">
        <v>83</v>
      </c>
      <c r="N90" s="2" t="s">
        <v>27</v>
      </c>
      <c r="O90" s="14"/>
      <c r="P90" s="14"/>
      <c r="Q90" s="14"/>
      <c r="S90" s="1" t="s">
        <v>1050</v>
      </c>
      <c r="T90" s="2" t="s">
        <v>89</v>
      </c>
      <c r="W90" s="2" t="s">
        <v>90</v>
      </c>
      <c r="X90" s="1" t="str">
        <f t="shared" si="3"/>
        <v>*/GoodsShipment[0]/Buyer/Address/streetAndNumber</v>
      </c>
    </row>
    <row r="91" spans="1:24" ht="12" customHeight="1" outlineLevel="4" x14ac:dyDescent="0.35">
      <c r="A91" s="2" t="str">
        <f t="shared" si="2"/>
        <v>CC413B</v>
      </c>
      <c r="B91" s="1">
        <v>4</v>
      </c>
      <c r="C91" s="1" t="s">
        <v>19</v>
      </c>
      <c r="D91" s="1" t="s">
        <v>30</v>
      </c>
      <c r="E91" s="2" t="s">
        <v>30</v>
      </c>
      <c r="F91" s="2"/>
      <c r="G91" s="2"/>
      <c r="H91" s="2"/>
      <c r="I91" s="2"/>
      <c r="J91" s="2"/>
      <c r="K91" s="2"/>
      <c r="L91" s="11" t="s">
        <v>91</v>
      </c>
      <c r="M91" s="7" t="s">
        <v>92</v>
      </c>
      <c r="N91" s="2" t="s">
        <v>396</v>
      </c>
      <c r="O91" s="14"/>
      <c r="P91" s="7" t="s">
        <v>402</v>
      </c>
      <c r="Q91" s="14"/>
      <c r="S91" s="1" t="s">
        <v>1051</v>
      </c>
      <c r="T91" s="2" t="s">
        <v>93</v>
      </c>
      <c r="W91" s="2" t="s">
        <v>94</v>
      </c>
      <c r="X91" s="1" t="str">
        <f t="shared" si="3"/>
        <v>*/GoodsShipment[0]/Buyer/Address/postcode</v>
      </c>
    </row>
    <row r="92" spans="1:24" ht="12" customHeight="1" outlineLevel="4" x14ac:dyDescent="0.35">
      <c r="A92" s="2" t="str">
        <f t="shared" si="2"/>
        <v>CC413B</v>
      </c>
      <c r="B92" s="1">
        <v>4</v>
      </c>
      <c r="C92" s="1" t="s">
        <v>19</v>
      </c>
      <c r="D92" s="1" t="s">
        <v>25</v>
      </c>
      <c r="E92" s="2" t="s">
        <v>25</v>
      </c>
      <c r="F92" s="2"/>
      <c r="G92" s="2"/>
      <c r="H92" s="2"/>
      <c r="I92" s="2"/>
      <c r="J92" s="2"/>
      <c r="K92" s="2"/>
      <c r="L92" s="11" t="s">
        <v>95</v>
      </c>
      <c r="M92" s="7" t="s">
        <v>96</v>
      </c>
      <c r="N92" s="2" t="s">
        <v>27</v>
      </c>
      <c r="O92" s="14"/>
      <c r="P92" s="14"/>
      <c r="Q92" s="14"/>
      <c r="S92" s="1" t="s">
        <v>1052</v>
      </c>
      <c r="T92" s="2" t="s">
        <v>97</v>
      </c>
      <c r="W92" s="2" t="s">
        <v>98</v>
      </c>
      <c r="X92" s="1" t="str">
        <f t="shared" si="3"/>
        <v>*/GoodsShipment[0]/Buyer/Address/city</v>
      </c>
    </row>
    <row r="93" spans="1:24" ht="12" customHeight="1" outlineLevel="4" x14ac:dyDescent="0.35">
      <c r="A93" s="2" t="str">
        <f t="shared" si="2"/>
        <v>CC413B</v>
      </c>
      <c r="B93" s="1">
        <v>4</v>
      </c>
      <c r="C93" s="1" t="s">
        <v>19</v>
      </c>
      <c r="D93" s="1" t="s">
        <v>25</v>
      </c>
      <c r="E93" s="2" t="s">
        <v>25</v>
      </c>
      <c r="F93" s="2"/>
      <c r="G93" s="2"/>
      <c r="H93" s="2"/>
      <c r="I93" s="2"/>
      <c r="J93" s="2"/>
      <c r="K93" s="2"/>
      <c r="L93" s="11" t="s">
        <v>99</v>
      </c>
      <c r="M93" s="7" t="s">
        <v>50</v>
      </c>
      <c r="N93" s="2" t="s">
        <v>27</v>
      </c>
      <c r="O93" s="14"/>
      <c r="P93" s="14"/>
      <c r="Q93" s="7" t="s">
        <v>403</v>
      </c>
      <c r="S93" s="1" t="s">
        <v>1053</v>
      </c>
      <c r="T93" s="2" t="s">
        <v>100</v>
      </c>
      <c r="W93" s="2" t="s">
        <v>52</v>
      </c>
      <c r="X93" s="1" t="str">
        <f t="shared" si="3"/>
        <v>*/GoodsShipment[0]/Buyer/Address/country</v>
      </c>
    </row>
    <row r="94" spans="1:24" ht="12" customHeight="1" outlineLevel="2" x14ac:dyDescent="0.35">
      <c r="A94" s="3" t="str">
        <f t="shared" si="2"/>
        <v>CC413B</v>
      </c>
      <c r="B94" s="4">
        <v>2</v>
      </c>
      <c r="C94" s="3" t="s">
        <v>24</v>
      </c>
      <c r="D94" s="3" t="s">
        <v>30</v>
      </c>
      <c r="E94" s="3" t="s">
        <v>30</v>
      </c>
      <c r="F94" s="3"/>
      <c r="G94" s="3"/>
      <c r="H94" s="3"/>
      <c r="I94" s="3"/>
      <c r="J94" s="3"/>
      <c r="K94" s="3"/>
      <c r="L94" s="8" t="s">
        <v>203</v>
      </c>
      <c r="M94" s="4"/>
      <c r="N94" s="3" t="s">
        <v>396</v>
      </c>
      <c r="O94" s="16" t="s">
        <v>437</v>
      </c>
      <c r="P94" s="16" t="s">
        <v>436</v>
      </c>
      <c r="Q94" s="15"/>
      <c r="R94" s="4"/>
      <c r="S94" s="4" t="s">
        <v>1054</v>
      </c>
      <c r="T94" s="3" t="s">
        <v>203</v>
      </c>
      <c r="U94" s="4"/>
      <c r="V94" s="4"/>
      <c r="W94" s="3" t="s">
        <v>204</v>
      </c>
      <c r="X94" s="1" t="str">
        <f t="shared" si="3"/>
        <v>*/GoodsShipment[0]/Seller</v>
      </c>
    </row>
    <row r="95" spans="1:24" ht="12" customHeight="1" outlineLevel="3" x14ac:dyDescent="0.35">
      <c r="A95" s="2" t="str">
        <f t="shared" si="2"/>
        <v>CC413B</v>
      </c>
      <c r="B95" s="1">
        <v>3</v>
      </c>
      <c r="C95" s="1" t="s">
        <v>19</v>
      </c>
      <c r="D95" s="1" t="s">
        <v>30</v>
      </c>
      <c r="E95" s="2" t="s">
        <v>30</v>
      </c>
      <c r="F95" s="2"/>
      <c r="G95" s="2"/>
      <c r="H95" s="2"/>
      <c r="I95" s="2"/>
      <c r="J95" s="2"/>
      <c r="K95" s="2"/>
      <c r="L95" s="9" t="s">
        <v>81</v>
      </c>
      <c r="M95" s="7" t="s">
        <v>68</v>
      </c>
      <c r="N95" s="2" t="s">
        <v>22</v>
      </c>
      <c r="O95" s="7" t="s">
        <v>434</v>
      </c>
      <c r="P95" s="14"/>
      <c r="Q95" s="14"/>
      <c r="S95" s="1" t="s">
        <v>1055</v>
      </c>
      <c r="T95" s="2" t="s">
        <v>82</v>
      </c>
      <c r="W95" s="2" t="s">
        <v>70</v>
      </c>
      <c r="X95" s="1" t="str">
        <f t="shared" si="3"/>
        <v>*/GoodsShipment[0]/Seller/identificationNumber</v>
      </c>
    </row>
    <row r="96" spans="1:24" ht="12" customHeight="1" outlineLevel="3" x14ac:dyDescent="0.35">
      <c r="A96" s="2" t="str">
        <f t="shared" si="2"/>
        <v>CC413B</v>
      </c>
      <c r="B96" s="1">
        <v>3</v>
      </c>
      <c r="C96" s="1" t="s">
        <v>19</v>
      </c>
      <c r="D96" s="1" t="s">
        <v>30</v>
      </c>
      <c r="E96" s="2" t="s">
        <v>30</v>
      </c>
      <c r="F96" s="2"/>
      <c r="G96" s="2"/>
      <c r="H96" s="2"/>
      <c r="I96" s="2"/>
      <c r="J96" s="2"/>
      <c r="K96" s="2"/>
      <c r="L96" s="9" t="s">
        <v>4</v>
      </c>
      <c r="M96" s="7" t="s">
        <v>83</v>
      </c>
      <c r="N96" s="2" t="s">
        <v>396</v>
      </c>
      <c r="O96" s="14"/>
      <c r="P96" s="7" t="s">
        <v>401</v>
      </c>
      <c r="Q96" s="14"/>
      <c r="S96" s="1" t="s">
        <v>1056</v>
      </c>
      <c r="T96" s="2" t="s">
        <v>84</v>
      </c>
      <c r="W96" s="2" t="s">
        <v>85</v>
      </c>
      <c r="X96" s="1" t="str">
        <f t="shared" si="3"/>
        <v>*/GoodsShipment[0]/Seller/name</v>
      </c>
    </row>
    <row r="97" spans="1:24" ht="12" customHeight="1" outlineLevel="3" x14ac:dyDescent="0.35">
      <c r="A97" s="3" t="str">
        <f t="shared" si="2"/>
        <v>CC413B</v>
      </c>
      <c r="B97" s="4">
        <v>3</v>
      </c>
      <c r="C97" s="3" t="s">
        <v>24</v>
      </c>
      <c r="D97" s="3" t="s">
        <v>30</v>
      </c>
      <c r="E97" s="3" t="s">
        <v>30</v>
      </c>
      <c r="F97" s="3"/>
      <c r="G97" s="3"/>
      <c r="H97" s="3"/>
      <c r="I97" s="3"/>
      <c r="J97" s="3"/>
      <c r="K97" s="3"/>
      <c r="L97" s="10" t="s">
        <v>86</v>
      </c>
      <c r="M97" s="4"/>
      <c r="N97" s="3" t="s">
        <v>396</v>
      </c>
      <c r="O97" s="15"/>
      <c r="P97" s="16" t="s">
        <v>401</v>
      </c>
      <c r="Q97" s="15"/>
      <c r="R97" s="4"/>
      <c r="S97" s="4" t="s">
        <v>1057</v>
      </c>
      <c r="T97" s="3" t="s">
        <v>86</v>
      </c>
      <c r="U97" s="4"/>
      <c r="V97" s="4"/>
      <c r="W97" s="3" t="s">
        <v>87</v>
      </c>
      <c r="X97" s="1" t="str">
        <f t="shared" si="3"/>
        <v>*/GoodsShipment[0]/Seller/Address</v>
      </c>
    </row>
    <row r="98" spans="1:24" ht="12" customHeight="1" outlineLevel="4" x14ac:dyDescent="0.35">
      <c r="A98" s="2" t="str">
        <f t="shared" si="2"/>
        <v>CC413B</v>
      </c>
      <c r="B98" s="1">
        <v>4</v>
      </c>
      <c r="C98" s="1" t="s">
        <v>19</v>
      </c>
      <c r="D98" s="1" t="s">
        <v>25</v>
      </c>
      <c r="E98" s="2" t="s">
        <v>25</v>
      </c>
      <c r="F98" s="2"/>
      <c r="G98" s="2"/>
      <c r="H98" s="2"/>
      <c r="I98" s="2"/>
      <c r="J98" s="2"/>
      <c r="K98" s="2"/>
      <c r="L98" s="11" t="s">
        <v>88</v>
      </c>
      <c r="M98" s="7" t="s">
        <v>83</v>
      </c>
      <c r="N98" s="2" t="s">
        <v>27</v>
      </c>
      <c r="O98" s="14"/>
      <c r="P98" s="14"/>
      <c r="Q98" s="14"/>
      <c r="S98" s="1" t="s">
        <v>1058</v>
      </c>
      <c r="T98" s="2" t="s">
        <v>89</v>
      </c>
      <c r="W98" s="2" t="s">
        <v>90</v>
      </c>
      <c r="X98" s="1" t="str">
        <f t="shared" si="3"/>
        <v>*/GoodsShipment[0]/Seller/Address/streetAndNumber</v>
      </c>
    </row>
    <row r="99" spans="1:24" ht="12" customHeight="1" outlineLevel="4" x14ac:dyDescent="0.35">
      <c r="A99" s="2" t="str">
        <f t="shared" si="2"/>
        <v>CC413B</v>
      </c>
      <c r="B99" s="1">
        <v>4</v>
      </c>
      <c r="C99" s="1" t="s">
        <v>19</v>
      </c>
      <c r="D99" s="1" t="s">
        <v>30</v>
      </c>
      <c r="E99" s="2" t="s">
        <v>30</v>
      </c>
      <c r="F99" s="2"/>
      <c r="G99" s="2"/>
      <c r="H99" s="2"/>
      <c r="I99" s="2"/>
      <c r="J99" s="2"/>
      <c r="K99" s="2"/>
      <c r="L99" s="11" t="s">
        <v>91</v>
      </c>
      <c r="M99" s="7" t="s">
        <v>92</v>
      </c>
      <c r="N99" s="2" t="s">
        <v>396</v>
      </c>
      <c r="O99" s="14"/>
      <c r="P99" s="7" t="s">
        <v>402</v>
      </c>
      <c r="Q99" s="14"/>
      <c r="S99" s="1" t="s">
        <v>1059</v>
      </c>
      <c r="T99" s="2" t="s">
        <v>93</v>
      </c>
      <c r="W99" s="2" t="s">
        <v>94</v>
      </c>
      <c r="X99" s="1" t="str">
        <f t="shared" si="3"/>
        <v>*/GoodsShipment[0]/Seller/Address/postcode</v>
      </c>
    </row>
    <row r="100" spans="1:24" ht="12" customHeight="1" outlineLevel="4" x14ac:dyDescent="0.35">
      <c r="A100" s="2" t="str">
        <f t="shared" si="2"/>
        <v>CC413B</v>
      </c>
      <c r="B100" s="1">
        <v>4</v>
      </c>
      <c r="C100" s="1" t="s">
        <v>19</v>
      </c>
      <c r="D100" s="1" t="s">
        <v>25</v>
      </c>
      <c r="E100" s="2" t="s">
        <v>25</v>
      </c>
      <c r="F100" s="2"/>
      <c r="G100" s="2"/>
      <c r="H100" s="2"/>
      <c r="I100" s="2"/>
      <c r="J100" s="2"/>
      <c r="K100" s="2"/>
      <c r="L100" s="11" t="s">
        <v>95</v>
      </c>
      <c r="M100" s="7" t="s">
        <v>96</v>
      </c>
      <c r="N100" s="2" t="s">
        <v>27</v>
      </c>
      <c r="O100" s="14"/>
      <c r="P100" s="14"/>
      <c r="Q100" s="14"/>
      <c r="S100" s="1" t="s">
        <v>1060</v>
      </c>
      <c r="T100" s="2" t="s">
        <v>97</v>
      </c>
      <c r="W100" s="2" t="s">
        <v>98</v>
      </c>
      <c r="X100" s="1" t="str">
        <f t="shared" si="3"/>
        <v>*/GoodsShipment[0]/Seller/Address/city</v>
      </c>
    </row>
    <row r="101" spans="1:24" ht="12" customHeight="1" outlineLevel="4" x14ac:dyDescent="0.35">
      <c r="A101" s="2" t="str">
        <f t="shared" si="2"/>
        <v>CC413B</v>
      </c>
      <c r="B101" s="1">
        <v>4</v>
      </c>
      <c r="C101" s="1" t="s">
        <v>19</v>
      </c>
      <c r="D101" s="1" t="s">
        <v>25</v>
      </c>
      <c r="E101" s="2" t="s">
        <v>25</v>
      </c>
      <c r="F101" s="2"/>
      <c r="G101" s="2"/>
      <c r="H101" s="2"/>
      <c r="I101" s="2"/>
      <c r="J101" s="2"/>
      <c r="K101" s="2"/>
      <c r="L101" s="11" t="s">
        <v>99</v>
      </c>
      <c r="M101" s="7" t="s">
        <v>50</v>
      </c>
      <c r="N101" s="2" t="s">
        <v>27</v>
      </c>
      <c r="O101" s="14"/>
      <c r="P101" s="14"/>
      <c r="Q101" s="7" t="s">
        <v>403</v>
      </c>
      <c r="S101" s="1" t="s">
        <v>1061</v>
      </c>
      <c r="T101" s="2" t="s">
        <v>100</v>
      </c>
      <c r="W101" s="2" t="s">
        <v>52</v>
      </c>
      <c r="X101" s="1" t="str">
        <f t="shared" si="3"/>
        <v>*/GoodsShipment[0]/Seller/Address/country</v>
      </c>
    </row>
    <row r="102" spans="1:24" ht="12" customHeight="1" outlineLevel="2" x14ac:dyDescent="0.35">
      <c r="A102" s="3" t="str">
        <f t="shared" si="2"/>
        <v>CC413B</v>
      </c>
      <c r="B102" s="4">
        <v>2</v>
      </c>
      <c r="C102" s="3" t="s">
        <v>24</v>
      </c>
      <c r="D102" s="3" t="s">
        <v>30</v>
      </c>
      <c r="E102" s="3" t="s">
        <v>30</v>
      </c>
      <c r="F102" s="3"/>
      <c r="G102" s="3" t="s">
        <v>30</v>
      </c>
      <c r="H102" s="3" t="s">
        <v>30</v>
      </c>
      <c r="I102" s="3" t="s">
        <v>30</v>
      </c>
      <c r="J102" s="3" t="s">
        <v>30</v>
      </c>
      <c r="K102" s="3"/>
      <c r="L102" s="8" t="s">
        <v>205</v>
      </c>
      <c r="M102" s="4"/>
      <c r="N102" s="3" t="s">
        <v>396</v>
      </c>
      <c r="O102" s="16" t="s">
        <v>439</v>
      </c>
      <c r="P102" s="16" t="s">
        <v>438</v>
      </c>
      <c r="Q102" s="15"/>
      <c r="R102" s="4"/>
      <c r="S102" s="4" t="s">
        <v>1062</v>
      </c>
      <c r="T102" s="3" t="s">
        <v>205</v>
      </c>
      <c r="U102" s="4"/>
      <c r="V102" s="4"/>
      <c r="W102" s="3" t="s">
        <v>206</v>
      </c>
      <c r="X102" s="1" t="str">
        <f t="shared" si="3"/>
        <v>*/GoodsShipment[0]/Exporter</v>
      </c>
    </row>
    <row r="103" spans="1:24" ht="12" customHeight="1" outlineLevel="3" x14ac:dyDescent="0.35">
      <c r="A103" s="2" t="str">
        <f t="shared" si="2"/>
        <v>CC413B</v>
      </c>
      <c r="B103" s="1">
        <v>3</v>
      </c>
      <c r="C103" s="1" t="s">
        <v>19</v>
      </c>
      <c r="D103" s="1" t="s">
        <v>30</v>
      </c>
      <c r="E103" s="2" t="s">
        <v>30</v>
      </c>
      <c r="F103" s="2"/>
      <c r="G103" s="2" t="s">
        <v>30</v>
      </c>
      <c r="H103" s="2" t="s">
        <v>30</v>
      </c>
      <c r="I103" s="2" t="s">
        <v>30</v>
      </c>
      <c r="J103" s="2" t="s">
        <v>30</v>
      </c>
      <c r="K103" s="2"/>
      <c r="L103" s="9" t="s">
        <v>81</v>
      </c>
      <c r="M103" s="7" t="s">
        <v>68</v>
      </c>
      <c r="N103" s="2" t="s">
        <v>22</v>
      </c>
      <c r="O103" s="7" t="s">
        <v>434</v>
      </c>
      <c r="P103" s="14"/>
      <c r="Q103" s="14"/>
      <c r="S103" s="1" t="s">
        <v>1063</v>
      </c>
      <c r="T103" s="2" t="s">
        <v>82</v>
      </c>
      <c r="W103" s="2" t="s">
        <v>70</v>
      </c>
      <c r="X103" s="1" t="str">
        <f t="shared" si="3"/>
        <v>*/GoodsShipment[0]/Exporter/identificationNumber</v>
      </c>
    </row>
    <row r="104" spans="1:24" ht="12" customHeight="1" outlineLevel="3" x14ac:dyDescent="0.35">
      <c r="A104" s="2" t="str">
        <f t="shared" si="2"/>
        <v>CC413B</v>
      </c>
      <c r="B104" s="1">
        <v>3</v>
      </c>
      <c r="C104" s="1" t="s">
        <v>19</v>
      </c>
      <c r="D104" s="1" t="s">
        <v>30</v>
      </c>
      <c r="E104" s="2" t="s">
        <v>30</v>
      </c>
      <c r="F104" s="2"/>
      <c r="G104" s="2" t="s">
        <v>30</v>
      </c>
      <c r="H104" s="2" t="s">
        <v>30</v>
      </c>
      <c r="I104" s="2" t="s">
        <v>30</v>
      </c>
      <c r="J104" s="2" t="s">
        <v>30</v>
      </c>
      <c r="K104" s="2"/>
      <c r="L104" s="9" t="s">
        <v>4</v>
      </c>
      <c r="M104" s="7" t="s">
        <v>83</v>
      </c>
      <c r="N104" s="2" t="s">
        <v>396</v>
      </c>
      <c r="O104" s="14"/>
      <c r="P104" s="7" t="s">
        <v>401</v>
      </c>
      <c r="Q104" s="14"/>
      <c r="S104" s="1" t="s">
        <v>1064</v>
      </c>
      <c r="T104" s="2" t="s">
        <v>84</v>
      </c>
      <c r="W104" s="2" t="s">
        <v>85</v>
      </c>
      <c r="X104" s="1" t="str">
        <f t="shared" si="3"/>
        <v>*/GoodsShipment[0]/Exporter/name</v>
      </c>
    </row>
    <row r="105" spans="1:24" ht="12" customHeight="1" outlineLevel="3" x14ac:dyDescent="0.35">
      <c r="A105" s="3" t="str">
        <f t="shared" si="2"/>
        <v>CC413B</v>
      </c>
      <c r="B105" s="4">
        <v>3</v>
      </c>
      <c r="C105" s="3" t="s">
        <v>24</v>
      </c>
      <c r="D105" s="3" t="s">
        <v>30</v>
      </c>
      <c r="E105" s="3" t="s">
        <v>30</v>
      </c>
      <c r="F105" s="3"/>
      <c r="G105" s="3" t="s">
        <v>30</v>
      </c>
      <c r="H105" s="3" t="s">
        <v>30</v>
      </c>
      <c r="I105" s="3" t="s">
        <v>30</v>
      </c>
      <c r="J105" s="3" t="s">
        <v>30</v>
      </c>
      <c r="K105" s="3"/>
      <c r="L105" s="10" t="s">
        <v>86</v>
      </c>
      <c r="M105" s="4"/>
      <c r="N105" s="3" t="s">
        <v>396</v>
      </c>
      <c r="O105" s="15"/>
      <c r="P105" s="16" t="s">
        <v>401</v>
      </c>
      <c r="Q105" s="15"/>
      <c r="R105" s="4"/>
      <c r="S105" s="4" t="s">
        <v>1065</v>
      </c>
      <c r="T105" s="3" t="s">
        <v>86</v>
      </c>
      <c r="U105" s="4"/>
      <c r="V105" s="4"/>
      <c r="W105" s="3" t="s">
        <v>87</v>
      </c>
      <c r="X105" s="1" t="str">
        <f t="shared" si="3"/>
        <v>*/GoodsShipment[0]/Exporter/Address</v>
      </c>
    </row>
    <row r="106" spans="1:24" ht="12" customHeight="1" outlineLevel="4" x14ac:dyDescent="0.35">
      <c r="A106" s="2" t="str">
        <f t="shared" si="2"/>
        <v>CC413B</v>
      </c>
      <c r="B106" s="1">
        <v>4</v>
      </c>
      <c r="C106" s="1" t="s">
        <v>19</v>
      </c>
      <c r="D106" s="1" t="s">
        <v>25</v>
      </c>
      <c r="E106" s="2" t="s">
        <v>25</v>
      </c>
      <c r="F106" s="2"/>
      <c r="G106" s="2" t="s">
        <v>25</v>
      </c>
      <c r="H106" s="2" t="s">
        <v>25</v>
      </c>
      <c r="I106" s="2" t="s">
        <v>25</v>
      </c>
      <c r="J106" s="2" t="s">
        <v>25</v>
      </c>
      <c r="K106" s="2"/>
      <c r="L106" s="11" t="s">
        <v>88</v>
      </c>
      <c r="M106" s="7" t="s">
        <v>83</v>
      </c>
      <c r="N106" s="2" t="s">
        <v>27</v>
      </c>
      <c r="O106" s="14"/>
      <c r="P106" s="14"/>
      <c r="Q106" s="14"/>
      <c r="S106" s="1" t="s">
        <v>1066</v>
      </c>
      <c r="T106" s="2" t="s">
        <v>89</v>
      </c>
      <c r="W106" s="2" t="s">
        <v>90</v>
      </c>
      <c r="X106" s="1" t="str">
        <f t="shared" si="3"/>
        <v>*/GoodsShipment[0]/Exporter/Address/streetAndNumber</v>
      </c>
    </row>
    <row r="107" spans="1:24" ht="12" customHeight="1" outlineLevel="4" x14ac:dyDescent="0.35">
      <c r="A107" s="2" t="str">
        <f t="shared" si="2"/>
        <v>CC413B</v>
      </c>
      <c r="B107" s="1">
        <v>4</v>
      </c>
      <c r="C107" s="1" t="s">
        <v>19</v>
      </c>
      <c r="D107" s="1" t="s">
        <v>30</v>
      </c>
      <c r="E107" s="2" t="s">
        <v>30</v>
      </c>
      <c r="F107" s="2"/>
      <c r="G107" s="2" t="s">
        <v>30</v>
      </c>
      <c r="H107" s="2" t="s">
        <v>30</v>
      </c>
      <c r="I107" s="2" t="s">
        <v>30</v>
      </c>
      <c r="J107" s="2" t="s">
        <v>30</v>
      </c>
      <c r="K107" s="2"/>
      <c r="L107" s="11" t="s">
        <v>91</v>
      </c>
      <c r="M107" s="7" t="s">
        <v>92</v>
      </c>
      <c r="N107" s="2" t="s">
        <v>396</v>
      </c>
      <c r="O107" s="14"/>
      <c r="P107" s="7" t="s">
        <v>402</v>
      </c>
      <c r="Q107" s="14"/>
      <c r="S107" s="1" t="s">
        <v>1067</v>
      </c>
      <c r="T107" s="2" t="s">
        <v>93</v>
      </c>
      <c r="W107" s="2" t="s">
        <v>94</v>
      </c>
      <c r="X107" s="1" t="str">
        <f t="shared" si="3"/>
        <v>*/GoodsShipment[0]/Exporter/Address/postcode</v>
      </c>
    </row>
    <row r="108" spans="1:24" ht="12" customHeight="1" outlineLevel="4" x14ac:dyDescent="0.35">
      <c r="A108" s="2" t="str">
        <f t="shared" si="2"/>
        <v>CC413B</v>
      </c>
      <c r="B108" s="1">
        <v>4</v>
      </c>
      <c r="C108" s="1" t="s">
        <v>19</v>
      </c>
      <c r="D108" s="1" t="s">
        <v>25</v>
      </c>
      <c r="E108" s="2" t="s">
        <v>25</v>
      </c>
      <c r="F108" s="2"/>
      <c r="G108" s="2" t="s">
        <v>25</v>
      </c>
      <c r="H108" s="2" t="s">
        <v>25</v>
      </c>
      <c r="I108" s="2" t="s">
        <v>25</v>
      </c>
      <c r="J108" s="2" t="s">
        <v>25</v>
      </c>
      <c r="K108" s="2"/>
      <c r="L108" s="11" t="s">
        <v>95</v>
      </c>
      <c r="M108" s="7" t="s">
        <v>96</v>
      </c>
      <c r="N108" s="2" t="s">
        <v>27</v>
      </c>
      <c r="O108" s="14"/>
      <c r="P108" s="14"/>
      <c r="Q108" s="14"/>
      <c r="S108" s="1" t="s">
        <v>1068</v>
      </c>
      <c r="T108" s="2" t="s">
        <v>97</v>
      </c>
      <c r="W108" s="2" t="s">
        <v>98</v>
      </c>
      <c r="X108" s="1" t="str">
        <f t="shared" si="3"/>
        <v>*/GoodsShipment[0]/Exporter/Address/city</v>
      </c>
    </row>
    <row r="109" spans="1:24" ht="12" customHeight="1" outlineLevel="4" x14ac:dyDescent="0.35">
      <c r="A109" s="2" t="str">
        <f t="shared" si="2"/>
        <v>CC413B</v>
      </c>
      <c r="B109" s="1">
        <v>4</v>
      </c>
      <c r="C109" s="1" t="s">
        <v>19</v>
      </c>
      <c r="D109" s="1" t="s">
        <v>25</v>
      </c>
      <c r="E109" s="2" t="s">
        <v>25</v>
      </c>
      <c r="F109" s="2"/>
      <c r="G109" s="2" t="s">
        <v>25</v>
      </c>
      <c r="H109" s="2" t="s">
        <v>25</v>
      </c>
      <c r="I109" s="2" t="s">
        <v>25</v>
      </c>
      <c r="J109" s="2" t="s">
        <v>25</v>
      </c>
      <c r="K109" s="2"/>
      <c r="L109" s="11" t="s">
        <v>99</v>
      </c>
      <c r="M109" s="7" t="s">
        <v>50</v>
      </c>
      <c r="N109" s="2" t="s">
        <v>27</v>
      </c>
      <c r="O109" s="14"/>
      <c r="P109" s="14"/>
      <c r="Q109" s="7" t="s">
        <v>403</v>
      </c>
      <c r="S109" s="1" t="s">
        <v>1069</v>
      </c>
      <c r="T109" s="2" t="s">
        <v>100</v>
      </c>
      <c r="W109" s="2" t="s">
        <v>52</v>
      </c>
      <c r="X109" s="1" t="str">
        <f t="shared" si="3"/>
        <v>*/GoodsShipment[0]/Exporter/Address/country</v>
      </c>
    </row>
    <row r="110" spans="1:24" ht="12" customHeight="1" outlineLevel="2" x14ac:dyDescent="0.35">
      <c r="A110" s="3" t="str">
        <f t="shared" ref="A110:A162" si="4">$L$2</f>
        <v>CC413B</v>
      </c>
      <c r="B110" s="4">
        <v>2</v>
      </c>
      <c r="C110" s="3" t="s">
        <v>24</v>
      </c>
      <c r="D110" s="3" t="s">
        <v>30</v>
      </c>
      <c r="E110" s="3" t="s">
        <v>30</v>
      </c>
      <c r="F110" s="3" t="s">
        <v>30</v>
      </c>
      <c r="G110" s="3" t="s">
        <v>30</v>
      </c>
      <c r="H110" s="3" t="s">
        <v>30</v>
      </c>
      <c r="I110" s="3" t="s">
        <v>30</v>
      </c>
      <c r="J110" s="3"/>
      <c r="K110" s="3"/>
      <c r="L110" s="8" t="s">
        <v>449</v>
      </c>
      <c r="M110" s="4"/>
      <c r="N110" s="3" t="s">
        <v>396</v>
      </c>
      <c r="O110" s="16" t="s">
        <v>450</v>
      </c>
      <c r="P110" s="16" t="s">
        <v>451</v>
      </c>
      <c r="Q110" s="15"/>
      <c r="R110" s="4"/>
      <c r="S110" s="4" t="s">
        <v>1070</v>
      </c>
      <c r="T110" s="3" t="s">
        <v>452</v>
      </c>
      <c r="U110" s="4"/>
      <c r="V110" s="4"/>
      <c r="W110" s="3" t="s">
        <v>453</v>
      </c>
      <c r="X110" s="1" t="str">
        <f t="shared" si="3"/>
        <v>*/GoodsShipment[0]/DeliveryTerms</v>
      </c>
    </row>
    <row r="111" spans="1:24" ht="12" customHeight="1" outlineLevel="3" x14ac:dyDescent="0.35">
      <c r="A111" s="2" t="str">
        <f t="shared" si="4"/>
        <v>CC413B</v>
      </c>
      <c r="B111" s="1">
        <v>3</v>
      </c>
      <c r="C111" s="1" t="s">
        <v>19</v>
      </c>
      <c r="D111" s="1" t="s">
        <v>25</v>
      </c>
      <c r="E111" s="2" t="s">
        <v>25</v>
      </c>
      <c r="F111" s="2" t="s">
        <v>25</v>
      </c>
      <c r="G111" s="2" t="s">
        <v>25</v>
      </c>
      <c r="H111" s="2" t="s">
        <v>25</v>
      </c>
      <c r="I111" s="2" t="s">
        <v>25</v>
      </c>
      <c r="J111" s="2"/>
      <c r="K111" s="2"/>
      <c r="L111" s="9" t="s">
        <v>454</v>
      </c>
      <c r="M111" s="7" t="s">
        <v>148</v>
      </c>
      <c r="N111" s="2" t="s">
        <v>27</v>
      </c>
      <c r="O111" s="14"/>
      <c r="P111" s="14"/>
      <c r="Q111" s="7" t="s">
        <v>455</v>
      </c>
      <c r="S111" s="1" t="s">
        <v>1071</v>
      </c>
      <c r="T111" s="2" t="s">
        <v>456</v>
      </c>
      <c r="W111" s="2" t="s">
        <v>457</v>
      </c>
      <c r="X111" s="1" t="str">
        <f t="shared" si="3"/>
        <v>*/GoodsShipment[0]/DeliveryTerms/incotermCode</v>
      </c>
    </row>
    <row r="112" spans="1:24" ht="12" customHeight="1" outlineLevel="3" x14ac:dyDescent="0.35">
      <c r="A112" s="2" t="str">
        <f t="shared" si="4"/>
        <v>CC413B</v>
      </c>
      <c r="B112" s="1">
        <v>3</v>
      </c>
      <c r="C112" s="1" t="s">
        <v>19</v>
      </c>
      <c r="D112" s="1" t="s">
        <v>30</v>
      </c>
      <c r="E112" s="2" t="s">
        <v>30</v>
      </c>
      <c r="F112" s="2" t="s">
        <v>30</v>
      </c>
      <c r="G112" s="2" t="s">
        <v>30</v>
      </c>
      <c r="H112" s="2" t="s">
        <v>30</v>
      </c>
      <c r="I112" s="2" t="s">
        <v>30</v>
      </c>
      <c r="J112" s="2"/>
      <c r="K112" s="2"/>
      <c r="L112" s="9" t="s">
        <v>270</v>
      </c>
      <c r="M112" s="7" t="s">
        <v>103</v>
      </c>
      <c r="N112" s="2" t="s">
        <v>396</v>
      </c>
      <c r="O112" s="14"/>
      <c r="P112" s="7" t="s">
        <v>458</v>
      </c>
      <c r="Q112" s="7" t="s">
        <v>459</v>
      </c>
      <c r="S112" s="1" t="s">
        <v>1072</v>
      </c>
      <c r="T112" s="2" t="s">
        <v>271</v>
      </c>
      <c r="W112" s="2" t="s">
        <v>272</v>
      </c>
      <c r="X112" s="1" t="str">
        <f t="shared" si="3"/>
        <v>*/GoodsShipment[0]/DeliveryTerms/UNLOCODE</v>
      </c>
    </row>
    <row r="113" spans="1:24" ht="12" customHeight="1" outlineLevel="3" x14ac:dyDescent="0.35">
      <c r="A113" s="2" t="str">
        <f t="shared" si="4"/>
        <v>CC413B</v>
      </c>
      <c r="B113" s="1">
        <v>3</v>
      </c>
      <c r="C113" s="1" t="s">
        <v>19</v>
      </c>
      <c r="D113" s="1" t="s">
        <v>30</v>
      </c>
      <c r="E113" s="2" t="s">
        <v>30</v>
      </c>
      <c r="F113" s="2" t="s">
        <v>30</v>
      </c>
      <c r="G113" s="2" t="s">
        <v>30</v>
      </c>
      <c r="H113" s="2" t="s">
        <v>30</v>
      </c>
      <c r="I113" s="2" t="s">
        <v>30</v>
      </c>
      <c r="J113" s="2"/>
      <c r="K113" s="2"/>
      <c r="L113" s="9" t="s">
        <v>460</v>
      </c>
      <c r="M113" s="7" t="s">
        <v>96</v>
      </c>
      <c r="N113" s="2" t="s">
        <v>396</v>
      </c>
      <c r="O113" s="14"/>
      <c r="P113" s="7" t="s">
        <v>458</v>
      </c>
      <c r="Q113" s="14"/>
      <c r="S113" s="1" t="s">
        <v>1073</v>
      </c>
      <c r="T113" s="2" t="s">
        <v>461</v>
      </c>
      <c r="W113" s="2" t="s">
        <v>462</v>
      </c>
      <c r="X113" s="1" t="str">
        <f t="shared" si="3"/>
        <v>*/GoodsShipment[0]/DeliveryTerms/location</v>
      </c>
    </row>
    <row r="114" spans="1:24" ht="12" customHeight="1" outlineLevel="3" x14ac:dyDescent="0.35">
      <c r="A114" s="2" t="str">
        <f t="shared" si="4"/>
        <v>CC413B</v>
      </c>
      <c r="B114" s="1">
        <v>3</v>
      </c>
      <c r="C114" s="1" t="s">
        <v>19</v>
      </c>
      <c r="D114" s="1" t="s">
        <v>30</v>
      </c>
      <c r="E114" s="2" t="s">
        <v>30</v>
      </c>
      <c r="F114" s="2" t="s">
        <v>30</v>
      </c>
      <c r="G114" s="2" t="s">
        <v>30</v>
      </c>
      <c r="H114" s="2" t="s">
        <v>30</v>
      </c>
      <c r="I114" s="2" t="s">
        <v>30</v>
      </c>
      <c r="J114" s="2"/>
      <c r="K114" s="2"/>
      <c r="L114" s="9" t="s">
        <v>99</v>
      </c>
      <c r="M114" s="7" t="s">
        <v>50</v>
      </c>
      <c r="N114" s="2" t="s">
        <v>396</v>
      </c>
      <c r="O114" s="14"/>
      <c r="P114" s="7" t="s">
        <v>458</v>
      </c>
      <c r="Q114" s="7" t="s">
        <v>403</v>
      </c>
      <c r="S114" s="1" t="s">
        <v>1074</v>
      </c>
      <c r="T114" s="2" t="s">
        <v>100</v>
      </c>
      <c r="W114" s="2" t="s">
        <v>52</v>
      </c>
      <c r="X114" s="1" t="str">
        <f t="shared" si="3"/>
        <v>*/GoodsShipment[0]/DeliveryTerms/country</v>
      </c>
    </row>
    <row r="115" spans="1:24" ht="12" customHeight="1" outlineLevel="3" x14ac:dyDescent="0.35">
      <c r="A115" s="2" t="str">
        <f t="shared" si="4"/>
        <v>CC413B</v>
      </c>
      <c r="B115" s="1">
        <v>3</v>
      </c>
      <c r="C115" s="1" t="s">
        <v>19</v>
      </c>
      <c r="D115" s="1" t="s">
        <v>30</v>
      </c>
      <c r="E115" s="2" t="s">
        <v>30</v>
      </c>
      <c r="F115" s="2" t="s">
        <v>30</v>
      </c>
      <c r="G115" s="2" t="s">
        <v>30</v>
      </c>
      <c r="H115" s="2" t="s">
        <v>30</v>
      </c>
      <c r="I115" s="2" t="s">
        <v>30</v>
      </c>
      <c r="J115" s="2"/>
      <c r="K115" s="2"/>
      <c r="L115" s="9" t="s">
        <v>226</v>
      </c>
      <c r="M115" s="7" t="s">
        <v>216</v>
      </c>
      <c r="N115" s="2" t="s">
        <v>396</v>
      </c>
      <c r="O115" s="14"/>
      <c r="P115" s="7" t="s">
        <v>458</v>
      </c>
      <c r="Q115" s="14"/>
      <c r="S115" s="1" t="s">
        <v>1204</v>
      </c>
      <c r="T115" s="2" t="s">
        <v>227</v>
      </c>
      <c r="W115" s="2" t="s">
        <v>218</v>
      </c>
      <c r="X115" s="1" t="str">
        <f t="shared" si="3"/>
        <v>*/GoodsShipment[0]/DeliveryTerms/text</v>
      </c>
    </row>
    <row r="116" spans="1:24" ht="12" customHeight="1" outlineLevel="2" x14ac:dyDescent="0.35">
      <c r="A116" s="3" t="str">
        <f t="shared" si="4"/>
        <v>CC413B</v>
      </c>
      <c r="B116" s="4">
        <v>2</v>
      </c>
      <c r="C116" s="3" t="s">
        <v>24</v>
      </c>
      <c r="D116" s="3" t="s">
        <v>30</v>
      </c>
      <c r="E116" s="3" t="s">
        <v>30</v>
      </c>
      <c r="F116" s="3" t="s">
        <v>30</v>
      </c>
      <c r="G116" s="3" t="s">
        <v>30</v>
      </c>
      <c r="H116" s="3" t="s">
        <v>30</v>
      </c>
      <c r="I116" s="3" t="s">
        <v>30</v>
      </c>
      <c r="J116" s="3" t="s">
        <v>30</v>
      </c>
      <c r="K116" s="3"/>
      <c r="L116" s="8" t="s">
        <v>464</v>
      </c>
      <c r="M116" s="4"/>
      <c r="N116" s="3" t="s">
        <v>396</v>
      </c>
      <c r="O116" s="16" t="s">
        <v>739</v>
      </c>
      <c r="P116" s="16" t="s">
        <v>615</v>
      </c>
      <c r="Q116" s="15"/>
      <c r="R116" s="4"/>
      <c r="S116" s="4" t="s">
        <v>1075</v>
      </c>
      <c r="T116" s="3" t="s">
        <v>465</v>
      </c>
      <c r="U116" s="4"/>
      <c r="V116" s="4"/>
      <c r="W116" s="3" t="s">
        <v>466</v>
      </c>
      <c r="X116" s="1" t="str">
        <f t="shared" si="3"/>
        <v>*/GoodsShipment[0]/CountryOfDispatch</v>
      </c>
    </row>
    <row r="117" spans="1:24" ht="12" customHeight="1" outlineLevel="3" x14ac:dyDescent="0.35">
      <c r="A117" s="2" t="str">
        <f t="shared" si="4"/>
        <v>CC413B</v>
      </c>
      <c r="B117" s="1">
        <v>3</v>
      </c>
      <c r="C117" s="1" t="s">
        <v>19</v>
      </c>
      <c r="D117" s="1" t="s">
        <v>25</v>
      </c>
      <c r="E117" s="2" t="s">
        <v>25</v>
      </c>
      <c r="F117" s="2" t="s">
        <v>25</v>
      </c>
      <c r="G117" s="2" t="s">
        <v>25</v>
      </c>
      <c r="H117" s="2" t="s">
        <v>25</v>
      </c>
      <c r="I117" s="2" t="s">
        <v>25</v>
      </c>
      <c r="J117" s="2" t="s">
        <v>25</v>
      </c>
      <c r="K117" s="2"/>
      <c r="L117" s="9" t="s">
        <v>464</v>
      </c>
      <c r="M117" s="7" t="s">
        <v>50</v>
      </c>
      <c r="N117" s="2" t="s">
        <v>27</v>
      </c>
      <c r="O117" s="7" t="s">
        <v>467</v>
      </c>
      <c r="P117" s="14"/>
      <c r="Q117" s="7" t="s">
        <v>468</v>
      </c>
      <c r="S117" s="1" t="s">
        <v>1076</v>
      </c>
      <c r="T117" s="2" t="s">
        <v>469</v>
      </c>
      <c r="W117" s="2" t="s">
        <v>52</v>
      </c>
      <c r="X117" s="1" t="str">
        <f t="shared" si="3"/>
        <v>*/GoodsShipment[0]/CountryOfDispatch/countryOfDispatch</v>
      </c>
    </row>
    <row r="118" spans="1:24" ht="12" customHeight="1" outlineLevel="2" x14ac:dyDescent="0.35">
      <c r="A118" s="3" t="str">
        <f t="shared" si="4"/>
        <v>CC413B</v>
      </c>
      <c r="B118" s="4">
        <v>2</v>
      </c>
      <c r="C118" s="3" t="s">
        <v>24</v>
      </c>
      <c r="D118" s="3" t="s">
        <v>30</v>
      </c>
      <c r="E118" s="3" t="s">
        <v>30</v>
      </c>
      <c r="F118" s="3" t="s">
        <v>30</v>
      </c>
      <c r="G118" s="3" t="s">
        <v>30</v>
      </c>
      <c r="H118" s="3" t="s">
        <v>30</v>
      </c>
      <c r="I118" s="3" t="s">
        <v>30</v>
      </c>
      <c r="J118" s="3" t="s">
        <v>25</v>
      </c>
      <c r="K118" s="3" t="s">
        <v>25</v>
      </c>
      <c r="L118" s="8" t="s">
        <v>470</v>
      </c>
      <c r="M118" s="4"/>
      <c r="N118" s="3" t="s">
        <v>396</v>
      </c>
      <c r="O118" s="16" t="s">
        <v>740</v>
      </c>
      <c r="P118" s="16" t="s">
        <v>743</v>
      </c>
      <c r="Q118" s="15"/>
      <c r="R118" s="4"/>
      <c r="S118" s="15" t="s">
        <v>1813</v>
      </c>
      <c r="T118" s="3" t="s">
        <v>470</v>
      </c>
      <c r="U118" s="4"/>
      <c r="V118" s="4"/>
      <c r="W118" s="3" t="s">
        <v>471</v>
      </c>
      <c r="X118" s="1" t="str">
        <f t="shared" si="3"/>
        <v>*/GoodsShipment[0]/Destination</v>
      </c>
    </row>
    <row r="119" spans="1:24" ht="12" customHeight="1" outlineLevel="3" x14ac:dyDescent="0.35">
      <c r="A119" s="2" t="str">
        <f t="shared" si="4"/>
        <v>CC413B</v>
      </c>
      <c r="B119" s="1">
        <v>3</v>
      </c>
      <c r="C119" s="1" t="s">
        <v>19</v>
      </c>
      <c r="D119" s="1" t="s">
        <v>30</v>
      </c>
      <c r="E119" s="2" t="s">
        <v>30</v>
      </c>
      <c r="F119" s="2" t="s">
        <v>30</v>
      </c>
      <c r="G119" s="2" t="s">
        <v>30</v>
      </c>
      <c r="H119" s="2" t="s">
        <v>30</v>
      </c>
      <c r="I119" s="2" t="s">
        <v>30</v>
      </c>
      <c r="J119" s="2" t="s">
        <v>30</v>
      </c>
      <c r="K119" s="2" t="s">
        <v>30</v>
      </c>
      <c r="L119" s="9" t="s">
        <v>472</v>
      </c>
      <c r="M119" s="7" t="s">
        <v>50</v>
      </c>
      <c r="N119" s="2" t="s">
        <v>396</v>
      </c>
      <c r="O119" s="7" t="s">
        <v>473</v>
      </c>
      <c r="P119" s="7" t="s">
        <v>474</v>
      </c>
      <c r="Q119" s="7" t="s">
        <v>416</v>
      </c>
      <c r="S119" s="1" t="s">
        <v>1078</v>
      </c>
      <c r="T119" s="2" t="s">
        <v>475</v>
      </c>
      <c r="W119" s="2" t="s">
        <v>52</v>
      </c>
      <c r="X119" s="1" t="str">
        <f t="shared" si="3"/>
        <v>*/GoodsShipment[0]/Destination/countryOfDestination</v>
      </c>
    </row>
    <row r="120" spans="1:24" ht="12" customHeight="1" outlineLevel="3" x14ac:dyDescent="0.35">
      <c r="A120" s="2" t="str">
        <f t="shared" si="4"/>
        <v>CC413B</v>
      </c>
      <c r="B120" s="1">
        <v>3</v>
      </c>
      <c r="C120" s="1" t="s">
        <v>19</v>
      </c>
      <c r="D120" s="1" t="s">
        <v>30</v>
      </c>
      <c r="E120" s="2" t="s">
        <v>30</v>
      </c>
      <c r="F120" s="2" t="s">
        <v>30</v>
      </c>
      <c r="G120" s="2" t="s">
        <v>30</v>
      </c>
      <c r="H120" s="2" t="s">
        <v>30</v>
      </c>
      <c r="I120" s="2" t="s">
        <v>30</v>
      </c>
      <c r="J120" s="2" t="s">
        <v>30</v>
      </c>
      <c r="K120" s="2" t="s">
        <v>30</v>
      </c>
      <c r="L120" s="9" t="s">
        <v>476</v>
      </c>
      <c r="M120" s="7" t="s">
        <v>96</v>
      </c>
      <c r="N120" s="2" t="s">
        <v>396</v>
      </c>
      <c r="O120" s="7" t="s">
        <v>742</v>
      </c>
      <c r="P120" s="7" t="s">
        <v>741</v>
      </c>
      <c r="Q120" s="14"/>
      <c r="S120" s="1" t="s">
        <v>1079</v>
      </c>
      <c r="T120" s="2" t="s">
        <v>478</v>
      </c>
      <c r="W120" s="2" t="s">
        <v>479</v>
      </c>
      <c r="X120" s="1" t="str">
        <f t="shared" si="3"/>
        <v>*/GoodsShipment[0]/Destination/regionOfDestination</v>
      </c>
    </row>
    <row r="121" spans="1:24" ht="12" customHeight="1" outlineLevel="3" x14ac:dyDescent="0.35">
      <c r="A121" s="2" t="str">
        <f t="shared" si="4"/>
        <v>CC413B</v>
      </c>
      <c r="B121" s="1">
        <v>3</v>
      </c>
      <c r="C121" s="1" t="s">
        <v>19</v>
      </c>
      <c r="D121" s="1" t="s">
        <v>30</v>
      </c>
      <c r="E121" s="2" t="s">
        <v>30</v>
      </c>
      <c r="F121" s="2" t="s">
        <v>30</v>
      </c>
      <c r="G121" s="2" t="s">
        <v>30</v>
      </c>
      <c r="H121" s="2" t="s">
        <v>30</v>
      </c>
      <c r="I121" s="2" t="s">
        <v>30</v>
      </c>
      <c r="J121" s="2" t="s">
        <v>30</v>
      </c>
      <c r="K121" s="2" t="s">
        <v>30</v>
      </c>
      <c r="L121" s="9" t="s">
        <v>142</v>
      </c>
      <c r="M121" s="7" t="s">
        <v>50</v>
      </c>
      <c r="N121" s="2" t="s">
        <v>396</v>
      </c>
      <c r="O121" s="7" t="s">
        <v>744</v>
      </c>
      <c r="P121" s="7" t="s">
        <v>480</v>
      </c>
      <c r="Q121" s="7" t="s">
        <v>416</v>
      </c>
      <c r="T121" s="2" t="s">
        <v>143</v>
      </c>
      <c r="W121" s="2" t="s">
        <v>52</v>
      </c>
      <c r="X121" s="1" t="str">
        <f t="shared" si="3"/>
        <v>*/GoodsShipment[0]/Destination/ccQualifier</v>
      </c>
    </row>
    <row r="122" spans="1:24" ht="12" customHeight="1" outlineLevel="2" x14ac:dyDescent="0.35">
      <c r="A122" s="3" t="str">
        <f t="shared" si="4"/>
        <v>CC413B</v>
      </c>
      <c r="B122" s="4">
        <v>2</v>
      </c>
      <c r="C122" s="3" t="s">
        <v>24</v>
      </c>
      <c r="D122" s="3" t="s">
        <v>30</v>
      </c>
      <c r="E122" s="3" t="s">
        <v>30</v>
      </c>
      <c r="F122" s="3" t="s">
        <v>30</v>
      </c>
      <c r="G122" s="3" t="s">
        <v>30</v>
      </c>
      <c r="H122" s="3" t="s">
        <v>30</v>
      </c>
      <c r="I122" s="3"/>
      <c r="J122" s="3"/>
      <c r="K122" s="3"/>
      <c r="L122" s="8" t="s">
        <v>481</v>
      </c>
      <c r="M122" s="4"/>
      <c r="N122" s="3" t="s">
        <v>396</v>
      </c>
      <c r="O122" s="16" t="s">
        <v>746</v>
      </c>
      <c r="P122" s="16" t="s">
        <v>745</v>
      </c>
      <c r="Q122" s="15"/>
      <c r="R122" s="4"/>
      <c r="S122" s="4" t="s">
        <v>1080</v>
      </c>
      <c r="T122" s="3" t="s">
        <v>481</v>
      </c>
      <c r="U122" s="4"/>
      <c r="V122" s="4"/>
      <c r="W122" s="3" t="s">
        <v>482</v>
      </c>
      <c r="X122" s="1" t="str">
        <f t="shared" si="3"/>
        <v>*/GoodsShipment[0]/Warehouse</v>
      </c>
    </row>
    <row r="123" spans="1:24" ht="12" customHeight="1" outlineLevel="3" x14ac:dyDescent="0.35">
      <c r="A123" s="2" t="str">
        <f t="shared" si="4"/>
        <v>CC413B</v>
      </c>
      <c r="B123" s="1">
        <v>3</v>
      </c>
      <c r="C123" s="1" t="s">
        <v>19</v>
      </c>
      <c r="D123" s="1" t="s">
        <v>25</v>
      </c>
      <c r="E123" s="2" t="s">
        <v>25</v>
      </c>
      <c r="F123" s="2" t="s">
        <v>25</v>
      </c>
      <c r="G123" s="2" t="s">
        <v>25</v>
      </c>
      <c r="H123" s="2" t="s">
        <v>25</v>
      </c>
      <c r="I123" s="2"/>
      <c r="J123" s="2"/>
      <c r="K123" s="2"/>
      <c r="L123" s="9" t="s">
        <v>2</v>
      </c>
      <c r="M123" s="7" t="s">
        <v>44</v>
      </c>
      <c r="N123" s="2" t="s">
        <v>27</v>
      </c>
      <c r="O123" s="14"/>
      <c r="P123" s="14"/>
      <c r="Q123" s="7" t="s">
        <v>483</v>
      </c>
      <c r="S123" s="1" t="s">
        <v>1081</v>
      </c>
      <c r="T123" s="2" t="s">
        <v>61</v>
      </c>
      <c r="W123" s="2" t="s">
        <v>484</v>
      </c>
      <c r="X123" s="1" t="str">
        <f t="shared" si="3"/>
        <v>*/GoodsShipment[0]/Warehouse/type</v>
      </c>
    </row>
    <row r="124" spans="1:24" ht="12" customHeight="1" outlineLevel="3" x14ac:dyDescent="0.35">
      <c r="A124" s="2" t="str">
        <f t="shared" si="4"/>
        <v>CC413B</v>
      </c>
      <c r="B124" s="1">
        <v>3</v>
      </c>
      <c r="C124" s="1" t="s">
        <v>19</v>
      </c>
      <c r="D124" s="1" t="s">
        <v>25</v>
      </c>
      <c r="E124" s="2" t="s">
        <v>25</v>
      </c>
      <c r="F124" s="2" t="s">
        <v>25</v>
      </c>
      <c r="G124" s="2" t="s">
        <v>25</v>
      </c>
      <c r="H124" s="2" t="s">
        <v>25</v>
      </c>
      <c r="I124" s="2"/>
      <c r="J124" s="2"/>
      <c r="K124" s="2"/>
      <c r="L124" s="9" t="s">
        <v>485</v>
      </c>
      <c r="M124" s="7" t="s">
        <v>834</v>
      </c>
      <c r="N124" s="2" t="s">
        <v>27</v>
      </c>
      <c r="O124" s="7" t="s">
        <v>486</v>
      </c>
      <c r="P124" s="14"/>
      <c r="Q124" s="14"/>
      <c r="S124" s="1" t="s">
        <v>1082</v>
      </c>
      <c r="T124" s="2" t="s">
        <v>487</v>
      </c>
      <c r="W124" s="2" t="s">
        <v>488</v>
      </c>
      <c r="X124" s="1" t="str">
        <f t="shared" si="3"/>
        <v>*/GoodsShipment[0]/Warehouse/identifier</v>
      </c>
    </row>
    <row r="125" spans="1:24" ht="12" customHeight="1" outlineLevel="2" x14ac:dyDescent="0.35">
      <c r="A125" s="3" t="str">
        <f t="shared" si="4"/>
        <v>CC413B</v>
      </c>
      <c r="B125" s="4">
        <v>2</v>
      </c>
      <c r="C125" s="3" t="s">
        <v>24</v>
      </c>
      <c r="D125" s="3" t="s">
        <v>193</v>
      </c>
      <c r="E125" s="3" t="s">
        <v>193</v>
      </c>
      <c r="F125" s="3" t="s">
        <v>193</v>
      </c>
      <c r="G125" s="3" t="s">
        <v>193</v>
      </c>
      <c r="H125" s="3" t="s">
        <v>193</v>
      </c>
      <c r="I125" s="3" t="s">
        <v>193</v>
      </c>
      <c r="J125" s="3" t="s">
        <v>193</v>
      </c>
      <c r="K125" s="3" t="s">
        <v>193</v>
      </c>
      <c r="L125" s="8" t="s">
        <v>303</v>
      </c>
      <c r="M125" s="4"/>
      <c r="N125" s="3" t="s">
        <v>22</v>
      </c>
      <c r="O125" s="16" t="s">
        <v>489</v>
      </c>
      <c r="P125" s="15"/>
      <c r="Q125" s="15"/>
      <c r="R125" s="4"/>
      <c r="S125" s="4" t="s">
        <v>1083</v>
      </c>
      <c r="T125" s="3" t="s">
        <v>304</v>
      </c>
      <c r="U125" s="4"/>
      <c r="V125" s="4"/>
      <c r="W125" s="3" t="s">
        <v>490</v>
      </c>
      <c r="X125" s="1" t="str">
        <f t="shared" si="3"/>
        <v>*/GoodsShipment[0]/PreviousDocument[0]</v>
      </c>
    </row>
    <row r="126" spans="1:24" ht="12" customHeight="1" outlineLevel="3" x14ac:dyDescent="0.35">
      <c r="A126" s="2" t="str">
        <f t="shared" si="4"/>
        <v>CC413B</v>
      </c>
      <c r="B126" s="1">
        <v>3</v>
      </c>
      <c r="C126" s="1" t="s">
        <v>19</v>
      </c>
      <c r="D126" s="1" t="s">
        <v>25</v>
      </c>
      <c r="E126" s="2" t="s">
        <v>25</v>
      </c>
      <c r="F126" s="2" t="s">
        <v>25</v>
      </c>
      <c r="G126" s="2" t="s">
        <v>25</v>
      </c>
      <c r="H126" s="2" t="s">
        <v>25</v>
      </c>
      <c r="I126" s="2" t="s">
        <v>25</v>
      </c>
      <c r="J126" s="2" t="s">
        <v>25</v>
      </c>
      <c r="K126" s="2" t="s">
        <v>25</v>
      </c>
      <c r="L126" s="9" t="s">
        <v>56</v>
      </c>
      <c r="M126" s="7" t="s">
        <v>57</v>
      </c>
      <c r="N126" s="2" t="s">
        <v>27</v>
      </c>
      <c r="O126" s="7" t="s">
        <v>393</v>
      </c>
      <c r="P126" s="14"/>
      <c r="Q126" s="14"/>
      <c r="T126" s="2" t="s">
        <v>58</v>
      </c>
      <c r="W126" s="2" t="s">
        <v>59</v>
      </c>
      <c r="X126" s="1" t="str">
        <f t="shared" si="3"/>
        <v>*/GoodsShipment[0]/PreviousDocument[0]/sequenceNumber</v>
      </c>
    </row>
    <row r="127" spans="1:24" ht="12" customHeight="1" outlineLevel="3" x14ac:dyDescent="0.35">
      <c r="A127" s="2" t="str">
        <f t="shared" si="4"/>
        <v>CC413B</v>
      </c>
      <c r="B127" s="1">
        <v>3</v>
      </c>
      <c r="C127" s="1" t="s">
        <v>19</v>
      </c>
      <c r="D127" s="1" t="s">
        <v>25</v>
      </c>
      <c r="E127" s="2" t="s">
        <v>25</v>
      </c>
      <c r="F127" s="2" t="s">
        <v>25</v>
      </c>
      <c r="G127" s="2" t="s">
        <v>25</v>
      </c>
      <c r="H127" s="2" t="s">
        <v>25</v>
      </c>
      <c r="I127" s="2" t="s">
        <v>25</v>
      </c>
      <c r="J127" s="2" t="s">
        <v>25</v>
      </c>
      <c r="K127" s="2" t="s">
        <v>25</v>
      </c>
      <c r="L127" s="9" t="s">
        <v>2</v>
      </c>
      <c r="M127" s="7" t="s">
        <v>306</v>
      </c>
      <c r="N127" s="2" t="s">
        <v>27</v>
      </c>
      <c r="O127" s="7" t="s">
        <v>747</v>
      </c>
      <c r="P127" s="14"/>
      <c r="Q127" s="7" t="s">
        <v>491</v>
      </c>
      <c r="S127" s="1" t="s">
        <v>1084</v>
      </c>
      <c r="T127" s="2" t="s">
        <v>61</v>
      </c>
      <c r="W127" s="2" t="s">
        <v>307</v>
      </c>
      <c r="X127" s="1" t="str">
        <f t="shared" si="3"/>
        <v>*/GoodsShipment[0]/PreviousDocument[0]/type</v>
      </c>
    </row>
    <row r="128" spans="1:24" ht="12" customHeight="1" outlineLevel="3" x14ac:dyDescent="0.35">
      <c r="A128" s="2" t="str">
        <f t="shared" si="4"/>
        <v>CC413B</v>
      </c>
      <c r="B128" s="1">
        <v>3</v>
      </c>
      <c r="C128" s="1" t="s">
        <v>19</v>
      </c>
      <c r="D128" s="1" t="s">
        <v>30</v>
      </c>
      <c r="E128" s="2" t="s">
        <v>30</v>
      </c>
      <c r="F128" s="2" t="s">
        <v>30</v>
      </c>
      <c r="G128" s="2" t="s">
        <v>30</v>
      </c>
      <c r="H128" s="2" t="s">
        <v>30</v>
      </c>
      <c r="I128" s="2" t="s">
        <v>30</v>
      </c>
      <c r="J128" s="2" t="s">
        <v>30</v>
      </c>
      <c r="K128" s="2" t="s">
        <v>30</v>
      </c>
      <c r="L128" s="9" t="s">
        <v>142</v>
      </c>
      <c r="M128" s="7" t="s">
        <v>50</v>
      </c>
      <c r="N128" s="2" t="s">
        <v>396</v>
      </c>
      <c r="O128" s="7" t="s">
        <v>748</v>
      </c>
      <c r="P128" s="7" t="s">
        <v>493</v>
      </c>
      <c r="Q128" s="7" t="s">
        <v>416</v>
      </c>
      <c r="T128" s="2" t="s">
        <v>143</v>
      </c>
      <c r="W128" s="2" t="s">
        <v>52</v>
      </c>
      <c r="X128" s="1" t="str">
        <f t="shared" si="3"/>
        <v>*/GoodsShipment[0]/PreviousDocument[0]/ccQualifier</v>
      </c>
    </row>
    <row r="129" spans="1:24" ht="12" customHeight="1" outlineLevel="3" x14ac:dyDescent="0.35">
      <c r="A129" s="2" t="str">
        <f t="shared" si="4"/>
        <v>CC413B</v>
      </c>
      <c r="B129" s="1">
        <v>3</v>
      </c>
      <c r="C129" s="1" t="s">
        <v>19</v>
      </c>
      <c r="D129" s="1" t="s">
        <v>25</v>
      </c>
      <c r="E129" s="2" t="s">
        <v>25</v>
      </c>
      <c r="F129" s="2" t="s">
        <v>25</v>
      </c>
      <c r="G129" s="2" t="s">
        <v>25</v>
      </c>
      <c r="H129" s="2" t="s">
        <v>25</v>
      </c>
      <c r="I129" s="2" t="s">
        <v>25</v>
      </c>
      <c r="J129" s="2" t="s">
        <v>25</v>
      </c>
      <c r="K129" s="2" t="s">
        <v>25</v>
      </c>
      <c r="L129" s="9" t="s">
        <v>63</v>
      </c>
      <c r="M129" s="7" t="s">
        <v>83</v>
      </c>
      <c r="N129" s="2" t="s">
        <v>27</v>
      </c>
      <c r="O129" s="7" t="s">
        <v>494</v>
      </c>
      <c r="P129" s="14"/>
      <c r="Q129" s="14"/>
      <c r="S129" s="1" t="s">
        <v>1085</v>
      </c>
      <c r="T129" s="2" t="s">
        <v>65</v>
      </c>
      <c r="W129" s="2" t="s">
        <v>308</v>
      </c>
      <c r="X129" s="1" t="str">
        <f t="shared" si="3"/>
        <v>*/GoodsShipment[0]/PreviousDocument[0]/referenceNumber</v>
      </c>
    </row>
    <row r="130" spans="1:24" ht="12" customHeight="1" outlineLevel="2" x14ac:dyDescent="0.35">
      <c r="A130" s="3" t="str">
        <f t="shared" si="4"/>
        <v>CC413B</v>
      </c>
      <c r="B130" s="4">
        <v>2</v>
      </c>
      <c r="C130" s="3" t="s">
        <v>24</v>
      </c>
      <c r="D130" s="3" t="s">
        <v>193</v>
      </c>
      <c r="E130" s="3" t="s">
        <v>193</v>
      </c>
      <c r="F130" s="3" t="s">
        <v>193</v>
      </c>
      <c r="G130" s="3" t="s">
        <v>193</v>
      </c>
      <c r="H130" s="3" t="s">
        <v>193</v>
      </c>
      <c r="I130" s="3" t="s">
        <v>193</v>
      </c>
      <c r="J130" s="3" t="s">
        <v>193</v>
      </c>
      <c r="K130" s="3"/>
      <c r="L130" s="8" t="s">
        <v>495</v>
      </c>
      <c r="M130" s="4"/>
      <c r="N130" s="3" t="s">
        <v>22</v>
      </c>
      <c r="O130" s="16" t="s">
        <v>489</v>
      </c>
      <c r="P130" s="15"/>
      <c r="Q130" s="15"/>
      <c r="R130" s="4"/>
      <c r="S130" s="4" t="s">
        <v>1086</v>
      </c>
      <c r="T130" s="3" t="s">
        <v>496</v>
      </c>
      <c r="U130" s="4"/>
      <c r="V130" s="4"/>
      <c r="W130" s="3" t="s">
        <v>497</v>
      </c>
      <c r="X130" s="1" t="str">
        <f t="shared" si="3"/>
        <v>*/GoodsShipment[0]/SupportingDocument[0]</v>
      </c>
    </row>
    <row r="131" spans="1:24" ht="12" customHeight="1" outlineLevel="3" x14ac:dyDescent="0.35">
      <c r="A131" s="2" t="str">
        <f t="shared" si="4"/>
        <v>CC413B</v>
      </c>
      <c r="B131" s="1">
        <v>3</v>
      </c>
      <c r="C131" s="1" t="s">
        <v>19</v>
      </c>
      <c r="D131" s="1" t="s">
        <v>25</v>
      </c>
      <c r="E131" s="2" t="s">
        <v>25</v>
      </c>
      <c r="F131" s="2" t="s">
        <v>25</v>
      </c>
      <c r="G131" s="2" t="s">
        <v>25</v>
      </c>
      <c r="H131" s="2" t="s">
        <v>25</v>
      </c>
      <c r="I131" s="2" t="s">
        <v>25</v>
      </c>
      <c r="J131" s="2" t="s">
        <v>25</v>
      </c>
      <c r="K131" s="2"/>
      <c r="L131" s="9" t="s">
        <v>56</v>
      </c>
      <c r="M131" s="7" t="s">
        <v>57</v>
      </c>
      <c r="N131" s="2" t="s">
        <v>27</v>
      </c>
      <c r="O131" s="7" t="s">
        <v>393</v>
      </c>
      <c r="P131" s="14"/>
      <c r="Q131" s="14"/>
      <c r="T131" s="2" t="s">
        <v>58</v>
      </c>
      <c r="W131" s="2" t="s">
        <v>59</v>
      </c>
      <c r="X131" s="1" t="str">
        <f t="shared" ref="X131:X194" si="5">IF($B131=0,$T131,_xlfn.TEXTBEFORE(X130,"/",$B131,,,X130)&amp;"/"&amp;$T131)&amp;IF(_xlfn.TEXTAFTER($E131,"..",,,,1)&lt;&gt;"1","[0]","")</f>
        <v>*/GoodsShipment[0]/SupportingDocument[0]/sequenceNumber</v>
      </c>
    </row>
    <row r="132" spans="1:24" ht="12" customHeight="1" outlineLevel="3" x14ac:dyDescent="0.35">
      <c r="A132" s="2" t="str">
        <f t="shared" si="4"/>
        <v>CC413B</v>
      </c>
      <c r="B132" s="1">
        <v>3</v>
      </c>
      <c r="C132" s="1" t="s">
        <v>19</v>
      </c>
      <c r="D132" s="1" t="s">
        <v>25</v>
      </c>
      <c r="E132" s="2" t="s">
        <v>25</v>
      </c>
      <c r="F132" s="2" t="s">
        <v>25</v>
      </c>
      <c r="G132" s="2" t="s">
        <v>25</v>
      </c>
      <c r="H132" s="2" t="s">
        <v>25</v>
      </c>
      <c r="I132" s="2" t="s">
        <v>25</v>
      </c>
      <c r="J132" s="2" t="s">
        <v>25</v>
      </c>
      <c r="K132" s="2"/>
      <c r="L132" s="9" t="s">
        <v>2</v>
      </c>
      <c r="M132" s="7" t="s">
        <v>306</v>
      </c>
      <c r="N132" s="2" t="s">
        <v>27</v>
      </c>
      <c r="O132" s="7" t="s">
        <v>477</v>
      </c>
      <c r="P132" s="14"/>
      <c r="Q132" s="7" t="s">
        <v>498</v>
      </c>
      <c r="S132" s="1" t="s">
        <v>1087</v>
      </c>
      <c r="T132" s="2" t="s">
        <v>61</v>
      </c>
      <c r="W132" s="2" t="s">
        <v>307</v>
      </c>
      <c r="X132" s="1" t="str">
        <f t="shared" si="5"/>
        <v>*/GoodsShipment[0]/SupportingDocument[0]/type</v>
      </c>
    </row>
    <row r="133" spans="1:24" ht="12" customHeight="1" outlineLevel="3" x14ac:dyDescent="0.35">
      <c r="A133" s="2" t="str">
        <f t="shared" si="4"/>
        <v>CC413B</v>
      </c>
      <c r="B133" s="1">
        <v>3</v>
      </c>
      <c r="C133" s="1" t="s">
        <v>19</v>
      </c>
      <c r="D133" s="1" t="s">
        <v>30</v>
      </c>
      <c r="E133" s="2" t="s">
        <v>30</v>
      </c>
      <c r="F133" s="2" t="s">
        <v>30</v>
      </c>
      <c r="G133" s="2" t="s">
        <v>30</v>
      </c>
      <c r="H133" s="2" t="s">
        <v>30</v>
      </c>
      <c r="I133" s="2" t="s">
        <v>30</v>
      </c>
      <c r="J133" s="2" t="s">
        <v>30</v>
      </c>
      <c r="K133" s="2"/>
      <c r="L133" s="9" t="s">
        <v>142</v>
      </c>
      <c r="M133" s="7" t="s">
        <v>50</v>
      </c>
      <c r="N133" s="2" t="s">
        <v>396</v>
      </c>
      <c r="O133" s="7" t="s">
        <v>748</v>
      </c>
      <c r="P133" s="7" t="s">
        <v>493</v>
      </c>
      <c r="Q133" s="7" t="s">
        <v>416</v>
      </c>
      <c r="T133" s="2" t="s">
        <v>143</v>
      </c>
      <c r="W133" s="2" t="s">
        <v>52</v>
      </c>
      <c r="X133" s="1" t="str">
        <f t="shared" si="5"/>
        <v>*/GoodsShipment[0]/SupportingDocument[0]/ccQualifier</v>
      </c>
    </row>
    <row r="134" spans="1:24" ht="12" customHeight="1" outlineLevel="3" x14ac:dyDescent="0.35">
      <c r="A134" s="2" t="str">
        <f t="shared" si="4"/>
        <v>CC413B</v>
      </c>
      <c r="B134" s="1">
        <v>3</v>
      </c>
      <c r="C134" s="1" t="s">
        <v>19</v>
      </c>
      <c r="D134" s="1" t="s">
        <v>25</v>
      </c>
      <c r="E134" s="2" t="s">
        <v>30</v>
      </c>
      <c r="F134" s="2" t="s">
        <v>30</v>
      </c>
      <c r="G134" s="2" t="s">
        <v>30</v>
      </c>
      <c r="H134" s="2" t="s">
        <v>30</v>
      </c>
      <c r="I134" s="2" t="s">
        <v>30</v>
      </c>
      <c r="J134" s="2" t="s">
        <v>30</v>
      </c>
      <c r="K134" s="2"/>
      <c r="L134" s="9" t="s">
        <v>63</v>
      </c>
      <c r="M134" s="7" t="s">
        <v>83</v>
      </c>
      <c r="N134" s="2" t="s">
        <v>27</v>
      </c>
      <c r="O134" s="7" t="s">
        <v>494</v>
      </c>
      <c r="P134" s="14"/>
      <c r="Q134" s="14"/>
      <c r="S134" s="1" t="s">
        <v>1088</v>
      </c>
      <c r="T134" s="2" t="s">
        <v>65</v>
      </c>
      <c r="W134" s="2" t="s">
        <v>308</v>
      </c>
      <c r="X134" s="1" t="str">
        <f t="shared" si="5"/>
        <v>*/GoodsShipment[0]/SupportingDocument[0]/referenceNumber</v>
      </c>
    </row>
    <row r="135" spans="1:24" ht="12" customHeight="1" outlineLevel="3" x14ac:dyDescent="0.35">
      <c r="A135" s="2" t="str">
        <f t="shared" si="4"/>
        <v>CC413B</v>
      </c>
      <c r="B135" s="1">
        <v>3</v>
      </c>
      <c r="C135" s="1" t="s">
        <v>19</v>
      </c>
      <c r="D135" s="1" t="s">
        <v>30</v>
      </c>
      <c r="E135" s="2" t="s">
        <v>30</v>
      </c>
      <c r="F135" s="2" t="s">
        <v>30</v>
      </c>
      <c r="G135" s="2" t="s">
        <v>30</v>
      </c>
      <c r="H135" s="2" t="s">
        <v>30</v>
      </c>
      <c r="I135" s="2" t="s">
        <v>30</v>
      </c>
      <c r="J135" s="2" t="s">
        <v>30</v>
      </c>
      <c r="K135" s="2"/>
      <c r="L135" s="9" t="s">
        <v>499</v>
      </c>
      <c r="M135" s="7" t="s">
        <v>57</v>
      </c>
      <c r="N135" s="2" t="s">
        <v>22</v>
      </c>
      <c r="O135" s="14"/>
      <c r="P135" s="14"/>
      <c r="Q135" s="14"/>
      <c r="S135" s="1" t="s">
        <v>1089</v>
      </c>
      <c r="T135" s="2" t="s">
        <v>500</v>
      </c>
      <c r="W135" s="2" t="s">
        <v>255</v>
      </c>
      <c r="X135" s="1" t="str">
        <f t="shared" si="5"/>
        <v>*/GoodsShipment[0]/SupportingDocument[0]/documentLineItemNumber</v>
      </c>
    </row>
    <row r="136" spans="1:24" ht="12" customHeight="1" outlineLevel="3" x14ac:dyDescent="0.35">
      <c r="A136" s="2" t="str">
        <f t="shared" si="4"/>
        <v>CC413B</v>
      </c>
      <c r="B136" s="1">
        <v>3</v>
      </c>
      <c r="C136" s="1" t="s">
        <v>19</v>
      </c>
      <c r="D136" s="1" t="s">
        <v>30</v>
      </c>
      <c r="E136" s="2" t="s">
        <v>30</v>
      </c>
      <c r="F136" s="2"/>
      <c r="G136" s="2"/>
      <c r="H136" s="2"/>
      <c r="I136" s="2"/>
      <c r="J136" s="2" t="s">
        <v>30</v>
      </c>
      <c r="K136" s="2"/>
      <c r="L136" s="9" t="s">
        <v>501</v>
      </c>
      <c r="M136" s="7" t="s">
        <v>83</v>
      </c>
      <c r="N136" s="2" t="s">
        <v>22</v>
      </c>
      <c r="O136" s="14"/>
      <c r="P136" s="14"/>
      <c r="Q136" s="14"/>
      <c r="S136" s="1" t="s">
        <v>1090</v>
      </c>
      <c r="T136" s="2" t="s">
        <v>502</v>
      </c>
      <c r="W136" s="2" t="s">
        <v>503</v>
      </c>
      <c r="X136" s="1" t="str">
        <f t="shared" si="5"/>
        <v>*/GoodsShipment[0]/SupportingDocument[0]/issuingAuthorityName</v>
      </c>
    </row>
    <row r="137" spans="1:24" ht="12" customHeight="1" outlineLevel="3" x14ac:dyDescent="0.35">
      <c r="A137" s="2" t="str">
        <f t="shared" si="4"/>
        <v>CC413B</v>
      </c>
      <c r="B137" s="1">
        <v>3</v>
      </c>
      <c r="C137" s="1" t="s">
        <v>19</v>
      </c>
      <c r="D137" s="1" t="s">
        <v>30</v>
      </c>
      <c r="E137" s="2" t="s">
        <v>30</v>
      </c>
      <c r="F137" s="2" t="s">
        <v>30</v>
      </c>
      <c r="G137" s="2" t="s">
        <v>30</v>
      </c>
      <c r="H137" s="2" t="s">
        <v>30</v>
      </c>
      <c r="I137" s="2" t="s">
        <v>30</v>
      </c>
      <c r="J137" s="2" t="s">
        <v>30</v>
      </c>
      <c r="K137" s="2"/>
      <c r="L137" s="9" t="s">
        <v>504</v>
      </c>
      <c r="M137" s="7" t="s">
        <v>505</v>
      </c>
      <c r="N137" s="2" t="s">
        <v>22</v>
      </c>
      <c r="O137" s="14"/>
      <c r="P137" s="14"/>
      <c r="Q137" s="14"/>
      <c r="S137" s="1" t="s">
        <v>1091</v>
      </c>
      <c r="T137" s="2" t="s">
        <v>506</v>
      </c>
      <c r="W137" s="2" t="s">
        <v>507</v>
      </c>
      <c r="X137" s="1" t="str">
        <f t="shared" si="5"/>
        <v>*/GoodsShipment[0]/SupportingDocument[0]/dateOfValidity</v>
      </c>
    </row>
    <row r="138" spans="1:24" ht="12" customHeight="1" outlineLevel="2" x14ac:dyDescent="0.35">
      <c r="A138" s="3" t="str">
        <f t="shared" si="4"/>
        <v>CC413B</v>
      </c>
      <c r="B138" s="4">
        <v>2</v>
      </c>
      <c r="C138" s="3" t="s">
        <v>24</v>
      </c>
      <c r="D138" s="3" t="s">
        <v>193</v>
      </c>
      <c r="E138" s="3" t="s">
        <v>193</v>
      </c>
      <c r="F138" s="3" t="s">
        <v>193</v>
      </c>
      <c r="G138" s="3" t="s">
        <v>193</v>
      </c>
      <c r="H138" s="3" t="s">
        <v>193</v>
      </c>
      <c r="I138" s="3" t="s">
        <v>193</v>
      </c>
      <c r="J138" s="3" t="s">
        <v>193</v>
      </c>
      <c r="K138" s="3"/>
      <c r="L138" s="8" t="s">
        <v>508</v>
      </c>
      <c r="M138" s="4"/>
      <c r="N138" s="3" t="s">
        <v>22</v>
      </c>
      <c r="O138" s="16" t="s">
        <v>749</v>
      </c>
      <c r="P138" s="15"/>
      <c r="Q138" s="15"/>
      <c r="R138" s="4"/>
      <c r="S138" s="4" t="s">
        <v>1092</v>
      </c>
      <c r="T138" s="3" t="s">
        <v>509</v>
      </c>
      <c r="U138" s="4"/>
      <c r="V138" s="4"/>
      <c r="W138" s="3" t="s">
        <v>510</v>
      </c>
      <c r="X138" s="1" t="str">
        <f t="shared" si="5"/>
        <v>*/GoodsShipment[0]/AdditionalReference[0]</v>
      </c>
    </row>
    <row r="139" spans="1:24" ht="12" customHeight="1" outlineLevel="3" x14ac:dyDescent="0.35">
      <c r="A139" s="2" t="str">
        <f t="shared" si="4"/>
        <v>CC413B</v>
      </c>
      <c r="B139" s="1">
        <v>3</v>
      </c>
      <c r="C139" s="1" t="s">
        <v>19</v>
      </c>
      <c r="D139" s="1" t="s">
        <v>25</v>
      </c>
      <c r="E139" s="2" t="s">
        <v>25</v>
      </c>
      <c r="F139" s="2" t="s">
        <v>25</v>
      </c>
      <c r="G139" s="2" t="s">
        <v>25</v>
      </c>
      <c r="H139" s="2" t="s">
        <v>25</v>
      </c>
      <c r="I139" s="2" t="s">
        <v>25</v>
      </c>
      <c r="J139" s="2" t="s">
        <v>25</v>
      </c>
      <c r="K139" s="2"/>
      <c r="L139" s="9" t="s">
        <v>56</v>
      </c>
      <c r="M139" s="7" t="s">
        <v>57</v>
      </c>
      <c r="N139" s="2" t="s">
        <v>27</v>
      </c>
      <c r="O139" s="7" t="s">
        <v>393</v>
      </c>
      <c r="P139" s="14"/>
      <c r="Q139" s="14"/>
      <c r="T139" s="2" t="s">
        <v>58</v>
      </c>
      <c r="W139" s="2" t="s">
        <v>59</v>
      </c>
      <c r="X139" s="1" t="str">
        <f t="shared" si="5"/>
        <v>*/GoodsShipment[0]/AdditionalReference[0]/sequenceNumber</v>
      </c>
    </row>
    <row r="140" spans="1:24" ht="12" customHeight="1" outlineLevel="3" x14ac:dyDescent="0.35">
      <c r="A140" s="2" t="str">
        <f t="shared" si="4"/>
        <v>CC413B</v>
      </c>
      <c r="B140" s="1">
        <v>3</v>
      </c>
      <c r="C140" s="1" t="s">
        <v>19</v>
      </c>
      <c r="D140" s="1" t="s">
        <v>25</v>
      </c>
      <c r="E140" s="2" t="s">
        <v>25</v>
      </c>
      <c r="F140" s="2" t="s">
        <v>25</v>
      </c>
      <c r="G140" s="2" t="s">
        <v>25</v>
      </c>
      <c r="H140" s="2" t="s">
        <v>25</v>
      </c>
      <c r="I140" s="2" t="s">
        <v>25</v>
      </c>
      <c r="J140" s="2" t="s">
        <v>25</v>
      </c>
      <c r="K140" s="2"/>
      <c r="L140" s="9" t="s">
        <v>2</v>
      </c>
      <c r="M140" s="7" t="s">
        <v>306</v>
      </c>
      <c r="N140" s="2" t="s">
        <v>27</v>
      </c>
      <c r="O140" s="14"/>
      <c r="P140" s="14"/>
      <c r="Q140" s="7" t="s">
        <v>511</v>
      </c>
      <c r="S140" s="1" t="s">
        <v>1093</v>
      </c>
      <c r="T140" s="2" t="s">
        <v>61</v>
      </c>
      <c r="W140" s="2" t="s">
        <v>307</v>
      </c>
      <c r="X140" s="1" t="str">
        <f t="shared" si="5"/>
        <v>*/GoodsShipment[0]/AdditionalReference[0]/type</v>
      </c>
    </row>
    <row r="141" spans="1:24" ht="12" customHeight="1" outlineLevel="3" x14ac:dyDescent="0.35">
      <c r="A141" s="2" t="str">
        <f t="shared" si="4"/>
        <v>CC413B</v>
      </c>
      <c r="B141" s="1">
        <v>3</v>
      </c>
      <c r="C141" s="1" t="s">
        <v>19</v>
      </c>
      <c r="D141" s="1" t="s">
        <v>30</v>
      </c>
      <c r="E141" s="2" t="s">
        <v>30</v>
      </c>
      <c r="F141" s="2" t="s">
        <v>30</v>
      </c>
      <c r="G141" s="2" t="s">
        <v>30</v>
      </c>
      <c r="H141" s="2" t="s">
        <v>30</v>
      </c>
      <c r="I141" s="2" t="s">
        <v>30</v>
      </c>
      <c r="J141" s="2" t="s">
        <v>30</v>
      </c>
      <c r="K141" s="2"/>
      <c r="L141" s="9" t="s">
        <v>142</v>
      </c>
      <c r="M141" s="7" t="s">
        <v>50</v>
      </c>
      <c r="N141" s="2" t="s">
        <v>396</v>
      </c>
      <c r="O141" s="7" t="s">
        <v>748</v>
      </c>
      <c r="P141" s="7" t="s">
        <v>493</v>
      </c>
      <c r="Q141" s="7" t="s">
        <v>416</v>
      </c>
      <c r="T141" s="2" t="s">
        <v>143</v>
      </c>
      <c r="W141" s="2" t="s">
        <v>52</v>
      </c>
      <c r="X141" s="1" t="str">
        <f t="shared" si="5"/>
        <v>*/GoodsShipment[0]/AdditionalReference[0]/ccQualifier</v>
      </c>
    </row>
    <row r="142" spans="1:24" ht="12" customHeight="1" outlineLevel="3" x14ac:dyDescent="0.35">
      <c r="A142" s="2" t="str">
        <f t="shared" si="4"/>
        <v>CC413B</v>
      </c>
      <c r="B142" s="1">
        <v>3</v>
      </c>
      <c r="C142" s="1" t="s">
        <v>19</v>
      </c>
      <c r="D142" s="1" t="s">
        <v>30</v>
      </c>
      <c r="E142" s="2" t="s">
        <v>30</v>
      </c>
      <c r="F142" s="2" t="s">
        <v>30</v>
      </c>
      <c r="G142" s="2" t="s">
        <v>30</v>
      </c>
      <c r="H142" s="2" t="s">
        <v>30</v>
      </c>
      <c r="I142" s="2" t="s">
        <v>30</v>
      </c>
      <c r="J142" s="2" t="s">
        <v>30</v>
      </c>
      <c r="K142" s="2"/>
      <c r="L142" s="9" t="s">
        <v>63</v>
      </c>
      <c r="M142" s="7" t="s">
        <v>83</v>
      </c>
      <c r="N142" s="2" t="s">
        <v>22</v>
      </c>
      <c r="O142" s="7" t="s">
        <v>494</v>
      </c>
      <c r="P142" s="14"/>
      <c r="Q142" s="14"/>
      <c r="S142" s="1" t="s">
        <v>1094</v>
      </c>
      <c r="T142" s="2" t="s">
        <v>65</v>
      </c>
      <c r="W142" s="2" t="s">
        <v>308</v>
      </c>
      <c r="X142" s="1" t="str">
        <f t="shared" si="5"/>
        <v>*/GoodsShipment[0]/AdditionalReference[0]/referenceNumber</v>
      </c>
    </row>
    <row r="143" spans="1:24" ht="12" customHeight="1" outlineLevel="2" x14ac:dyDescent="0.35">
      <c r="A143" s="3" t="str">
        <f t="shared" si="4"/>
        <v>CC413B</v>
      </c>
      <c r="B143" s="4">
        <v>2</v>
      </c>
      <c r="C143" s="3" t="s">
        <v>24</v>
      </c>
      <c r="D143" s="3" t="s">
        <v>193</v>
      </c>
      <c r="E143" s="3" t="s">
        <v>193</v>
      </c>
      <c r="F143" s="3" t="s">
        <v>193</v>
      </c>
      <c r="G143" s="3" t="s">
        <v>193</v>
      </c>
      <c r="H143" s="3" t="s">
        <v>193</v>
      </c>
      <c r="I143" s="3" t="s">
        <v>193</v>
      </c>
      <c r="J143" s="3" t="s">
        <v>193</v>
      </c>
      <c r="K143" s="3"/>
      <c r="L143" s="8" t="s">
        <v>219</v>
      </c>
      <c r="M143" s="4"/>
      <c r="N143" s="3" t="s">
        <v>22</v>
      </c>
      <c r="O143" s="16" t="s">
        <v>489</v>
      </c>
      <c r="P143" s="15"/>
      <c r="Q143" s="15"/>
      <c r="R143" s="4"/>
      <c r="S143" s="4" t="s">
        <v>1095</v>
      </c>
      <c r="T143" s="3" t="s">
        <v>220</v>
      </c>
      <c r="U143" s="4"/>
      <c r="V143" s="4"/>
      <c r="W143" s="3" t="s">
        <v>221</v>
      </c>
      <c r="X143" s="1" t="str">
        <f t="shared" si="5"/>
        <v>*/GoodsShipment[0]/AdditionalInformation[0]</v>
      </c>
    </row>
    <row r="144" spans="1:24" ht="12" customHeight="1" outlineLevel="3" x14ac:dyDescent="0.35">
      <c r="A144" s="2" t="str">
        <f t="shared" si="4"/>
        <v>CC413B</v>
      </c>
      <c r="B144" s="1">
        <v>3</v>
      </c>
      <c r="C144" s="1" t="s">
        <v>19</v>
      </c>
      <c r="D144" s="1" t="s">
        <v>25</v>
      </c>
      <c r="E144" s="2" t="s">
        <v>25</v>
      </c>
      <c r="F144" s="2" t="s">
        <v>25</v>
      </c>
      <c r="G144" s="2" t="s">
        <v>25</v>
      </c>
      <c r="H144" s="2" t="s">
        <v>25</v>
      </c>
      <c r="I144" s="2" t="s">
        <v>25</v>
      </c>
      <c r="J144" s="2" t="s">
        <v>25</v>
      </c>
      <c r="K144" s="2"/>
      <c r="L144" s="9" t="s">
        <v>56</v>
      </c>
      <c r="M144" s="7" t="s">
        <v>57</v>
      </c>
      <c r="N144" s="2" t="s">
        <v>27</v>
      </c>
      <c r="O144" s="7" t="s">
        <v>393</v>
      </c>
      <c r="P144" s="14"/>
      <c r="Q144" s="14"/>
      <c r="T144" s="2" t="s">
        <v>58</v>
      </c>
      <c r="W144" s="2" t="s">
        <v>59</v>
      </c>
      <c r="X144" s="1" t="str">
        <f t="shared" si="5"/>
        <v>*/GoodsShipment[0]/AdditionalInformation[0]/sequenceNumber</v>
      </c>
    </row>
    <row r="145" spans="1:24" ht="12" customHeight="1" outlineLevel="3" x14ac:dyDescent="0.35">
      <c r="A145" s="2" t="str">
        <f t="shared" si="4"/>
        <v>CC413B</v>
      </c>
      <c r="B145" s="1">
        <v>3</v>
      </c>
      <c r="C145" s="1" t="s">
        <v>19</v>
      </c>
      <c r="D145" s="1" t="s">
        <v>25</v>
      </c>
      <c r="E145" s="2" t="s">
        <v>25</v>
      </c>
      <c r="F145" s="2" t="s">
        <v>25</v>
      </c>
      <c r="G145" s="2" t="s">
        <v>25</v>
      </c>
      <c r="H145" s="2" t="s">
        <v>25</v>
      </c>
      <c r="I145" s="2" t="s">
        <v>25</v>
      </c>
      <c r="J145" s="2" t="s">
        <v>25</v>
      </c>
      <c r="K145" s="2"/>
      <c r="L145" s="9" t="s">
        <v>222</v>
      </c>
      <c r="M145" s="7" t="s">
        <v>223</v>
      </c>
      <c r="N145" s="2" t="s">
        <v>27</v>
      </c>
      <c r="O145" s="7" t="s">
        <v>477</v>
      </c>
      <c r="P145" s="14"/>
      <c r="Q145" s="7" t="s">
        <v>513</v>
      </c>
      <c r="S145" s="1" t="s">
        <v>1096</v>
      </c>
      <c r="T145" s="2" t="s">
        <v>224</v>
      </c>
      <c r="W145" s="2" t="s">
        <v>225</v>
      </c>
      <c r="X145" s="1" t="str">
        <f t="shared" si="5"/>
        <v>*/GoodsShipment[0]/AdditionalInformation[0]/code</v>
      </c>
    </row>
    <row r="146" spans="1:24" ht="12" customHeight="1" outlineLevel="3" x14ac:dyDescent="0.35">
      <c r="A146" s="2" t="str">
        <f t="shared" si="4"/>
        <v>CC413B</v>
      </c>
      <c r="B146" s="1">
        <v>3</v>
      </c>
      <c r="C146" s="1" t="s">
        <v>19</v>
      </c>
      <c r="D146" s="1" t="s">
        <v>30</v>
      </c>
      <c r="E146" s="2" t="s">
        <v>30</v>
      </c>
      <c r="F146" s="2" t="s">
        <v>30</v>
      </c>
      <c r="G146" s="2" t="s">
        <v>30</v>
      </c>
      <c r="H146" s="2" t="s">
        <v>30</v>
      </c>
      <c r="I146" s="2" t="s">
        <v>30</v>
      </c>
      <c r="J146" s="2" t="s">
        <v>30</v>
      </c>
      <c r="K146" s="2"/>
      <c r="L146" s="9" t="s">
        <v>142</v>
      </c>
      <c r="M146" s="7" t="s">
        <v>50</v>
      </c>
      <c r="N146" s="2" t="s">
        <v>396</v>
      </c>
      <c r="O146" s="7" t="s">
        <v>748</v>
      </c>
      <c r="P146" s="7" t="s">
        <v>493</v>
      </c>
      <c r="Q146" s="7" t="s">
        <v>416</v>
      </c>
      <c r="T146" s="2" t="s">
        <v>143</v>
      </c>
      <c r="W146" s="2" t="s">
        <v>52</v>
      </c>
      <c r="X146" s="1" t="str">
        <f t="shared" si="5"/>
        <v>*/GoodsShipment[0]/AdditionalInformation[0]/ccQualifier</v>
      </c>
    </row>
    <row r="147" spans="1:24" ht="12" customHeight="1" outlineLevel="3" x14ac:dyDescent="0.35">
      <c r="A147" s="2" t="str">
        <f t="shared" si="4"/>
        <v>CC413B</v>
      </c>
      <c r="B147" s="1">
        <v>3</v>
      </c>
      <c r="C147" s="1" t="s">
        <v>19</v>
      </c>
      <c r="D147" s="1" t="s">
        <v>30</v>
      </c>
      <c r="E147" s="2" t="s">
        <v>30</v>
      </c>
      <c r="F147" s="2" t="s">
        <v>30</v>
      </c>
      <c r="G147" s="2" t="s">
        <v>30</v>
      </c>
      <c r="H147" s="2" t="s">
        <v>30</v>
      </c>
      <c r="I147" s="2" t="s">
        <v>30</v>
      </c>
      <c r="J147" s="2" t="s">
        <v>30</v>
      </c>
      <c r="K147" s="2"/>
      <c r="L147" s="9" t="s">
        <v>226</v>
      </c>
      <c r="M147" s="7" t="s">
        <v>216</v>
      </c>
      <c r="N147" s="2" t="s">
        <v>22</v>
      </c>
      <c r="O147" s="14"/>
      <c r="P147" s="14"/>
      <c r="Q147" s="14"/>
      <c r="S147" s="1" t="s">
        <v>1097</v>
      </c>
      <c r="T147" s="2" t="s">
        <v>227</v>
      </c>
      <c r="W147" s="2" t="s">
        <v>218</v>
      </c>
      <c r="X147" s="1" t="str">
        <f t="shared" si="5"/>
        <v>*/GoodsShipment[0]/AdditionalInformation[0]/text</v>
      </c>
    </row>
    <row r="148" spans="1:24" ht="12" customHeight="1" outlineLevel="2" x14ac:dyDescent="0.35">
      <c r="A148" s="3" t="str">
        <f t="shared" si="4"/>
        <v>CC413B</v>
      </c>
      <c r="B148" s="4">
        <v>2</v>
      </c>
      <c r="C148" s="3" t="s">
        <v>24</v>
      </c>
      <c r="D148" s="3" t="s">
        <v>193</v>
      </c>
      <c r="E148" s="3" t="s">
        <v>193</v>
      </c>
      <c r="F148" s="3"/>
      <c r="G148" s="3"/>
      <c r="H148" s="3"/>
      <c r="I148" s="3" t="s">
        <v>193</v>
      </c>
      <c r="J148" s="3"/>
      <c r="K148" s="3"/>
      <c r="L148" s="8" t="s">
        <v>514</v>
      </c>
      <c r="M148" s="4"/>
      <c r="N148" s="3" t="s">
        <v>396</v>
      </c>
      <c r="O148" s="16" t="s">
        <v>750</v>
      </c>
      <c r="P148" s="16" t="s">
        <v>515</v>
      </c>
      <c r="Q148" s="15"/>
      <c r="R148" s="4"/>
      <c r="S148" s="4" t="s">
        <v>1098</v>
      </c>
      <c r="T148" s="3" t="s">
        <v>516</v>
      </c>
      <c r="U148" s="4"/>
      <c r="V148" s="4"/>
      <c r="W148" s="3" t="s">
        <v>517</v>
      </c>
      <c r="X148" s="1" t="str">
        <f t="shared" si="5"/>
        <v>*/GoodsShipment[0]/AdditionsAndDeductions[0]</v>
      </c>
    </row>
    <row r="149" spans="1:24" ht="12" customHeight="1" outlineLevel="3" x14ac:dyDescent="0.35">
      <c r="A149" s="2" t="str">
        <f t="shared" si="4"/>
        <v>CC413B</v>
      </c>
      <c r="B149" s="1">
        <v>3</v>
      </c>
      <c r="C149" s="1" t="s">
        <v>19</v>
      </c>
      <c r="D149" s="1" t="s">
        <v>25</v>
      </c>
      <c r="E149" s="2" t="s">
        <v>25</v>
      </c>
      <c r="F149" s="2"/>
      <c r="G149" s="2"/>
      <c r="H149" s="2"/>
      <c r="I149" s="2" t="s">
        <v>25</v>
      </c>
      <c r="J149" s="2"/>
      <c r="K149" s="2"/>
      <c r="L149" s="9" t="s">
        <v>56</v>
      </c>
      <c r="M149" s="7" t="s">
        <v>57</v>
      </c>
      <c r="N149" s="2" t="s">
        <v>27</v>
      </c>
      <c r="O149" s="7" t="s">
        <v>393</v>
      </c>
      <c r="P149" s="14"/>
      <c r="Q149" s="14"/>
      <c r="T149" s="2" t="s">
        <v>58</v>
      </c>
      <c r="W149" s="2" t="s">
        <v>59</v>
      </c>
      <c r="X149" s="1" t="str">
        <f t="shared" si="5"/>
        <v>*/GoodsShipment[0]/AdditionsAndDeductions[0]/sequenceNumber</v>
      </c>
    </row>
    <row r="150" spans="1:24" ht="12" customHeight="1" outlineLevel="3" x14ac:dyDescent="0.35">
      <c r="A150" s="2" t="str">
        <f t="shared" si="4"/>
        <v>CC413B</v>
      </c>
      <c r="B150" s="1">
        <v>3</v>
      </c>
      <c r="C150" s="1" t="s">
        <v>19</v>
      </c>
      <c r="D150" s="1" t="s">
        <v>25</v>
      </c>
      <c r="E150" s="2" t="s">
        <v>25</v>
      </c>
      <c r="F150" s="2"/>
      <c r="G150" s="2"/>
      <c r="H150" s="2"/>
      <c r="I150" s="2" t="s">
        <v>25</v>
      </c>
      <c r="J150" s="2"/>
      <c r="K150" s="2"/>
      <c r="L150" s="9" t="s">
        <v>222</v>
      </c>
      <c r="M150" s="7" t="s">
        <v>518</v>
      </c>
      <c r="N150" s="2" t="s">
        <v>27</v>
      </c>
      <c r="O150" s="14"/>
      <c r="P150" s="14"/>
      <c r="Q150" s="7" t="s">
        <v>519</v>
      </c>
      <c r="S150" s="1" t="s">
        <v>1099</v>
      </c>
      <c r="T150" s="2" t="s">
        <v>224</v>
      </c>
      <c r="W150" s="2" t="s">
        <v>520</v>
      </c>
      <c r="X150" s="1" t="str">
        <f t="shared" si="5"/>
        <v>*/GoodsShipment[0]/AdditionsAndDeductions[0]/code</v>
      </c>
    </row>
    <row r="151" spans="1:24" ht="12" customHeight="1" outlineLevel="3" x14ac:dyDescent="0.35">
      <c r="A151" s="2" t="str">
        <f t="shared" si="4"/>
        <v>CC413B</v>
      </c>
      <c r="B151" s="1">
        <v>3</v>
      </c>
      <c r="C151" s="1" t="s">
        <v>19</v>
      </c>
      <c r="D151" s="1" t="s">
        <v>25</v>
      </c>
      <c r="E151" s="2" t="s">
        <v>30</v>
      </c>
      <c r="F151" s="2"/>
      <c r="G151" s="2"/>
      <c r="H151" s="2"/>
      <c r="I151" s="2" t="s">
        <v>30</v>
      </c>
      <c r="J151" s="2"/>
      <c r="K151" s="2"/>
      <c r="L151" s="9" t="s">
        <v>524</v>
      </c>
      <c r="M151" s="7" t="s">
        <v>181</v>
      </c>
      <c r="N151" s="2" t="s">
        <v>27</v>
      </c>
      <c r="O151" s="14"/>
      <c r="P151" s="14"/>
      <c r="Q151" s="14"/>
      <c r="S151" s="1" t="s">
        <v>1100</v>
      </c>
      <c r="T151" s="2" t="s">
        <v>525</v>
      </c>
      <c r="W151" s="2" t="s">
        <v>183</v>
      </c>
      <c r="X151" s="1" t="str">
        <f t="shared" si="5"/>
        <v>*/GoodsShipment[0]/AdditionsAndDeductions[0]/amount</v>
      </c>
    </row>
    <row r="152" spans="1:24" ht="12" customHeight="1" outlineLevel="2" x14ac:dyDescent="0.35">
      <c r="A152" s="3" t="str">
        <f t="shared" si="4"/>
        <v>CC413B</v>
      </c>
      <c r="B152" s="4">
        <v>2</v>
      </c>
      <c r="C152" s="3" t="s">
        <v>24</v>
      </c>
      <c r="D152" s="3" t="s">
        <v>193</v>
      </c>
      <c r="E152" s="3" t="s">
        <v>193</v>
      </c>
      <c r="F152" s="3" t="s">
        <v>193</v>
      </c>
      <c r="G152" s="3" t="s">
        <v>193</v>
      </c>
      <c r="H152" s="3" t="s">
        <v>193</v>
      </c>
      <c r="I152" s="3"/>
      <c r="J152" s="3" t="s">
        <v>193</v>
      </c>
      <c r="K152" s="3" t="s">
        <v>193</v>
      </c>
      <c r="L152" s="8" t="s">
        <v>528</v>
      </c>
      <c r="M152" s="4"/>
      <c r="N152" s="3" t="s">
        <v>396</v>
      </c>
      <c r="O152" s="16" t="s">
        <v>751</v>
      </c>
      <c r="P152" s="16" t="s">
        <v>529</v>
      </c>
      <c r="Q152" s="15"/>
      <c r="R152" s="4"/>
      <c r="S152" s="4" t="s">
        <v>1101</v>
      </c>
      <c r="T152" s="3" t="s">
        <v>530</v>
      </c>
      <c r="U152" s="4"/>
      <c r="V152" s="4"/>
      <c r="W152" s="3" t="s">
        <v>531</v>
      </c>
      <c r="X152" s="1" t="str">
        <f t="shared" si="5"/>
        <v>*/GoodsShipment[0]/AdditionalFiscalReference[0]</v>
      </c>
    </row>
    <row r="153" spans="1:24" ht="12" customHeight="1" outlineLevel="3" x14ac:dyDescent="0.35">
      <c r="A153" s="2" t="str">
        <f t="shared" si="4"/>
        <v>CC413B</v>
      </c>
      <c r="B153" s="1">
        <v>3</v>
      </c>
      <c r="C153" s="1" t="s">
        <v>19</v>
      </c>
      <c r="D153" s="1" t="s">
        <v>25</v>
      </c>
      <c r="E153" s="2" t="s">
        <v>25</v>
      </c>
      <c r="F153" s="2" t="s">
        <v>25</v>
      </c>
      <c r="G153" s="2" t="s">
        <v>25</v>
      </c>
      <c r="H153" s="2" t="s">
        <v>25</v>
      </c>
      <c r="I153" s="2"/>
      <c r="J153" s="2" t="s">
        <v>25</v>
      </c>
      <c r="K153" s="2" t="s">
        <v>25</v>
      </c>
      <c r="L153" s="9" t="s">
        <v>56</v>
      </c>
      <c r="M153" s="7" t="s">
        <v>57</v>
      </c>
      <c r="N153" s="2" t="s">
        <v>27</v>
      </c>
      <c r="O153" s="7" t="s">
        <v>393</v>
      </c>
      <c r="P153" s="14"/>
      <c r="Q153" s="14"/>
      <c r="T153" s="2" t="s">
        <v>58</v>
      </c>
      <c r="W153" s="2" t="s">
        <v>59</v>
      </c>
      <c r="X153" s="1" t="str">
        <f t="shared" si="5"/>
        <v>*/GoodsShipment[0]/AdditionalFiscalReference[0]/sequenceNumber</v>
      </c>
    </row>
    <row r="154" spans="1:24" ht="12" customHeight="1" outlineLevel="3" x14ac:dyDescent="0.35">
      <c r="A154" s="2" t="str">
        <f t="shared" si="4"/>
        <v>CC413B</v>
      </c>
      <c r="B154" s="1">
        <v>3</v>
      </c>
      <c r="C154" s="1" t="s">
        <v>19</v>
      </c>
      <c r="D154" s="1" t="s">
        <v>25</v>
      </c>
      <c r="E154" s="2" t="s">
        <v>25</v>
      </c>
      <c r="F154" s="2" t="s">
        <v>25</v>
      </c>
      <c r="G154" s="2" t="s">
        <v>25</v>
      </c>
      <c r="H154" s="2" t="s">
        <v>25</v>
      </c>
      <c r="I154" s="2"/>
      <c r="J154" s="2" t="s">
        <v>25</v>
      </c>
      <c r="K154" s="2" t="s">
        <v>25</v>
      </c>
      <c r="L154" s="9" t="s">
        <v>197</v>
      </c>
      <c r="M154" s="7" t="s">
        <v>333</v>
      </c>
      <c r="N154" s="2" t="s">
        <v>27</v>
      </c>
      <c r="O154" s="14"/>
      <c r="P154" s="14"/>
      <c r="Q154" s="7" t="s">
        <v>532</v>
      </c>
      <c r="S154" s="1" t="s">
        <v>1102</v>
      </c>
      <c r="T154" s="2" t="s">
        <v>199</v>
      </c>
      <c r="W154" s="2" t="s">
        <v>533</v>
      </c>
      <c r="X154" s="1" t="str">
        <f t="shared" si="5"/>
        <v>*/GoodsShipment[0]/AdditionalFiscalReference[0]/role</v>
      </c>
    </row>
    <row r="155" spans="1:24" ht="12" customHeight="1" outlineLevel="3" x14ac:dyDescent="0.35">
      <c r="A155" s="2" t="str">
        <f t="shared" si="4"/>
        <v>CC413B</v>
      </c>
      <c r="B155" s="1">
        <v>3</v>
      </c>
      <c r="C155" s="1" t="s">
        <v>19</v>
      </c>
      <c r="D155" s="1" t="s">
        <v>25</v>
      </c>
      <c r="E155" s="2" t="s">
        <v>25</v>
      </c>
      <c r="F155" s="2" t="s">
        <v>25</v>
      </c>
      <c r="G155" s="2" t="s">
        <v>25</v>
      </c>
      <c r="H155" s="2" t="s">
        <v>25</v>
      </c>
      <c r="I155" s="2"/>
      <c r="J155" s="2" t="s">
        <v>25</v>
      </c>
      <c r="K155" s="2" t="s">
        <v>25</v>
      </c>
      <c r="L155" s="9" t="s">
        <v>534</v>
      </c>
      <c r="M155" s="7" t="s">
        <v>103</v>
      </c>
      <c r="N155" s="2" t="s">
        <v>27</v>
      </c>
      <c r="O155" s="14"/>
      <c r="P155" s="14"/>
      <c r="Q155" s="14"/>
      <c r="S155" s="1" t="s">
        <v>1103</v>
      </c>
      <c r="T155" s="2" t="s">
        <v>535</v>
      </c>
      <c r="W155" s="2" t="s">
        <v>536</v>
      </c>
      <c r="X155" s="1" t="str">
        <f t="shared" si="5"/>
        <v>*/GoodsShipment[0]/AdditionalFiscalReference[0]/VATIdentificationNumber</v>
      </c>
    </row>
    <row r="156" spans="1:24" ht="12" customHeight="1" outlineLevel="2" x14ac:dyDescent="0.35">
      <c r="A156" s="3" t="str">
        <f t="shared" si="4"/>
        <v>CC413B</v>
      </c>
      <c r="B156" s="4">
        <v>2</v>
      </c>
      <c r="C156" s="3" t="s">
        <v>24</v>
      </c>
      <c r="D156" s="3" t="s">
        <v>25</v>
      </c>
      <c r="E156" s="3" t="s">
        <v>25</v>
      </c>
      <c r="F156" s="3" t="s">
        <v>25</v>
      </c>
      <c r="G156" s="3" t="s">
        <v>25</v>
      </c>
      <c r="H156" s="3" t="s">
        <v>25</v>
      </c>
      <c r="I156" s="3" t="s">
        <v>25</v>
      </c>
      <c r="J156" s="3" t="s">
        <v>25</v>
      </c>
      <c r="K156" s="3" t="s">
        <v>25</v>
      </c>
      <c r="L156" s="8" t="s">
        <v>241</v>
      </c>
      <c r="M156" s="4"/>
      <c r="N156" s="3" t="s">
        <v>27</v>
      </c>
      <c r="O156" s="15"/>
      <c r="P156" s="15"/>
      <c r="Q156" s="15"/>
      <c r="R156" s="4"/>
      <c r="S156" s="4"/>
      <c r="T156" s="3" t="s">
        <v>241</v>
      </c>
      <c r="U156" s="4"/>
      <c r="V156" s="4"/>
      <c r="W156" s="3" t="s">
        <v>537</v>
      </c>
      <c r="X156" s="1" t="str">
        <f t="shared" si="5"/>
        <v>*/GoodsShipment[0]/Consignment</v>
      </c>
    </row>
    <row r="157" spans="1:24" ht="12" customHeight="1" outlineLevel="3" x14ac:dyDescent="0.35">
      <c r="A157" s="2" t="str">
        <f t="shared" si="4"/>
        <v>CC413B</v>
      </c>
      <c r="B157" s="1">
        <v>3</v>
      </c>
      <c r="C157" s="1" t="s">
        <v>19</v>
      </c>
      <c r="D157" s="1" t="s">
        <v>25</v>
      </c>
      <c r="E157" s="2" t="s">
        <v>25</v>
      </c>
      <c r="F157" s="2" t="s">
        <v>25</v>
      </c>
      <c r="G157" s="2" t="s">
        <v>25</v>
      </c>
      <c r="H157" s="2" t="s">
        <v>25</v>
      </c>
      <c r="I157" s="2"/>
      <c r="J157" s="2"/>
      <c r="K157" s="2"/>
      <c r="L157" s="9" t="s">
        <v>538</v>
      </c>
      <c r="M157" s="7" t="s">
        <v>123</v>
      </c>
      <c r="N157" s="2" t="s">
        <v>27</v>
      </c>
      <c r="O157" s="14"/>
      <c r="P157" s="14"/>
      <c r="Q157" s="7" t="s">
        <v>539</v>
      </c>
      <c r="S157" s="1" t="s">
        <v>1104</v>
      </c>
      <c r="T157" s="2" t="s">
        <v>540</v>
      </c>
      <c r="W157" s="2" t="s">
        <v>367</v>
      </c>
      <c r="X157" s="1" t="str">
        <f t="shared" si="5"/>
        <v>*/GoodsShipment[0]/Consignment/containerIndicator</v>
      </c>
    </row>
    <row r="158" spans="1:24" ht="12" customHeight="1" outlineLevel="3" x14ac:dyDescent="0.35">
      <c r="A158" s="2" t="str">
        <f t="shared" si="4"/>
        <v>CC413B</v>
      </c>
      <c r="B158" s="1">
        <v>3</v>
      </c>
      <c r="C158" s="1" t="s">
        <v>19</v>
      </c>
      <c r="D158" s="1" t="s">
        <v>30</v>
      </c>
      <c r="E158" s="2" t="s">
        <v>30</v>
      </c>
      <c r="F158" s="2" t="s">
        <v>30</v>
      </c>
      <c r="G158" s="2" t="s">
        <v>30</v>
      </c>
      <c r="H158" s="2" t="s">
        <v>30</v>
      </c>
      <c r="I158" s="2" t="s">
        <v>30</v>
      </c>
      <c r="J158" s="2"/>
      <c r="K158" s="2"/>
      <c r="L158" s="9" t="s">
        <v>541</v>
      </c>
      <c r="M158" s="7" t="s">
        <v>123</v>
      </c>
      <c r="N158" s="2" t="s">
        <v>396</v>
      </c>
      <c r="O158" s="7" t="s">
        <v>542</v>
      </c>
      <c r="P158" s="7" t="s">
        <v>543</v>
      </c>
      <c r="Q158" s="7" t="s">
        <v>544</v>
      </c>
      <c r="S158" s="1" t="s">
        <v>1105</v>
      </c>
      <c r="T158" s="2" t="s">
        <v>545</v>
      </c>
      <c r="W158" s="2" t="s">
        <v>546</v>
      </c>
      <c r="X158" s="1" t="str">
        <f t="shared" si="5"/>
        <v>*/GoodsShipment[0]/Consignment/inlandModeOfTransport</v>
      </c>
    </row>
    <row r="159" spans="1:24" ht="12" customHeight="1" outlineLevel="3" x14ac:dyDescent="0.35">
      <c r="A159" s="2" t="str">
        <f t="shared" si="4"/>
        <v>CC413B</v>
      </c>
      <c r="B159" s="1">
        <v>3</v>
      </c>
      <c r="C159" s="1" t="s">
        <v>19</v>
      </c>
      <c r="D159" s="1" t="s">
        <v>30</v>
      </c>
      <c r="E159" s="2" t="s">
        <v>30</v>
      </c>
      <c r="F159" s="2" t="s">
        <v>30</v>
      </c>
      <c r="G159" s="2" t="s">
        <v>30</v>
      </c>
      <c r="H159" s="2" t="s">
        <v>30</v>
      </c>
      <c r="I159" s="2" t="s">
        <v>30</v>
      </c>
      <c r="J159" s="2"/>
      <c r="K159" s="2"/>
      <c r="L159" s="9" t="s">
        <v>547</v>
      </c>
      <c r="M159" s="7" t="s">
        <v>123</v>
      </c>
      <c r="N159" s="2" t="s">
        <v>396</v>
      </c>
      <c r="O159" s="7" t="s">
        <v>548</v>
      </c>
      <c r="P159" s="7" t="s">
        <v>549</v>
      </c>
      <c r="Q159" s="7" t="s">
        <v>544</v>
      </c>
      <c r="S159" s="1" t="s">
        <v>1106</v>
      </c>
      <c r="T159" s="2" t="s">
        <v>550</v>
      </c>
      <c r="W159" s="2" t="s">
        <v>546</v>
      </c>
      <c r="X159" s="1" t="str">
        <f t="shared" si="5"/>
        <v>*/GoodsShipment[0]/Consignment/modeOfTransportAtTheBorder</v>
      </c>
    </row>
    <row r="160" spans="1:24" ht="12" customHeight="1" outlineLevel="3" x14ac:dyDescent="0.35">
      <c r="A160" s="2" t="str">
        <f t="shared" si="4"/>
        <v>CC413B</v>
      </c>
      <c r="B160" s="1">
        <v>3</v>
      </c>
      <c r="C160" s="1" t="s">
        <v>19</v>
      </c>
      <c r="D160" s="1" t="s">
        <v>30</v>
      </c>
      <c r="E160" s="2" t="s">
        <v>30</v>
      </c>
      <c r="F160" s="2" t="s">
        <v>30</v>
      </c>
      <c r="G160" s="2" t="s">
        <v>30</v>
      </c>
      <c r="H160" s="2" t="s">
        <v>30</v>
      </c>
      <c r="I160" s="2" t="s">
        <v>30</v>
      </c>
      <c r="J160" s="2" t="s">
        <v>30</v>
      </c>
      <c r="K160" s="2" t="s">
        <v>25</v>
      </c>
      <c r="L160" s="9" t="s">
        <v>310</v>
      </c>
      <c r="M160" s="7" t="s">
        <v>311</v>
      </c>
      <c r="N160" s="2" t="s">
        <v>22</v>
      </c>
      <c r="O160" s="7" t="s">
        <v>551</v>
      </c>
      <c r="P160" s="14"/>
      <c r="Q160" s="14"/>
      <c r="S160" s="1" t="s">
        <v>1107</v>
      </c>
      <c r="T160" s="2" t="s">
        <v>312</v>
      </c>
      <c r="W160" s="2" t="s">
        <v>313</v>
      </c>
      <c r="X160" s="1" t="str">
        <f t="shared" si="5"/>
        <v>*/GoodsShipment[0]/Consignment/grossMass</v>
      </c>
    </row>
    <row r="161" spans="1:24" ht="12" customHeight="1" outlineLevel="3" x14ac:dyDescent="0.35">
      <c r="A161" s="2" t="str">
        <f t="shared" si="4"/>
        <v>CC413B</v>
      </c>
      <c r="B161" s="1">
        <v>3</v>
      </c>
      <c r="C161" s="1" t="s">
        <v>19</v>
      </c>
      <c r="D161" s="1" t="s">
        <v>30</v>
      </c>
      <c r="E161" s="2" t="s">
        <v>30</v>
      </c>
      <c r="F161" s="2" t="s">
        <v>30</v>
      </c>
      <c r="G161" s="2" t="s">
        <v>30</v>
      </c>
      <c r="H161" s="2" t="s">
        <v>30</v>
      </c>
      <c r="I161" s="2" t="s">
        <v>30</v>
      </c>
      <c r="J161" s="2" t="s">
        <v>30</v>
      </c>
      <c r="K161" s="2"/>
      <c r="L161" s="9" t="s">
        <v>552</v>
      </c>
      <c r="M161" s="7" t="s">
        <v>156</v>
      </c>
      <c r="N161" s="2" t="s">
        <v>22</v>
      </c>
      <c r="O161" s="14"/>
      <c r="P161" s="14"/>
      <c r="Q161" s="14"/>
      <c r="S161" s="1" t="s">
        <v>1108</v>
      </c>
      <c r="T161" s="2" t="s">
        <v>553</v>
      </c>
      <c r="W161" s="2" t="s">
        <v>554</v>
      </c>
      <c r="X161" s="1" t="str">
        <f t="shared" si="5"/>
        <v>*/GoodsShipment[0]/Consignment/referenceNumberUCR</v>
      </c>
    </row>
    <row r="162" spans="1:24" ht="12" customHeight="1" outlineLevel="3" x14ac:dyDescent="0.35">
      <c r="A162" s="3" t="str">
        <f t="shared" si="4"/>
        <v>CC413B</v>
      </c>
      <c r="B162" s="4">
        <v>3</v>
      </c>
      <c r="C162" s="3" t="s">
        <v>24</v>
      </c>
      <c r="D162" s="3" t="s">
        <v>314</v>
      </c>
      <c r="E162" s="3" t="s">
        <v>243</v>
      </c>
      <c r="F162" s="3" t="s">
        <v>243</v>
      </c>
      <c r="G162" s="3" t="s">
        <v>243</v>
      </c>
      <c r="H162" s="3" t="s">
        <v>243</v>
      </c>
      <c r="I162" s="3" t="s">
        <v>243</v>
      </c>
      <c r="J162" s="3" t="s">
        <v>243</v>
      </c>
      <c r="K162" s="3"/>
      <c r="L162" s="10" t="s">
        <v>244</v>
      </c>
      <c r="M162" s="4"/>
      <c r="N162" s="3" t="s">
        <v>22</v>
      </c>
      <c r="O162" s="16" t="s">
        <v>555</v>
      </c>
      <c r="P162" s="15"/>
      <c r="Q162" s="15"/>
      <c r="R162" s="4"/>
      <c r="S162" s="4" t="s">
        <v>1109</v>
      </c>
      <c r="T162" s="3" t="s">
        <v>245</v>
      </c>
      <c r="U162" s="4"/>
      <c r="V162" s="4"/>
      <c r="W162" s="3" t="s">
        <v>246</v>
      </c>
      <c r="X162" s="1" t="str">
        <f t="shared" si="5"/>
        <v>*/GoodsShipment[0]/Consignment/TransportEquipment[0]</v>
      </c>
    </row>
    <row r="163" spans="1:24" ht="12" customHeight="1" outlineLevel="4" x14ac:dyDescent="0.35">
      <c r="A163" s="2" t="str">
        <f t="shared" ref="A163:A226" si="6">$L$2</f>
        <v>CC413B</v>
      </c>
      <c r="B163" s="1">
        <v>4</v>
      </c>
      <c r="C163" s="1" t="s">
        <v>19</v>
      </c>
      <c r="D163" s="1" t="s">
        <v>25</v>
      </c>
      <c r="E163" s="2" t="s">
        <v>25</v>
      </c>
      <c r="F163" s="2" t="s">
        <v>25</v>
      </c>
      <c r="G163" s="2" t="s">
        <v>25</v>
      </c>
      <c r="H163" s="2" t="s">
        <v>25</v>
      </c>
      <c r="I163" s="2" t="s">
        <v>25</v>
      </c>
      <c r="J163" s="2" t="s">
        <v>25</v>
      </c>
      <c r="K163" s="2"/>
      <c r="L163" s="11" t="s">
        <v>56</v>
      </c>
      <c r="M163" s="7" t="s">
        <v>57</v>
      </c>
      <c r="N163" s="2" t="s">
        <v>27</v>
      </c>
      <c r="O163" s="7" t="s">
        <v>393</v>
      </c>
      <c r="P163" s="14"/>
      <c r="Q163" s="14"/>
      <c r="T163" s="2" t="s">
        <v>58</v>
      </c>
      <c r="W163" s="2" t="s">
        <v>59</v>
      </c>
      <c r="X163" s="1" t="str">
        <f t="shared" si="5"/>
        <v>*/GoodsShipment[0]/Consignment/TransportEquipment[0]/sequenceNumber</v>
      </c>
    </row>
    <row r="164" spans="1:24" ht="12" customHeight="1" outlineLevel="4" x14ac:dyDescent="0.35">
      <c r="A164" s="2" t="str">
        <f t="shared" si="6"/>
        <v>CC413B</v>
      </c>
      <c r="B164" s="1">
        <v>4</v>
      </c>
      <c r="C164" s="1" t="s">
        <v>19</v>
      </c>
      <c r="D164" s="1" t="s">
        <v>25</v>
      </c>
      <c r="E164" s="2" t="s">
        <v>25</v>
      </c>
      <c r="F164" s="2" t="s">
        <v>25</v>
      </c>
      <c r="G164" s="2" t="s">
        <v>25</v>
      </c>
      <c r="H164" s="2" t="s">
        <v>25</v>
      </c>
      <c r="I164" s="2" t="s">
        <v>25</v>
      </c>
      <c r="J164" s="2" t="s">
        <v>25</v>
      </c>
      <c r="K164" s="2"/>
      <c r="L164" s="11" t="s">
        <v>247</v>
      </c>
      <c r="M164" s="7" t="s">
        <v>837</v>
      </c>
      <c r="N164" s="2" t="s">
        <v>27</v>
      </c>
      <c r="O164" s="14"/>
      <c r="P164" s="14"/>
      <c r="Q164" s="14"/>
      <c r="S164" s="1" t="s">
        <v>1110</v>
      </c>
      <c r="T164" s="2" t="s">
        <v>248</v>
      </c>
      <c r="W164" s="2" t="s">
        <v>249</v>
      </c>
      <c r="X164" s="1" t="str">
        <f t="shared" si="5"/>
        <v>*/GoodsShipment[0]/Consignment/TransportEquipment[0]/containerIdentificationNumber</v>
      </c>
    </row>
    <row r="165" spans="1:24" ht="12" customHeight="1" outlineLevel="4" x14ac:dyDescent="0.35">
      <c r="A165" s="3" t="str">
        <f t="shared" si="6"/>
        <v>CC413B</v>
      </c>
      <c r="B165" s="4">
        <v>4</v>
      </c>
      <c r="C165" s="3" t="s">
        <v>24</v>
      </c>
      <c r="D165" s="3" t="s">
        <v>314</v>
      </c>
      <c r="E165" s="3" t="s">
        <v>243</v>
      </c>
      <c r="F165" s="3" t="s">
        <v>243</v>
      </c>
      <c r="G165" s="3" t="s">
        <v>243</v>
      </c>
      <c r="H165" s="3" t="s">
        <v>243</v>
      </c>
      <c r="I165" s="3" t="s">
        <v>243</v>
      </c>
      <c r="J165" s="3" t="s">
        <v>243</v>
      </c>
      <c r="K165" s="3"/>
      <c r="L165" s="12" t="s">
        <v>250</v>
      </c>
      <c r="M165" s="4"/>
      <c r="N165" s="3" t="s">
        <v>396</v>
      </c>
      <c r="O165" s="15"/>
      <c r="P165" s="16" t="s">
        <v>556</v>
      </c>
      <c r="Q165" s="15"/>
      <c r="R165" s="4"/>
      <c r="S165" s="4" t="s">
        <v>1199</v>
      </c>
      <c r="T165" s="3" t="s">
        <v>251</v>
      </c>
      <c r="U165" s="4"/>
      <c r="V165" s="4"/>
      <c r="W165" s="3" t="s">
        <v>252</v>
      </c>
      <c r="X165" s="1" t="str">
        <f t="shared" si="5"/>
        <v>*/GoodsShipment[0]/Consignment/TransportEquipment[0]/GoodsReference[0]</v>
      </c>
    </row>
    <row r="166" spans="1:24" ht="12" customHeight="1" outlineLevel="5" x14ac:dyDescent="0.35">
      <c r="A166" s="2" t="str">
        <f t="shared" si="6"/>
        <v>CC413B</v>
      </c>
      <c r="B166" s="1">
        <v>5</v>
      </c>
      <c r="C166" s="1" t="s">
        <v>19</v>
      </c>
      <c r="D166" s="1" t="s">
        <v>25</v>
      </c>
      <c r="E166" s="2" t="s">
        <v>25</v>
      </c>
      <c r="F166" s="2" t="s">
        <v>25</v>
      </c>
      <c r="G166" s="2" t="s">
        <v>25</v>
      </c>
      <c r="H166" s="2" t="s">
        <v>25</v>
      </c>
      <c r="I166" s="2" t="s">
        <v>25</v>
      </c>
      <c r="J166" s="2" t="s">
        <v>25</v>
      </c>
      <c r="K166" s="2"/>
      <c r="L166" s="13" t="s">
        <v>56</v>
      </c>
      <c r="M166" s="7" t="s">
        <v>57</v>
      </c>
      <c r="N166" s="2" t="s">
        <v>27</v>
      </c>
      <c r="O166" s="7" t="s">
        <v>393</v>
      </c>
      <c r="P166" s="14"/>
      <c r="Q166" s="14"/>
      <c r="T166" s="2" t="s">
        <v>58</v>
      </c>
      <c r="W166" s="2" t="s">
        <v>59</v>
      </c>
      <c r="X166" s="1" t="str">
        <f t="shared" si="5"/>
        <v>*/GoodsShipment[0]/Consignment/TransportEquipment[0]/GoodsReference[0]/sequenceNumber</v>
      </c>
    </row>
    <row r="167" spans="1:24" ht="12" customHeight="1" outlineLevel="5" x14ac:dyDescent="0.35">
      <c r="A167" s="2" t="str">
        <f t="shared" si="6"/>
        <v>CC413B</v>
      </c>
      <c r="B167" s="1">
        <v>5</v>
      </c>
      <c r="C167" s="1" t="s">
        <v>19</v>
      </c>
      <c r="D167" s="1" t="s">
        <v>25</v>
      </c>
      <c r="E167" s="2" t="s">
        <v>25</v>
      </c>
      <c r="F167" s="2" t="s">
        <v>25</v>
      </c>
      <c r="G167" s="2" t="s">
        <v>25</v>
      </c>
      <c r="H167" s="2" t="s">
        <v>25</v>
      </c>
      <c r="I167" s="2" t="s">
        <v>25</v>
      </c>
      <c r="J167" s="2" t="s">
        <v>25</v>
      </c>
      <c r="K167" s="2"/>
      <c r="L167" s="13" t="s">
        <v>253</v>
      </c>
      <c r="M167" s="7" t="s">
        <v>57</v>
      </c>
      <c r="N167" s="2" t="s">
        <v>27</v>
      </c>
      <c r="O167" s="14"/>
      <c r="P167" s="14"/>
      <c r="Q167" s="14"/>
      <c r="S167" s="1" t="s">
        <v>1200</v>
      </c>
      <c r="T167" s="2" t="s">
        <v>254</v>
      </c>
      <c r="W167" s="2" t="s">
        <v>255</v>
      </c>
      <c r="X167" s="1" t="str">
        <f t="shared" si="5"/>
        <v>*/GoodsShipment[0]/Consignment/TransportEquipment[0]/GoodsReference[0]/declarationGoodsItemNumber</v>
      </c>
    </row>
    <row r="168" spans="1:24" ht="12" customHeight="1" outlineLevel="3" x14ac:dyDescent="0.35">
      <c r="A168" s="3" t="str">
        <f t="shared" si="6"/>
        <v>CC413B</v>
      </c>
      <c r="B168" s="4">
        <v>3</v>
      </c>
      <c r="C168" s="3" t="s">
        <v>24</v>
      </c>
      <c r="D168" s="3" t="s">
        <v>30</v>
      </c>
      <c r="E168" s="3" t="s">
        <v>30</v>
      </c>
      <c r="F168" s="3" t="s">
        <v>30</v>
      </c>
      <c r="G168" s="3" t="s">
        <v>30</v>
      </c>
      <c r="H168" s="3" t="s">
        <v>30</v>
      </c>
      <c r="I168" s="3" t="s">
        <v>30</v>
      </c>
      <c r="J168" s="3" t="s">
        <v>30</v>
      </c>
      <c r="K168" s="3" t="s">
        <v>30</v>
      </c>
      <c r="L168" s="10" t="s">
        <v>256</v>
      </c>
      <c r="M168" s="4"/>
      <c r="N168" s="3" t="s">
        <v>396</v>
      </c>
      <c r="O168" s="16" t="s">
        <v>557</v>
      </c>
      <c r="P168" s="16" t="s">
        <v>752</v>
      </c>
      <c r="Q168" s="15"/>
      <c r="R168" s="4"/>
      <c r="S168" s="4" t="s">
        <v>1111</v>
      </c>
      <c r="T168" s="3" t="s">
        <v>257</v>
      </c>
      <c r="U168" s="4"/>
      <c r="V168" s="4"/>
      <c r="W168" s="3" t="s">
        <v>258</v>
      </c>
      <c r="X168" s="1" t="str">
        <f t="shared" si="5"/>
        <v>*/GoodsShipment[0]/Consignment/LocationOfGoods</v>
      </c>
    </row>
    <row r="169" spans="1:24" ht="12" customHeight="1" outlineLevel="4" x14ac:dyDescent="0.35">
      <c r="A169" s="2" t="str">
        <f t="shared" si="6"/>
        <v>CC413B</v>
      </c>
      <c r="B169" s="1">
        <v>4</v>
      </c>
      <c r="C169" s="1" t="s">
        <v>19</v>
      </c>
      <c r="D169" s="1" t="s">
        <v>25</v>
      </c>
      <c r="E169" s="2" t="s">
        <v>25</v>
      </c>
      <c r="F169" s="2" t="s">
        <v>25</v>
      </c>
      <c r="G169" s="2" t="s">
        <v>25</v>
      </c>
      <c r="H169" s="2" t="s">
        <v>25</v>
      </c>
      <c r="I169" s="2" t="s">
        <v>25</v>
      </c>
      <c r="J169" s="2" t="s">
        <v>25</v>
      </c>
      <c r="K169" s="2" t="s">
        <v>25</v>
      </c>
      <c r="L169" s="11" t="s">
        <v>259</v>
      </c>
      <c r="M169" s="7" t="s">
        <v>44</v>
      </c>
      <c r="N169" s="2" t="s">
        <v>27</v>
      </c>
      <c r="O169" s="14"/>
      <c r="P169" s="14"/>
      <c r="Q169" s="7" t="s">
        <v>558</v>
      </c>
      <c r="S169" s="1" t="s">
        <v>1112</v>
      </c>
      <c r="T169" s="2" t="s">
        <v>260</v>
      </c>
      <c r="W169" s="2" t="s">
        <v>261</v>
      </c>
      <c r="X169" s="1" t="str">
        <f t="shared" si="5"/>
        <v>*/GoodsShipment[0]/Consignment/LocationOfGoods/typeOfLocation</v>
      </c>
    </row>
    <row r="170" spans="1:24" ht="12" customHeight="1" outlineLevel="4" x14ac:dyDescent="0.35">
      <c r="A170" s="2" t="str">
        <f t="shared" si="6"/>
        <v>CC413B</v>
      </c>
      <c r="B170" s="1">
        <v>4</v>
      </c>
      <c r="C170" s="1" t="s">
        <v>19</v>
      </c>
      <c r="D170" s="1" t="s">
        <v>25</v>
      </c>
      <c r="E170" s="2" t="s">
        <v>25</v>
      </c>
      <c r="F170" s="2" t="s">
        <v>25</v>
      </c>
      <c r="G170" s="2" t="s">
        <v>25</v>
      </c>
      <c r="H170" s="2" t="s">
        <v>25</v>
      </c>
      <c r="I170" s="2" t="s">
        <v>25</v>
      </c>
      <c r="J170" s="2" t="s">
        <v>25</v>
      </c>
      <c r="K170" s="2" t="s">
        <v>25</v>
      </c>
      <c r="L170" s="11" t="s">
        <v>262</v>
      </c>
      <c r="M170" s="7" t="s">
        <v>44</v>
      </c>
      <c r="N170" s="2" t="s">
        <v>27</v>
      </c>
      <c r="O170" s="7" t="s">
        <v>559</v>
      </c>
      <c r="P170" s="14"/>
      <c r="Q170" s="7" t="s">
        <v>560</v>
      </c>
      <c r="S170" s="1" t="s">
        <v>1113</v>
      </c>
      <c r="T170" s="2" t="s">
        <v>263</v>
      </c>
      <c r="W170" s="2" t="s">
        <v>264</v>
      </c>
      <c r="X170" s="1" t="str">
        <f t="shared" si="5"/>
        <v>*/GoodsShipment[0]/Consignment/LocationOfGoods/qualifierOfIdentification</v>
      </c>
    </row>
    <row r="171" spans="1:24" ht="12" customHeight="1" outlineLevel="4" x14ac:dyDescent="0.35">
      <c r="A171" s="2" t="str">
        <f t="shared" si="6"/>
        <v>CC413B</v>
      </c>
      <c r="B171" s="1">
        <v>4</v>
      </c>
      <c r="C171" s="1" t="s">
        <v>19</v>
      </c>
      <c r="D171" s="1" t="s">
        <v>30</v>
      </c>
      <c r="E171" s="2" t="s">
        <v>30</v>
      </c>
      <c r="F171" s="2" t="s">
        <v>30</v>
      </c>
      <c r="G171" s="2" t="s">
        <v>30</v>
      </c>
      <c r="H171" s="2" t="s">
        <v>30</v>
      </c>
      <c r="I171" s="2" t="s">
        <v>30</v>
      </c>
      <c r="J171" s="2" t="s">
        <v>30</v>
      </c>
      <c r="K171" s="2" t="s">
        <v>30</v>
      </c>
      <c r="L171" s="11" t="s">
        <v>265</v>
      </c>
      <c r="M171" s="7" t="s">
        <v>834</v>
      </c>
      <c r="N171" s="2" t="s">
        <v>396</v>
      </c>
      <c r="O171" s="14"/>
      <c r="P171" s="7" t="s">
        <v>561</v>
      </c>
      <c r="Q171" s="14"/>
      <c r="S171" s="1" t="s">
        <v>1114</v>
      </c>
      <c r="T171" s="2" t="s">
        <v>266</v>
      </c>
      <c r="W171" s="2" t="s">
        <v>66</v>
      </c>
      <c r="X171" s="1" t="str">
        <f t="shared" si="5"/>
        <v>*/GoodsShipment[0]/Consignment/LocationOfGoods/authorisationNumber</v>
      </c>
    </row>
    <row r="172" spans="1:24" ht="12" customHeight="1" outlineLevel="4" x14ac:dyDescent="0.35">
      <c r="A172" s="2" t="str">
        <f t="shared" si="6"/>
        <v>CC413B</v>
      </c>
      <c r="B172" s="1">
        <v>4</v>
      </c>
      <c r="C172" s="1" t="s">
        <v>19</v>
      </c>
      <c r="D172" s="1" t="s">
        <v>30</v>
      </c>
      <c r="E172" s="2" t="s">
        <v>30</v>
      </c>
      <c r="F172" s="2" t="s">
        <v>30</v>
      </c>
      <c r="G172" s="2" t="s">
        <v>30</v>
      </c>
      <c r="H172" s="2" t="s">
        <v>30</v>
      </c>
      <c r="I172" s="2" t="s">
        <v>30</v>
      </c>
      <c r="J172" s="2" t="s">
        <v>30</v>
      </c>
      <c r="K172" s="2" t="s">
        <v>30</v>
      </c>
      <c r="L172" s="11" t="s">
        <v>267</v>
      </c>
      <c r="M172" s="7" t="s">
        <v>60</v>
      </c>
      <c r="N172" s="2" t="s">
        <v>396</v>
      </c>
      <c r="O172" s="14"/>
      <c r="P172" s="7" t="s">
        <v>562</v>
      </c>
      <c r="Q172" s="14"/>
      <c r="S172" s="1" t="s">
        <v>1115</v>
      </c>
      <c r="T172" s="2" t="s">
        <v>268</v>
      </c>
      <c r="W172" s="2" t="s">
        <v>269</v>
      </c>
      <c r="X172" s="1" t="str">
        <f t="shared" si="5"/>
        <v>*/GoodsShipment[0]/Consignment/LocationOfGoods/additionalIdentifier</v>
      </c>
    </row>
    <row r="173" spans="1:24" ht="12" customHeight="1" outlineLevel="4" x14ac:dyDescent="0.35">
      <c r="A173" s="2" t="str">
        <f t="shared" si="6"/>
        <v>CC413B</v>
      </c>
      <c r="B173" s="1">
        <v>4</v>
      </c>
      <c r="C173" s="1" t="s">
        <v>19</v>
      </c>
      <c r="D173" s="1" t="s">
        <v>30</v>
      </c>
      <c r="E173" s="2" t="s">
        <v>30</v>
      </c>
      <c r="F173" s="2" t="s">
        <v>30</v>
      </c>
      <c r="G173" s="2" t="s">
        <v>30</v>
      </c>
      <c r="H173" s="2" t="s">
        <v>30</v>
      </c>
      <c r="I173" s="2" t="s">
        <v>30</v>
      </c>
      <c r="J173" s="2" t="s">
        <v>30</v>
      </c>
      <c r="K173" s="2" t="s">
        <v>30</v>
      </c>
      <c r="L173" s="11" t="s">
        <v>270</v>
      </c>
      <c r="M173" s="7" t="s">
        <v>103</v>
      </c>
      <c r="N173" s="2" t="s">
        <v>396</v>
      </c>
      <c r="O173" s="14"/>
      <c r="P173" s="7" t="s">
        <v>561</v>
      </c>
      <c r="Q173" s="7" t="s">
        <v>459</v>
      </c>
      <c r="S173" s="1" t="s">
        <v>1116</v>
      </c>
      <c r="T173" s="2" t="s">
        <v>271</v>
      </c>
      <c r="W173" s="2" t="s">
        <v>272</v>
      </c>
      <c r="X173" s="1" t="str">
        <f t="shared" si="5"/>
        <v>*/GoodsShipment[0]/Consignment/LocationOfGoods/UNLOCODE</v>
      </c>
    </row>
    <row r="174" spans="1:24" ht="12" customHeight="1" outlineLevel="4" x14ac:dyDescent="0.35">
      <c r="A174" s="3" t="str">
        <f t="shared" si="6"/>
        <v>CC413B</v>
      </c>
      <c r="B174" s="4">
        <v>4</v>
      </c>
      <c r="C174" s="3" t="s">
        <v>24</v>
      </c>
      <c r="D174" s="3" t="s">
        <v>30</v>
      </c>
      <c r="E174" s="3" t="s">
        <v>30</v>
      </c>
      <c r="F174" s="3" t="s">
        <v>30</v>
      </c>
      <c r="G174" s="3" t="s">
        <v>30</v>
      </c>
      <c r="H174" s="3" t="s">
        <v>30</v>
      </c>
      <c r="I174" s="3" t="s">
        <v>30</v>
      </c>
      <c r="J174" s="3" t="s">
        <v>30</v>
      </c>
      <c r="K174" s="3" t="s">
        <v>30</v>
      </c>
      <c r="L174" s="12" t="s">
        <v>273</v>
      </c>
      <c r="M174" s="4"/>
      <c r="N174" s="3" t="s">
        <v>396</v>
      </c>
      <c r="O174" s="15"/>
      <c r="P174" s="16" t="s">
        <v>561</v>
      </c>
      <c r="Q174" s="15"/>
      <c r="R174" s="4"/>
      <c r="S174" s="4" t="s">
        <v>1117</v>
      </c>
      <c r="T174" s="3" t="s">
        <v>274</v>
      </c>
      <c r="U174" s="4"/>
      <c r="V174" s="4"/>
      <c r="W174" s="3" t="s">
        <v>275</v>
      </c>
      <c r="X174" s="1" t="str">
        <f t="shared" si="5"/>
        <v>*/GoodsShipment[0]/Consignment/LocationOfGoods/CustomsOffice</v>
      </c>
    </row>
    <row r="175" spans="1:24" ht="12" customHeight="1" outlineLevel="5" x14ac:dyDescent="0.35">
      <c r="A175" s="2" t="str">
        <f t="shared" si="6"/>
        <v>CC413B</v>
      </c>
      <c r="B175" s="1">
        <v>5</v>
      </c>
      <c r="C175" s="1" t="s">
        <v>19</v>
      </c>
      <c r="D175" s="1" t="s">
        <v>25</v>
      </c>
      <c r="E175" s="2" t="s">
        <v>25</v>
      </c>
      <c r="F175" s="2" t="s">
        <v>25</v>
      </c>
      <c r="G175" s="2" t="s">
        <v>25</v>
      </c>
      <c r="H175" s="2" t="s">
        <v>25</v>
      </c>
      <c r="I175" s="2" t="s">
        <v>25</v>
      </c>
      <c r="J175" s="2" t="s">
        <v>25</v>
      </c>
      <c r="K175" s="2" t="s">
        <v>25</v>
      </c>
      <c r="L175" s="13" t="s">
        <v>63</v>
      </c>
      <c r="M175" s="7" t="s">
        <v>74</v>
      </c>
      <c r="N175" s="2" t="s">
        <v>27</v>
      </c>
      <c r="O175" s="14"/>
      <c r="P175" s="14"/>
      <c r="Q175" s="7" t="s">
        <v>399</v>
      </c>
      <c r="S175" s="1" t="s">
        <v>1118</v>
      </c>
      <c r="T175" s="2" t="s">
        <v>65</v>
      </c>
      <c r="W175" s="2" t="s">
        <v>75</v>
      </c>
      <c r="X175" s="1" t="str">
        <f t="shared" si="5"/>
        <v>*/GoodsShipment[0]/Consignment/LocationOfGoods/CustomsOffice/referenceNumber</v>
      </c>
    </row>
    <row r="176" spans="1:24" ht="12" customHeight="1" outlineLevel="4" x14ac:dyDescent="0.35">
      <c r="A176" s="3" t="str">
        <f t="shared" si="6"/>
        <v>CC413B</v>
      </c>
      <c r="B176" s="4">
        <v>4</v>
      </c>
      <c r="C176" s="3" t="s">
        <v>24</v>
      </c>
      <c r="D176" s="3" t="s">
        <v>30</v>
      </c>
      <c r="E176" s="3" t="s">
        <v>30</v>
      </c>
      <c r="F176" s="3" t="s">
        <v>30</v>
      </c>
      <c r="G176" s="3" t="s">
        <v>30</v>
      </c>
      <c r="H176" s="3" t="s">
        <v>30</v>
      </c>
      <c r="I176" s="3" t="s">
        <v>30</v>
      </c>
      <c r="J176" s="3" t="s">
        <v>30</v>
      </c>
      <c r="K176" s="3" t="s">
        <v>30</v>
      </c>
      <c r="L176" s="12" t="s">
        <v>276</v>
      </c>
      <c r="M176" s="4"/>
      <c r="N176" s="3" t="s">
        <v>396</v>
      </c>
      <c r="O176" s="16" t="s">
        <v>563</v>
      </c>
      <c r="P176" s="16" t="s">
        <v>561</v>
      </c>
      <c r="Q176" s="15"/>
      <c r="R176" s="4"/>
      <c r="S176" s="4" t="s">
        <v>1119</v>
      </c>
      <c r="T176" s="3" t="s">
        <v>277</v>
      </c>
      <c r="U176" s="4"/>
      <c r="V176" s="4"/>
      <c r="W176" s="3" t="s">
        <v>278</v>
      </c>
      <c r="X176" s="1" t="str">
        <f t="shared" si="5"/>
        <v>*/GoodsShipment[0]/Consignment/LocationOfGoods/GNSS</v>
      </c>
    </row>
    <row r="177" spans="1:24" ht="12" customHeight="1" outlineLevel="5" x14ac:dyDescent="0.35">
      <c r="A177" s="2" t="str">
        <f t="shared" si="6"/>
        <v>CC413B</v>
      </c>
      <c r="B177" s="1">
        <v>5</v>
      </c>
      <c r="C177" s="1" t="s">
        <v>19</v>
      </c>
      <c r="D177" s="1" t="s">
        <v>25</v>
      </c>
      <c r="E177" s="2" t="s">
        <v>25</v>
      </c>
      <c r="F177" s="2" t="s">
        <v>25</v>
      </c>
      <c r="G177" s="2" t="s">
        <v>25</v>
      </c>
      <c r="H177" s="2" t="s">
        <v>25</v>
      </c>
      <c r="I177" s="2" t="s">
        <v>25</v>
      </c>
      <c r="J177" s="2" t="s">
        <v>25</v>
      </c>
      <c r="K177" s="2" t="s">
        <v>25</v>
      </c>
      <c r="L177" s="13" t="s">
        <v>279</v>
      </c>
      <c r="M177" s="7" t="s">
        <v>280</v>
      </c>
      <c r="N177" s="2" t="s">
        <v>27</v>
      </c>
      <c r="O177" s="14"/>
      <c r="P177" s="14"/>
      <c r="Q177" s="14"/>
      <c r="S177" s="1" t="s">
        <v>1120</v>
      </c>
      <c r="T177" s="2" t="s">
        <v>281</v>
      </c>
      <c r="W177" s="2" t="s">
        <v>282</v>
      </c>
      <c r="X177" s="1" t="str">
        <f t="shared" si="5"/>
        <v>*/GoodsShipment[0]/Consignment/LocationOfGoods/GNSS/latitude</v>
      </c>
    </row>
    <row r="178" spans="1:24" ht="12" customHeight="1" outlineLevel="5" x14ac:dyDescent="0.35">
      <c r="A178" s="2" t="str">
        <f t="shared" si="6"/>
        <v>CC413B</v>
      </c>
      <c r="B178" s="1">
        <v>5</v>
      </c>
      <c r="C178" s="1" t="s">
        <v>19</v>
      </c>
      <c r="D178" s="1" t="s">
        <v>25</v>
      </c>
      <c r="E178" s="2" t="s">
        <v>25</v>
      </c>
      <c r="F178" s="2" t="s">
        <v>25</v>
      </c>
      <c r="G178" s="2" t="s">
        <v>25</v>
      </c>
      <c r="H178" s="2" t="s">
        <v>25</v>
      </c>
      <c r="I178" s="2" t="s">
        <v>25</v>
      </c>
      <c r="J178" s="2" t="s">
        <v>25</v>
      </c>
      <c r="K178" s="2" t="s">
        <v>25</v>
      </c>
      <c r="L178" s="13" t="s">
        <v>283</v>
      </c>
      <c r="M178" s="7" t="s">
        <v>284</v>
      </c>
      <c r="N178" s="2" t="s">
        <v>27</v>
      </c>
      <c r="O178" s="14"/>
      <c r="P178" s="14"/>
      <c r="Q178" s="14"/>
      <c r="S178" s="1" t="s">
        <v>1121</v>
      </c>
      <c r="T178" s="2" t="s">
        <v>285</v>
      </c>
      <c r="W178" s="2" t="s">
        <v>286</v>
      </c>
      <c r="X178" s="1" t="str">
        <f t="shared" si="5"/>
        <v>*/GoodsShipment[0]/Consignment/LocationOfGoods/GNSS/longitude</v>
      </c>
    </row>
    <row r="179" spans="1:24" ht="12" customHeight="1" outlineLevel="4" x14ac:dyDescent="0.35">
      <c r="A179" s="3" t="str">
        <f t="shared" si="6"/>
        <v>CC413B</v>
      </c>
      <c r="B179" s="4">
        <v>4</v>
      </c>
      <c r="C179" s="3" t="s">
        <v>24</v>
      </c>
      <c r="D179" s="3" t="s">
        <v>30</v>
      </c>
      <c r="E179" s="3" t="s">
        <v>30</v>
      </c>
      <c r="F179" s="3" t="s">
        <v>30</v>
      </c>
      <c r="G179" s="3" t="s">
        <v>30</v>
      </c>
      <c r="H179" s="3" t="s">
        <v>30</v>
      </c>
      <c r="I179" s="3" t="s">
        <v>30</v>
      </c>
      <c r="J179" s="3" t="s">
        <v>30</v>
      </c>
      <c r="K179" s="3" t="s">
        <v>30</v>
      </c>
      <c r="L179" s="12" t="s">
        <v>287</v>
      </c>
      <c r="M179" s="4"/>
      <c r="N179" s="3" t="s">
        <v>396</v>
      </c>
      <c r="O179" s="15"/>
      <c r="P179" s="16" t="s">
        <v>561</v>
      </c>
      <c r="Q179" s="15"/>
      <c r="R179" s="4"/>
      <c r="S179" s="4" t="s">
        <v>1122</v>
      </c>
      <c r="T179" s="3" t="s">
        <v>288</v>
      </c>
      <c r="U179" s="4"/>
      <c r="V179" s="4"/>
      <c r="W179" s="3" t="s">
        <v>289</v>
      </c>
      <c r="X179" s="1" t="str">
        <f t="shared" si="5"/>
        <v>*/GoodsShipment[0]/Consignment/LocationOfGoods/EconomicOperator</v>
      </c>
    </row>
    <row r="180" spans="1:24" ht="12" customHeight="1" outlineLevel="5" x14ac:dyDescent="0.35">
      <c r="A180" s="2" t="str">
        <f t="shared" si="6"/>
        <v>CC413B</v>
      </c>
      <c r="B180" s="1">
        <v>5</v>
      </c>
      <c r="C180" s="1" t="s">
        <v>19</v>
      </c>
      <c r="D180" s="1" t="s">
        <v>25</v>
      </c>
      <c r="E180" s="2" t="s">
        <v>25</v>
      </c>
      <c r="F180" s="2" t="s">
        <v>25</v>
      </c>
      <c r="G180" s="2" t="s">
        <v>25</v>
      </c>
      <c r="H180" s="2" t="s">
        <v>25</v>
      </c>
      <c r="I180" s="2" t="s">
        <v>25</v>
      </c>
      <c r="J180" s="2" t="s">
        <v>25</v>
      </c>
      <c r="K180" s="2" t="s">
        <v>25</v>
      </c>
      <c r="L180" s="13" t="s">
        <v>81</v>
      </c>
      <c r="M180" s="7" t="s">
        <v>68</v>
      </c>
      <c r="N180" s="2" t="s">
        <v>27</v>
      </c>
      <c r="O180" s="14"/>
      <c r="P180" s="14"/>
      <c r="Q180" s="14"/>
      <c r="S180" s="1" t="s">
        <v>1123</v>
      </c>
      <c r="T180" s="2" t="s">
        <v>82</v>
      </c>
      <c r="W180" s="2" t="s">
        <v>70</v>
      </c>
      <c r="X180" s="1" t="str">
        <f t="shared" si="5"/>
        <v>*/GoodsShipment[0]/Consignment/LocationOfGoods/EconomicOperator/identificationNumber</v>
      </c>
    </row>
    <row r="181" spans="1:24" ht="12" customHeight="1" outlineLevel="4" x14ac:dyDescent="0.35">
      <c r="A181" s="3" t="str">
        <f t="shared" si="6"/>
        <v>CC413B</v>
      </c>
      <c r="B181" s="4">
        <v>4</v>
      </c>
      <c r="C181" s="3" t="s">
        <v>24</v>
      </c>
      <c r="D181" s="3" t="s">
        <v>30</v>
      </c>
      <c r="E181" s="3" t="s">
        <v>30</v>
      </c>
      <c r="F181" s="3" t="s">
        <v>30</v>
      </c>
      <c r="G181" s="3" t="s">
        <v>30</v>
      </c>
      <c r="H181" s="3" t="s">
        <v>30</v>
      </c>
      <c r="I181" s="3" t="s">
        <v>30</v>
      </c>
      <c r="J181" s="3" t="s">
        <v>30</v>
      </c>
      <c r="K181" s="3" t="s">
        <v>30</v>
      </c>
      <c r="L181" s="12" t="s">
        <v>86</v>
      </c>
      <c r="M181" s="4"/>
      <c r="N181" s="3" t="s">
        <v>396</v>
      </c>
      <c r="O181" s="15"/>
      <c r="P181" s="16" t="s">
        <v>561</v>
      </c>
      <c r="Q181" s="15"/>
      <c r="R181" s="4"/>
      <c r="S181" s="4" t="s">
        <v>1124</v>
      </c>
      <c r="T181" s="3" t="s">
        <v>86</v>
      </c>
      <c r="U181" s="4"/>
      <c r="V181" s="4"/>
      <c r="W181" s="3" t="s">
        <v>87</v>
      </c>
      <c r="X181" s="1" t="str">
        <f t="shared" si="5"/>
        <v>*/GoodsShipment[0]/Consignment/LocationOfGoods/Address</v>
      </c>
    </row>
    <row r="182" spans="1:24" ht="12" customHeight="1" outlineLevel="5" x14ac:dyDescent="0.35">
      <c r="A182" s="2" t="str">
        <f t="shared" si="6"/>
        <v>CC413B</v>
      </c>
      <c r="B182" s="1">
        <v>5</v>
      </c>
      <c r="C182" s="1" t="s">
        <v>19</v>
      </c>
      <c r="D182" s="1" t="s">
        <v>25</v>
      </c>
      <c r="E182" s="2" t="s">
        <v>25</v>
      </c>
      <c r="F182" s="2" t="s">
        <v>25</v>
      </c>
      <c r="G182" s="2" t="s">
        <v>25</v>
      </c>
      <c r="H182" s="2" t="s">
        <v>25</v>
      </c>
      <c r="I182" s="2" t="s">
        <v>25</v>
      </c>
      <c r="J182" s="2" t="s">
        <v>25</v>
      </c>
      <c r="K182" s="2" t="s">
        <v>25</v>
      </c>
      <c r="L182" s="13" t="s">
        <v>88</v>
      </c>
      <c r="M182" s="7" t="s">
        <v>83</v>
      </c>
      <c r="N182" s="2" t="s">
        <v>27</v>
      </c>
      <c r="O182" s="14"/>
      <c r="P182" s="14"/>
      <c r="Q182" s="14"/>
      <c r="S182" s="1" t="s">
        <v>1125</v>
      </c>
      <c r="T182" s="2" t="s">
        <v>89</v>
      </c>
      <c r="W182" s="2" t="s">
        <v>90</v>
      </c>
      <c r="X182" s="1" t="str">
        <f t="shared" si="5"/>
        <v>*/GoodsShipment[0]/Consignment/LocationOfGoods/Address/streetAndNumber</v>
      </c>
    </row>
    <row r="183" spans="1:24" ht="12" customHeight="1" outlineLevel="5" x14ac:dyDescent="0.35">
      <c r="A183" s="2" t="str">
        <f t="shared" si="6"/>
        <v>CC413B</v>
      </c>
      <c r="B183" s="1">
        <v>5</v>
      </c>
      <c r="C183" s="1" t="s">
        <v>19</v>
      </c>
      <c r="D183" s="1" t="s">
        <v>30</v>
      </c>
      <c r="E183" s="2" t="s">
        <v>30</v>
      </c>
      <c r="F183" s="2" t="s">
        <v>30</v>
      </c>
      <c r="G183" s="2" t="s">
        <v>30</v>
      </c>
      <c r="H183" s="2" t="s">
        <v>30</v>
      </c>
      <c r="I183" s="2" t="s">
        <v>30</v>
      </c>
      <c r="J183" s="2" t="s">
        <v>30</v>
      </c>
      <c r="K183" s="2" t="s">
        <v>30</v>
      </c>
      <c r="L183" s="13" t="s">
        <v>91</v>
      </c>
      <c r="M183" s="7" t="s">
        <v>92</v>
      </c>
      <c r="N183" s="2" t="s">
        <v>396</v>
      </c>
      <c r="O183" s="14"/>
      <c r="P183" s="7" t="s">
        <v>402</v>
      </c>
      <c r="Q183" s="14"/>
      <c r="S183" s="1" t="s">
        <v>1126</v>
      </c>
      <c r="T183" s="2" t="s">
        <v>93</v>
      </c>
      <c r="W183" s="2" t="s">
        <v>94</v>
      </c>
      <c r="X183" s="1" t="str">
        <f t="shared" si="5"/>
        <v>*/GoodsShipment[0]/Consignment/LocationOfGoods/Address/postcode</v>
      </c>
    </row>
    <row r="184" spans="1:24" ht="12" customHeight="1" outlineLevel="5" x14ac:dyDescent="0.35">
      <c r="A184" s="2" t="str">
        <f t="shared" si="6"/>
        <v>CC413B</v>
      </c>
      <c r="B184" s="1">
        <v>5</v>
      </c>
      <c r="C184" s="1" t="s">
        <v>19</v>
      </c>
      <c r="D184" s="1" t="s">
        <v>25</v>
      </c>
      <c r="E184" s="2" t="s">
        <v>25</v>
      </c>
      <c r="F184" s="2" t="s">
        <v>25</v>
      </c>
      <c r="G184" s="2" t="s">
        <v>25</v>
      </c>
      <c r="H184" s="2" t="s">
        <v>25</v>
      </c>
      <c r="I184" s="2" t="s">
        <v>25</v>
      </c>
      <c r="J184" s="2" t="s">
        <v>25</v>
      </c>
      <c r="K184" s="2" t="s">
        <v>25</v>
      </c>
      <c r="L184" s="13" t="s">
        <v>95</v>
      </c>
      <c r="M184" s="7" t="s">
        <v>96</v>
      </c>
      <c r="N184" s="2" t="s">
        <v>27</v>
      </c>
      <c r="O184" s="14"/>
      <c r="P184" s="14"/>
      <c r="Q184" s="14"/>
      <c r="S184" s="1" t="s">
        <v>1127</v>
      </c>
      <c r="T184" s="2" t="s">
        <v>97</v>
      </c>
      <c r="W184" s="2" t="s">
        <v>98</v>
      </c>
      <c r="X184" s="1" t="str">
        <f t="shared" si="5"/>
        <v>*/GoodsShipment[0]/Consignment/LocationOfGoods/Address/city</v>
      </c>
    </row>
    <row r="185" spans="1:24" ht="12" customHeight="1" outlineLevel="5" x14ac:dyDescent="0.35">
      <c r="A185" s="2" t="str">
        <f t="shared" si="6"/>
        <v>CC413B</v>
      </c>
      <c r="B185" s="1">
        <v>5</v>
      </c>
      <c r="C185" s="1" t="s">
        <v>19</v>
      </c>
      <c r="D185" s="1" t="s">
        <v>25</v>
      </c>
      <c r="E185" s="2" t="s">
        <v>25</v>
      </c>
      <c r="F185" s="2" t="s">
        <v>25</v>
      </c>
      <c r="G185" s="2" t="s">
        <v>25</v>
      </c>
      <c r="H185" s="2" t="s">
        <v>25</v>
      </c>
      <c r="I185" s="2" t="s">
        <v>25</v>
      </c>
      <c r="J185" s="2" t="s">
        <v>25</v>
      </c>
      <c r="K185" s="2" t="s">
        <v>25</v>
      </c>
      <c r="L185" s="13" t="s">
        <v>99</v>
      </c>
      <c r="M185" s="7" t="s">
        <v>50</v>
      </c>
      <c r="N185" s="2" t="s">
        <v>27</v>
      </c>
      <c r="O185" s="14"/>
      <c r="P185" s="14"/>
      <c r="Q185" s="7" t="s">
        <v>403</v>
      </c>
      <c r="S185" s="1" t="s">
        <v>1128</v>
      </c>
      <c r="T185" s="2" t="s">
        <v>100</v>
      </c>
      <c r="W185" s="2" t="s">
        <v>52</v>
      </c>
      <c r="X185" s="1" t="str">
        <f t="shared" si="5"/>
        <v>*/GoodsShipment[0]/Consignment/LocationOfGoods/Address/country</v>
      </c>
    </row>
    <row r="186" spans="1:24" ht="12" customHeight="1" outlineLevel="4" x14ac:dyDescent="0.35">
      <c r="A186" s="3" t="str">
        <f t="shared" si="6"/>
        <v>CC413B</v>
      </c>
      <c r="B186" s="4">
        <v>4</v>
      </c>
      <c r="C186" s="3" t="s">
        <v>24</v>
      </c>
      <c r="D186" s="3" t="s">
        <v>30</v>
      </c>
      <c r="E186" s="3" t="s">
        <v>30</v>
      </c>
      <c r="F186" s="3" t="s">
        <v>30</v>
      </c>
      <c r="G186" s="3" t="s">
        <v>30</v>
      </c>
      <c r="H186" s="3" t="s">
        <v>30</v>
      </c>
      <c r="I186" s="3" t="s">
        <v>30</v>
      </c>
      <c r="J186" s="3" t="s">
        <v>30</v>
      </c>
      <c r="K186" s="3" t="s">
        <v>30</v>
      </c>
      <c r="L186" s="12" t="s">
        <v>290</v>
      </c>
      <c r="M186" s="4"/>
      <c r="N186" s="3" t="s">
        <v>396</v>
      </c>
      <c r="O186" s="15"/>
      <c r="P186" s="16" t="s">
        <v>561</v>
      </c>
      <c r="Q186" s="15"/>
      <c r="R186" s="4"/>
      <c r="S186" s="4" t="s">
        <v>1129</v>
      </c>
      <c r="T186" s="3" t="s">
        <v>291</v>
      </c>
      <c r="U186" s="4"/>
      <c r="V186" s="4"/>
      <c r="W186" s="3" t="s">
        <v>292</v>
      </c>
      <c r="X186" s="1" t="str">
        <f t="shared" si="5"/>
        <v>*/GoodsShipment[0]/Consignment/LocationOfGoods/PostcodeAddress</v>
      </c>
    </row>
    <row r="187" spans="1:24" ht="12" customHeight="1" outlineLevel="5" x14ac:dyDescent="0.35">
      <c r="A187" s="2" t="str">
        <f t="shared" si="6"/>
        <v>CC413B</v>
      </c>
      <c r="B187" s="1">
        <v>5</v>
      </c>
      <c r="C187" s="1" t="s">
        <v>19</v>
      </c>
      <c r="D187" s="1" t="s">
        <v>30</v>
      </c>
      <c r="E187" s="2" t="s">
        <v>30</v>
      </c>
      <c r="F187" s="2" t="s">
        <v>30</v>
      </c>
      <c r="G187" s="2" t="s">
        <v>30</v>
      </c>
      <c r="H187" s="2" t="s">
        <v>30</v>
      </c>
      <c r="I187" s="2" t="s">
        <v>30</v>
      </c>
      <c r="J187" s="2" t="s">
        <v>30</v>
      </c>
      <c r="K187" s="2" t="s">
        <v>30</v>
      </c>
      <c r="L187" s="13" t="s">
        <v>293</v>
      </c>
      <c r="M187" s="7" t="s">
        <v>96</v>
      </c>
      <c r="N187" s="2" t="s">
        <v>396</v>
      </c>
      <c r="O187" s="14"/>
      <c r="P187" s="7" t="s">
        <v>564</v>
      </c>
      <c r="Q187" s="14"/>
      <c r="S187" s="1" t="s">
        <v>1130</v>
      </c>
      <c r="T187" s="2" t="s">
        <v>294</v>
      </c>
      <c r="W187" s="2" t="s">
        <v>295</v>
      </c>
      <c r="X187" s="1" t="str">
        <f t="shared" si="5"/>
        <v>*/GoodsShipment[0]/Consignment/LocationOfGoods/PostcodeAddress/houseNumber</v>
      </c>
    </row>
    <row r="188" spans="1:24" ht="12" customHeight="1" outlineLevel="5" x14ac:dyDescent="0.35">
      <c r="A188" s="2" t="str">
        <f t="shared" si="6"/>
        <v>CC413B</v>
      </c>
      <c r="B188" s="1">
        <v>5</v>
      </c>
      <c r="C188" s="1" t="s">
        <v>19</v>
      </c>
      <c r="D188" s="1" t="s">
        <v>25</v>
      </c>
      <c r="E188" s="2" t="s">
        <v>25</v>
      </c>
      <c r="F188" s="2" t="s">
        <v>25</v>
      </c>
      <c r="G188" s="2" t="s">
        <v>25</v>
      </c>
      <c r="H188" s="2" t="s">
        <v>25</v>
      </c>
      <c r="I188" s="2" t="s">
        <v>25</v>
      </c>
      <c r="J188" s="2" t="s">
        <v>25</v>
      </c>
      <c r="K188" s="2" t="s">
        <v>25</v>
      </c>
      <c r="L188" s="13" t="s">
        <v>91</v>
      </c>
      <c r="M188" s="7" t="s">
        <v>92</v>
      </c>
      <c r="N188" s="2" t="s">
        <v>27</v>
      </c>
      <c r="O188" s="14"/>
      <c r="P188" s="14"/>
      <c r="Q188" s="14"/>
      <c r="S188" s="1" t="s">
        <v>1131</v>
      </c>
      <c r="T188" s="2" t="s">
        <v>93</v>
      </c>
      <c r="W188" s="2" t="s">
        <v>94</v>
      </c>
      <c r="X188" s="1" t="str">
        <f t="shared" si="5"/>
        <v>*/GoodsShipment[0]/Consignment/LocationOfGoods/PostcodeAddress/postcode</v>
      </c>
    </row>
    <row r="189" spans="1:24" ht="12" customHeight="1" outlineLevel="5" x14ac:dyDescent="0.35">
      <c r="A189" s="2" t="str">
        <f t="shared" si="6"/>
        <v>CC413B</v>
      </c>
      <c r="B189" s="1">
        <v>5</v>
      </c>
      <c r="C189" s="1" t="s">
        <v>19</v>
      </c>
      <c r="D189" s="1" t="s">
        <v>25</v>
      </c>
      <c r="E189" s="2" t="s">
        <v>25</v>
      </c>
      <c r="F189" s="2" t="s">
        <v>25</v>
      </c>
      <c r="G189" s="2" t="s">
        <v>25</v>
      </c>
      <c r="H189" s="2" t="s">
        <v>25</v>
      </c>
      <c r="I189" s="2" t="s">
        <v>25</v>
      </c>
      <c r="J189" s="2" t="s">
        <v>25</v>
      </c>
      <c r="K189" s="2" t="s">
        <v>25</v>
      </c>
      <c r="L189" s="13" t="s">
        <v>99</v>
      </c>
      <c r="M189" s="7" t="s">
        <v>50</v>
      </c>
      <c r="N189" s="2" t="s">
        <v>27</v>
      </c>
      <c r="O189" s="14"/>
      <c r="P189" s="14"/>
      <c r="Q189" s="7" t="s">
        <v>565</v>
      </c>
      <c r="S189" s="1" t="s">
        <v>1132</v>
      </c>
      <c r="T189" s="2" t="s">
        <v>100</v>
      </c>
      <c r="W189" s="2" t="s">
        <v>52</v>
      </c>
      <c r="X189" s="1" t="str">
        <f t="shared" si="5"/>
        <v>*/GoodsShipment[0]/Consignment/LocationOfGoods/PostcodeAddress/country</v>
      </c>
    </row>
    <row r="190" spans="1:24" ht="12" customHeight="1" outlineLevel="3" x14ac:dyDescent="0.35">
      <c r="A190" s="3" t="str">
        <f t="shared" si="6"/>
        <v>CC413B</v>
      </c>
      <c r="B190" s="4">
        <v>3</v>
      </c>
      <c r="C190" s="3" t="s">
        <v>24</v>
      </c>
      <c r="D190" s="3" t="s">
        <v>30</v>
      </c>
      <c r="E190" s="3" t="s">
        <v>30</v>
      </c>
      <c r="F190" s="3"/>
      <c r="G190" s="3" t="s">
        <v>30</v>
      </c>
      <c r="H190" s="3" t="s">
        <v>30</v>
      </c>
      <c r="I190" s="3" t="s">
        <v>30</v>
      </c>
      <c r="J190" s="3"/>
      <c r="K190" s="3"/>
      <c r="L190" s="10" t="s">
        <v>566</v>
      </c>
      <c r="M190" s="4"/>
      <c r="N190" s="3" t="s">
        <v>396</v>
      </c>
      <c r="O190" s="16" t="s">
        <v>753</v>
      </c>
      <c r="P190" s="16" t="s">
        <v>567</v>
      </c>
      <c r="Q190" s="15"/>
      <c r="R190" s="4"/>
      <c r="S190" s="4" t="s">
        <v>1133</v>
      </c>
      <c r="T190" s="3" t="s">
        <v>568</v>
      </c>
      <c r="U190" s="4"/>
      <c r="V190" s="4"/>
      <c r="W190" s="3" t="s">
        <v>569</v>
      </c>
      <c r="X190" s="1" t="str">
        <f t="shared" si="5"/>
        <v>*/GoodsShipment[0]/Consignment/ArrivalTransportMeans</v>
      </c>
    </row>
    <row r="191" spans="1:24" ht="12" customHeight="1" outlineLevel="4" x14ac:dyDescent="0.35">
      <c r="A191" s="2" t="str">
        <f t="shared" si="6"/>
        <v>CC413B</v>
      </c>
      <c r="B191" s="1">
        <v>4</v>
      </c>
      <c r="C191" s="1" t="s">
        <v>19</v>
      </c>
      <c r="D191" s="1" t="s">
        <v>25</v>
      </c>
      <c r="E191" s="2" t="s">
        <v>25</v>
      </c>
      <c r="F191" s="2"/>
      <c r="G191" s="2" t="s">
        <v>25</v>
      </c>
      <c r="H191" s="2" t="s">
        <v>25</v>
      </c>
      <c r="I191" s="2" t="s">
        <v>25</v>
      </c>
      <c r="J191" s="2"/>
      <c r="K191" s="2"/>
      <c r="L191" s="11" t="s">
        <v>570</v>
      </c>
      <c r="M191" s="7" t="s">
        <v>132</v>
      </c>
      <c r="N191" s="2" t="s">
        <v>27</v>
      </c>
      <c r="O191" s="14"/>
      <c r="P191" s="14"/>
      <c r="Q191" s="7" t="s">
        <v>571</v>
      </c>
      <c r="S191" s="1" t="s">
        <v>1134</v>
      </c>
      <c r="T191" s="2" t="s">
        <v>572</v>
      </c>
      <c r="W191" s="2" t="s">
        <v>573</v>
      </c>
      <c r="X191" s="1" t="str">
        <f t="shared" si="5"/>
        <v>*/GoodsShipment[0]/Consignment/ArrivalTransportMeans/typeOfIdentification</v>
      </c>
    </row>
    <row r="192" spans="1:24" ht="12" customHeight="1" outlineLevel="4" x14ac:dyDescent="0.35">
      <c r="A192" s="2" t="str">
        <f t="shared" si="6"/>
        <v>CC413B</v>
      </c>
      <c r="B192" s="1">
        <v>4</v>
      </c>
      <c r="C192" s="1" t="s">
        <v>19</v>
      </c>
      <c r="D192" s="1" t="s">
        <v>25</v>
      </c>
      <c r="E192" s="2" t="s">
        <v>25</v>
      </c>
      <c r="F192" s="2"/>
      <c r="G192" s="2" t="s">
        <v>25</v>
      </c>
      <c r="H192" s="2" t="s">
        <v>25</v>
      </c>
      <c r="I192" s="2" t="s">
        <v>25</v>
      </c>
      <c r="J192" s="2"/>
      <c r="K192" s="2"/>
      <c r="L192" s="11" t="s">
        <v>81</v>
      </c>
      <c r="M192" s="7" t="s">
        <v>96</v>
      </c>
      <c r="N192" s="2" t="s">
        <v>27</v>
      </c>
      <c r="O192" s="14"/>
      <c r="P192" s="14"/>
      <c r="Q192" s="14"/>
      <c r="S192" s="1" t="s">
        <v>1135</v>
      </c>
      <c r="T192" s="2" t="s">
        <v>82</v>
      </c>
      <c r="W192" s="2" t="s">
        <v>574</v>
      </c>
      <c r="X192" s="1" t="str">
        <f t="shared" si="5"/>
        <v>*/GoodsShipment[0]/Consignment/ArrivalTransportMeans/identificationNumber</v>
      </c>
    </row>
    <row r="193" spans="1:24" ht="12" customHeight="1" outlineLevel="3" x14ac:dyDescent="0.35">
      <c r="A193" s="3" t="str">
        <f t="shared" si="6"/>
        <v>CC413B</v>
      </c>
      <c r="B193" s="4">
        <v>3</v>
      </c>
      <c r="C193" s="3" t="s">
        <v>24</v>
      </c>
      <c r="D193" s="3" t="s">
        <v>30</v>
      </c>
      <c r="E193" s="3" t="s">
        <v>30</v>
      </c>
      <c r="F193" s="3"/>
      <c r="G193" s="3" t="s">
        <v>30</v>
      </c>
      <c r="H193" s="3" t="s">
        <v>30</v>
      </c>
      <c r="I193" s="3" t="s">
        <v>30</v>
      </c>
      <c r="J193" s="3"/>
      <c r="K193" s="3"/>
      <c r="L193" s="10" t="s">
        <v>575</v>
      </c>
      <c r="M193" s="4"/>
      <c r="N193" s="3" t="s">
        <v>396</v>
      </c>
      <c r="O193" s="16" t="s">
        <v>576</v>
      </c>
      <c r="P193" s="16" t="s">
        <v>577</v>
      </c>
      <c r="Q193" s="15"/>
      <c r="R193" s="4"/>
      <c r="S193" s="4" t="s">
        <v>1136</v>
      </c>
      <c r="T193" s="3" t="s">
        <v>578</v>
      </c>
      <c r="U193" s="4"/>
      <c r="V193" s="4"/>
      <c r="W193" s="3" t="s">
        <v>579</v>
      </c>
      <c r="X193" s="1" t="str">
        <f t="shared" si="5"/>
        <v>*/GoodsShipment[0]/Consignment/ActiveBorderTransportMeans</v>
      </c>
    </row>
    <row r="194" spans="1:24" ht="12" customHeight="1" outlineLevel="4" x14ac:dyDescent="0.35">
      <c r="A194" s="2" t="str">
        <f t="shared" si="6"/>
        <v>CC413B</v>
      </c>
      <c r="B194" s="1">
        <v>4</v>
      </c>
      <c r="C194" s="1" t="s">
        <v>19</v>
      </c>
      <c r="D194" s="1" t="s">
        <v>25</v>
      </c>
      <c r="E194" s="2" t="s">
        <v>25</v>
      </c>
      <c r="F194" s="2"/>
      <c r="G194" s="2" t="s">
        <v>25</v>
      </c>
      <c r="H194" s="2" t="s">
        <v>25</v>
      </c>
      <c r="I194" s="2" t="s">
        <v>25</v>
      </c>
      <c r="J194" s="2"/>
      <c r="K194" s="2"/>
      <c r="L194" s="11" t="s">
        <v>580</v>
      </c>
      <c r="M194" s="7" t="s">
        <v>50</v>
      </c>
      <c r="N194" s="2" t="s">
        <v>27</v>
      </c>
      <c r="O194" s="14"/>
      <c r="P194" s="14"/>
      <c r="Q194" s="7" t="s">
        <v>581</v>
      </c>
      <c r="S194" s="1" t="s">
        <v>1137</v>
      </c>
      <c r="T194" s="2" t="s">
        <v>582</v>
      </c>
      <c r="W194" s="2" t="s">
        <v>52</v>
      </c>
      <c r="X194" s="1" t="str">
        <f t="shared" si="5"/>
        <v>*/GoodsShipment[0]/Consignment/ActiveBorderTransportMeans/nationality</v>
      </c>
    </row>
    <row r="195" spans="1:24" ht="12" customHeight="1" outlineLevel="3" x14ac:dyDescent="0.35">
      <c r="A195" s="3" t="str">
        <f t="shared" si="6"/>
        <v>CC413B</v>
      </c>
      <c r="B195" s="4">
        <v>3</v>
      </c>
      <c r="C195" s="3" t="s">
        <v>24</v>
      </c>
      <c r="D195" s="3" t="s">
        <v>193</v>
      </c>
      <c r="E195" s="3" t="s">
        <v>193</v>
      </c>
      <c r="F195" s="3" t="s">
        <v>193</v>
      </c>
      <c r="G195" s="3" t="s">
        <v>193</v>
      </c>
      <c r="H195" s="3" t="s">
        <v>193</v>
      </c>
      <c r="I195" s="3" t="s">
        <v>193</v>
      </c>
      <c r="J195" s="3" t="s">
        <v>193</v>
      </c>
      <c r="K195" s="3"/>
      <c r="L195" s="10" t="s">
        <v>583</v>
      </c>
      <c r="M195" s="4"/>
      <c r="N195" s="3" t="s">
        <v>22</v>
      </c>
      <c r="O195" s="16" t="s">
        <v>489</v>
      </c>
      <c r="P195" s="15"/>
      <c r="Q195" s="15"/>
      <c r="R195" s="4"/>
      <c r="S195" s="4" t="s">
        <v>1138</v>
      </c>
      <c r="T195" s="3" t="s">
        <v>584</v>
      </c>
      <c r="U195" s="4"/>
      <c r="V195" s="4"/>
      <c r="W195" s="3" t="s">
        <v>585</v>
      </c>
      <c r="X195" s="1" t="str">
        <f t="shared" ref="X195:X258" si="7">IF($B195=0,$T195,_xlfn.TEXTBEFORE(X194,"/",$B195,,,X194)&amp;"/"&amp;$T195)&amp;IF(_xlfn.TEXTAFTER($E195,"..",,,,1)&lt;&gt;"1","[0]","")</f>
        <v>*/GoodsShipment[0]/Consignment/TransportDocument[0]</v>
      </c>
    </row>
    <row r="196" spans="1:24" ht="12" customHeight="1" outlineLevel="4" x14ac:dyDescent="0.35">
      <c r="A196" s="2" t="str">
        <f t="shared" si="6"/>
        <v>CC413B</v>
      </c>
      <c r="B196" s="1">
        <v>4</v>
      </c>
      <c r="C196" s="1" t="s">
        <v>19</v>
      </c>
      <c r="D196" s="1" t="s">
        <v>25</v>
      </c>
      <c r="E196" s="2" t="s">
        <v>25</v>
      </c>
      <c r="F196" s="2" t="s">
        <v>25</v>
      </c>
      <c r="G196" s="2" t="s">
        <v>25</v>
      </c>
      <c r="H196" s="2" t="s">
        <v>25</v>
      </c>
      <c r="I196" s="2" t="s">
        <v>25</v>
      </c>
      <c r="J196" s="2" t="s">
        <v>25</v>
      </c>
      <c r="K196" s="2"/>
      <c r="L196" s="11" t="s">
        <v>56</v>
      </c>
      <c r="M196" s="7" t="s">
        <v>57</v>
      </c>
      <c r="N196" s="2" t="s">
        <v>27</v>
      </c>
      <c r="O196" s="7" t="s">
        <v>393</v>
      </c>
      <c r="P196" s="14"/>
      <c r="Q196" s="14"/>
      <c r="T196" s="2" t="s">
        <v>58</v>
      </c>
      <c r="W196" s="2" t="s">
        <v>59</v>
      </c>
      <c r="X196" s="1" t="str">
        <f t="shared" si="7"/>
        <v>*/GoodsShipment[0]/Consignment/TransportDocument[0]/sequenceNumber</v>
      </c>
    </row>
    <row r="197" spans="1:24" ht="12" customHeight="1" outlineLevel="4" x14ac:dyDescent="0.35">
      <c r="A197" s="2" t="str">
        <f t="shared" si="6"/>
        <v>CC413B</v>
      </c>
      <c r="B197" s="1">
        <v>4</v>
      </c>
      <c r="C197" s="1" t="s">
        <v>19</v>
      </c>
      <c r="D197" s="1" t="s">
        <v>25</v>
      </c>
      <c r="E197" s="2" t="s">
        <v>25</v>
      </c>
      <c r="F197" s="2" t="s">
        <v>25</v>
      </c>
      <c r="G197" s="2" t="s">
        <v>25</v>
      </c>
      <c r="H197" s="2" t="s">
        <v>25</v>
      </c>
      <c r="I197" s="2" t="s">
        <v>25</v>
      </c>
      <c r="J197" s="2" t="s">
        <v>25</v>
      </c>
      <c r="K197" s="2"/>
      <c r="L197" s="11" t="s">
        <v>2</v>
      </c>
      <c r="M197" s="7" t="s">
        <v>306</v>
      </c>
      <c r="N197" s="2" t="s">
        <v>27</v>
      </c>
      <c r="O197" s="14"/>
      <c r="P197" s="14"/>
      <c r="Q197" s="7" t="s">
        <v>586</v>
      </c>
      <c r="S197" s="1" t="s">
        <v>1139</v>
      </c>
      <c r="T197" s="2" t="s">
        <v>61</v>
      </c>
      <c r="W197" s="2" t="s">
        <v>307</v>
      </c>
      <c r="X197" s="1" t="str">
        <f t="shared" si="7"/>
        <v>*/GoodsShipment[0]/Consignment/TransportDocument[0]/type</v>
      </c>
    </row>
    <row r="198" spans="1:24" ht="12" customHeight="1" outlineLevel="4" x14ac:dyDescent="0.35">
      <c r="A198" s="2" t="str">
        <f t="shared" si="6"/>
        <v>CC413B</v>
      </c>
      <c r="B198" s="1">
        <v>4</v>
      </c>
      <c r="C198" s="1" t="s">
        <v>19</v>
      </c>
      <c r="D198" s="1" t="s">
        <v>25</v>
      </c>
      <c r="E198" s="2" t="s">
        <v>25</v>
      </c>
      <c r="F198" s="2" t="s">
        <v>25</v>
      </c>
      <c r="G198" s="2" t="s">
        <v>25</v>
      </c>
      <c r="H198" s="2" t="s">
        <v>25</v>
      </c>
      <c r="I198" s="2" t="s">
        <v>25</v>
      </c>
      <c r="J198" s="2" t="s">
        <v>25</v>
      </c>
      <c r="K198" s="2"/>
      <c r="L198" s="11" t="s">
        <v>63</v>
      </c>
      <c r="M198" s="7" t="s">
        <v>83</v>
      </c>
      <c r="N198" s="2" t="s">
        <v>27</v>
      </c>
      <c r="O198" s="7" t="s">
        <v>494</v>
      </c>
      <c r="P198" s="14"/>
      <c r="Q198" s="14"/>
      <c r="S198" s="1" t="s">
        <v>1140</v>
      </c>
      <c r="T198" s="2" t="s">
        <v>65</v>
      </c>
      <c r="W198" s="2" t="s">
        <v>308</v>
      </c>
      <c r="X198" s="1" t="str">
        <f t="shared" si="7"/>
        <v>*/GoodsShipment[0]/Consignment/TransportDocument[0]/referenceNumber</v>
      </c>
    </row>
    <row r="199" spans="1:24" ht="12" customHeight="1" outlineLevel="2" x14ac:dyDescent="0.35">
      <c r="A199" s="3" t="str">
        <f t="shared" si="6"/>
        <v>CC413B</v>
      </c>
      <c r="B199" s="4">
        <v>2</v>
      </c>
      <c r="C199" s="3" t="s">
        <v>24</v>
      </c>
      <c r="D199" s="3" t="s">
        <v>317</v>
      </c>
      <c r="E199" s="3" t="s">
        <v>317</v>
      </c>
      <c r="F199" s="3" t="s">
        <v>317</v>
      </c>
      <c r="G199" s="3" t="s">
        <v>317</v>
      </c>
      <c r="H199" s="3" t="s">
        <v>317</v>
      </c>
      <c r="I199" s="3" t="s">
        <v>317</v>
      </c>
      <c r="J199" s="3" t="s">
        <v>317</v>
      </c>
      <c r="K199" s="3" t="s">
        <v>317</v>
      </c>
      <c r="L199" s="8" t="s">
        <v>318</v>
      </c>
      <c r="M199" s="4"/>
      <c r="N199" s="3" t="s">
        <v>27</v>
      </c>
      <c r="O199" s="15"/>
      <c r="P199" s="15"/>
      <c r="Q199" s="15"/>
      <c r="R199" s="4"/>
      <c r="S199" s="4"/>
      <c r="T199" s="3" t="s">
        <v>319</v>
      </c>
      <c r="U199" s="4"/>
      <c r="V199" s="4"/>
      <c r="W199" s="3" t="s">
        <v>587</v>
      </c>
      <c r="X199" s="1" t="str">
        <f t="shared" si="7"/>
        <v>*/GoodsShipment[0]/GoodsShipmentItem[0]</v>
      </c>
    </row>
    <row r="200" spans="1:24" ht="12" customHeight="1" outlineLevel="3" x14ac:dyDescent="0.35">
      <c r="A200" s="2" t="str">
        <f t="shared" si="6"/>
        <v>CC413B</v>
      </c>
      <c r="B200" s="1">
        <v>3</v>
      </c>
      <c r="C200" s="1" t="s">
        <v>19</v>
      </c>
      <c r="D200" s="1" t="s">
        <v>25</v>
      </c>
      <c r="E200" s="2" t="s">
        <v>25</v>
      </c>
      <c r="F200" s="2" t="s">
        <v>25</v>
      </c>
      <c r="G200" s="2" t="s">
        <v>25</v>
      </c>
      <c r="H200" s="2" t="s">
        <v>25</v>
      </c>
      <c r="I200" s="2" t="s">
        <v>25</v>
      </c>
      <c r="J200" s="2" t="s">
        <v>25</v>
      </c>
      <c r="K200" s="2" t="s">
        <v>25</v>
      </c>
      <c r="L200" s="9" t="s">
        <v>253</v>
      </c>
      <c r="M200" s="7" t="s">
        <v>57</v>
      </c>
      <c r="N200" s="2" t="s">
        <v>27</v>
      </c>
      <c r="O200" s="7" t="s">
        <v>588</v>
      </c>
      <c r="P200" s="14"/>
      <c r="Q200" s="14"/>
      <c r="S200" s="1" t="s">
        <v>1200</v>
      </c>
      <c r="T200" s="2" t="s">
        <v>254</v>
      </c>
      <c r="W200" s="2" t="s">
        <v>255</v>
      </c>
      <c r="X200" s="1" t="str">
        <f t="shared" si="7"/>
        <v>*/GoodsShipment[0]/GoodsShipmentItem[0]/declarationGoodsItemNumber</v>
      </c>
    </row>
    <row r="201" spans="1:24" ht="12" customHeight="1" outlineLevel="3" x14ac:dyDescent="0.35">
      <c r="A201" s="2" t="str">
        <f t="shared" si="6"/>
        <v>CC413B</v>
      </c>
      <c r="B201" s="1">
        <v>3</v>
      </c>
      <c r="C201" s="1" t="s">
        <v>19</v>
      </c>
      <c r="D201" s="1" t="s">
        <v>30</v>
      </c>
      <c r="E201" s="2" t="s">
        <v>30</v>
      </c>
      <c r="F201" s="2" t="s">
        <v>30</v>
      </c>
      <c r="G201" s="2" t="s">
        <v>30</v>
      </c>
      <c r="H201" s="2" t="s">
        <v>30</v>
      </c>
      <c r="I201" s="2" t="s">
        <v>30</v>
      </c>
      <c r="J201" s="2" t="s">
        <v>30</v>
      </c>
      <c r="K201" s="2" t="s">
        <v>30</v>
      </c>
      <c r="L201" s="9" t="s">
        <v>589</v>
      </c>
      <c r="M201" s="7" t="s">
        <v>57</v>
      </c>
      <c r="N201" s="2" t="s">
        <v>396</v>
      </c>
      <c r="O201" s="7" t="s">
        <v>590</v>
      </c>
      <c r="P201" s="7" t="s">
        <v>591</v>
      </c>
      <c r="Q201" s="14"/>
      <c r="S201" s="1" t="s">
        <v>1141</v>
      </c>
      <c r="T201" s="2" t="s">
        <v>592</v>
      </c>
      <c r="W201" s="2" t="s">
        <v>255</v>
      </c>
      <c r="X201" s="1" t="str">
        <f t="shared" si="7"/>
        <v>*/GoodsShipment[0]/GoodsShipmentItem[0]/goodsItemNumber</v>
      </c>
    </row>
    <row r="202" spans="1:24" ht="12" customHeight="1" outlineLevel="3" x14ac:dyDescent="0.35">
      <c r="A202" s="2" t="str">
        <f t="shared" si="6"/>
        <v>CC413B</v>
      </c>
      <c r="B202" s="1">
        <v>3</v>
      </c>
      <c r="C202" s="1" t="s">
        <v>19</v>
      </c>
      <c r="D202" s="1" t="s">
        <v>30</v>
      </c>
      <c r="E202" s="2" t="s">
        <v>30</v>
      </c>
      <c r="F202" s="2" t="s">
        <v>30</v>
      </c>
      <c r="G202" s="2" t="s">
        <v>30</v>
      </c>
      <c r="H202" s="2" t="s">
        <v>30</v>
      </c>
      <c r="I202" s="2" t="s">
        <v>30</v>
      </c>
      <c r="J202" s="2"/>
      <c r="K202" s="2"/>
      <c r="L202" s="9" t="s">
        <v>593</v>
      </c>
      <c r="M202" s="7" t="s">
        <v>181</v>
      </c>
      <c r="N202" s="2" t="s">
        <v>396</v>
      </c>
      <c r="O202" s="7" t="s">
        <v>754</v>
      </c>
      <c r="P202" s="7" t="s">
        <v>755</v>
      </c>
      <c r="Q202" s="14"/>
      <c r="S202" s="1" t="s">
        <v>1142</v>
      </c>
      <c r="T202" s="2" t="s">
        <v>594</v>
      </c>
      <c r="W202" s="2" t="s">
        <v>183</v>
      </c>
      <c r="X202" s="1" t="str">
        <f t="shared" si="7"/>
        <v>*/GoodsShipment[0]/GoodsShipmentItem[0]/statisticalValue</v>
      </c>
    </row>
    <row r="203" spans="1:24" ht="12" customHeight="1" outlineLevel="3" x14ac:dyDescent="0.35">
      <c r="A203" s="2" t="str">
        <f t="shared" si="6"/>
        <v>CC413B</v>
      </c>
      <c r="B203" s="1">
        <v>3</v>
      </c>
      <c r="C203" s="1" t="s">
        <v>19</v>
      </c>
      <c r="D203" s="1" t="s">
        <v>30</v>
      </c>
      <c r="E203" s="2" t="s">
        <v>30</v>
      </c>
      <c r="F203" s="2" t="s">
        <v>30</v>
      </c>
      <c r="G203" s="2" t="s">
        <v>30</v>
      </c>
      <c r="H203" s="2" t="s">
        <v>30</v>
      </c>
      <c r="I203" s="2" t="s">
        <v>30</v>
      </c>
      <c r="J203" s="2"/>
      <c r="K203" s="2"/>
      <c r="L203" s="9" t="s">
        <v>176</v>
      </c>
      <c r="M203" s="7" t="s">
        <v>177</v>
      </c>
      <c r="N203" s="2" t="s">
        <v>396</v>
      </c>
      <c r="O203" s="7" t="s">
        <v>423</v>
      </c>
      <c r="P203" s="7" t="s">
        <v>424</v>
      </c>
      <c r="Q203" s="7" t="s">
        <v>425</v>
      </c>
      <c r="S203" s="1" t="s">
        <v>1039</v>
      </c>
      <c r="T203" s="2" t="s">
        <v>178</v>
      </c>
      <c r="W203" s="2" t="s">
        <v>179</v>
      </c>
      <c r="X203" s="1" t="str">
        <f t="shared" si="7"/>
        <v>*/GoodsShipment[0]/GoodsShipmentItem[0]/natureOfTransaction</v>
      </c>
    </row>
    <row r="204" spans="1:24" ht="12" customHeight="1" outlineLevel="3" x14ac:dyDescent="0.35">
      <c r="A204" s="2" t="str">
        <f t="shared" si="6"/>
        <v>CC413B</v>
      </c>
      <c r="B204" s="1">
        <v>3</v>
      </c>
      <c r="C204" s="1" t="s">
        <v>19</v>
      </c>
      <c r="D204" s="1" t="s">
        <v>30</v>
      </c>
      <c r="E204" s="2" t="s">
        <v>30</v>
      </c>
      <c r="F204" s="2" t="s">
        <v>30</v>
      </c>
      <c r="G204" s="2" t="s">
        <v>30</v>
      </c>
      <c r="H204" s="2" t="s">
        <v>30</v>
      </c>
      <c r="I204" s="2" t="s">
        <v>30</v>
      </c>
      <c r="J204" s="2" t="s">
        <v>30</v>
      </c>
      <c r="K204" s="2"/>
      <c r="L204" s="9" t="s">
        <v>552</v>
      </c>
      <c r="M204" s="7" t="s">
        <v>156</v>
      </c>
      <c r="N204" s="2" t="s">
        <v>22</v>
      </c>
      <c r="O204" s="14"/>
      <c r="P204" s="14"/>
      <c r="Q204" s="14"/>
      <c r="S204" s="1" t="s">
        <v>1143</v>
      </c>
      <c r="T204" s="2" t="s">
        <v>553</v>
      </c>
      <c r="W204" s="2" t="s">
        <v>554</v>
      </c>
      <c r="X204" s="1" t="str">
        <f t="shared" si="7"/>
        <v>*/GoodsShipment[0]/GoodsShipmentItem[0]/referenceNumberUCR</v>
      </c>
    </row>
    <row r="205" spans="1:24" ht="12" customHeight="1" outlineLevel="3" x14ac:dyDescent="0.35">
      <c r="A205" s="3" t="str">
        <f t="shared" si="6"/>
        <v>CC413B</v>
      </c>
      <c r="B205" s="4">
        <v>3</v>
      </c>
      <c r="C205" s="3" t="s">
        <v>24</v>
      </c>
      <c r="D205" s="3" t="s">
        <v>53</v>
      </c>
      <c r="E205" s="3" t="s">
        <v>53</v>
      </c>
      <c r="F205" s="3" t="s">
        <v>53</v>
      </c>
      <c r="G205" s="3" t="s">
        <v>53</v>
      </c>
      <c r="H205" s="3" t="s">
        <v>53</v>
      </c>
      <c r="I205" s="3" t="s">
        <v>53</v>
      </c>
      <c r="J205" s="3" t="s">
        <v>53</v>
      </c>
      <c r="K205" s="3" t="s">
        <v>53</v>
      </c>
      <c r="L205" s="10" t="s">
        <v>54</v>
      </c>
      <c r="M205" s="4"/>
      <c r="N205" s="3" t="s">
        <v>396</v>
      </c>
      <c r="O205" s="16" t="s">
        <v>756</v>
      </c>
      <c r="P205" s="16" t="s">
        <v>596</v>
      </c>
      <c r="Q205" s="15"/>
      <c r="R205" s="4"/>
      <c r="S205" s="4" t="s">
        <v>991</v>
      </c>
      <c r="T205" s="3" t="s">
        <v>54</v>
      </c>
      <c r="U205" s="4"/>
      <c r="V205" s="4"/>
      <c r="W205" s="3" t="s">
        <v>321</v>
      </c>
      <c r="X205" s="1" t="str">
        <f t="shared" si="7"/>
        <v>*/GoodsShipment[0]/GoodsShipmentItem[0]/Authorisation[0]</v>
      </c>
    </row>
    <row r="206" spans="1:24" ht="12" customHeight="1" outlineLevel="4" x14ac:dyDescent="0.35">
      <c r="A206" s="2" t="str">
        <f t="shared" si="6"/>
        <v>CC413B</v>
      </c>
      <c r="B206" s="1">
        <v>4</v>
      </c>
      <c r="C206" s="1" t="s">
        <v>19</v>
      </c>
      <c r="D206" s="1" t="s">
        <v>25</v>
      </c>
      <c r="E206" s="2" t="s">
        <v>25</v>
      </c>
      <c r="F206" s="2" t="s">
        <v>25</v>
      </c>
      <c r="G206" s="2" t="s">
        <v>25</v>
      </c>
      <c r="H206" s="2" t="s">
        <v>25</v>
      </c>
      <c r="I206" s="2" t="s">
        <v>25</v>
      </c>
      <c r="J206" s="2" t="s">
        <v>25</v>
      </c>
      <c r="K206" s="2" t="s">
        <v>25</v>
      </c>
      <c r="L206" s="11" t="s">
        <v>56</v>
      </c>
      <c r="M206" s="7" t="s">
        <v>57</v>
      </c>
      <c r="N206" s="2" t="s">
        <v>27</v>
      </c>
      <c r="O206" s="7" t="s">
        <v>393</v>
      </c>
      <c r="P206" s="14"/>
      <c r="Q206" s="14"/>
      <c r="T206" s="2" t="s">
        <v>58</v>
      </c>
      <c r="W206" s="2" t="s">
        <v>59</v>
      </c>
      <c r="X206" s="1" t="str">
        <f t="shared" si="7"/>
        <v>*/GoodsShipment[0]/GoodsShipmentItem[0]/Authorisation[0]/sequenceNumber</v>
      </c>
    </row>
    <row r="207" spans="1:24" ht="12" customHeight="1" outlineLevel="4" x14ac:dyDescent="0.35">
      <c r="A207" s="2" t="str">
        <f t="shared" si="6"/>
        <v>CC413B</v>
      </c>
      <c r="B207" s="1">
        <v>4</v>
      </c>
      <c r="C207" s="1" t="s">
        <v>19</v>
      </c>
      <c r="D207" s="1" t="s">
        <v>30</v>
      </c>
      <c r="E207" s="2" t="s">
        <v>30</v>
      </c>
      <c r="F207" s="2" t="s">
        <v>30</v>
      </c>
      <c r="G207" s="2" t="s">
        <v>30</v>
      </c>
      <c r="H207" s="2" t="s">
        <v>30</v>
      </c>
      <c r="I207" s="2" t="s">
        <v>30</v>
      </c>
      <c r="J207" s="2" t="s">
        <v>30</v>
      </c>
      <c r="K207" s="2" t="s">
        <v>30</v>
      </c>
      <c r="L207" s="11" t="s">
        <v>2</v>
      </c>
      <c r="M207" s="7" t="s">
        <v>60</v>
      </c>
      <c r="N207" s="2" t="s">
        <v>396</v>
      </c>
      <c r="O207" s="14"/>
      <c r="P207" s="7" t="s">
        <v>395</v>
      </c>
      <c r="Q207" s="7" t="s">
        <v>597</v>
      </c>
      <c r="S207" s="1" t="s">
        <v>992</v>
      </c>
      <c r="T207" s="2" t="s">
        <v>61</v>
      </c>
      <c r="W207" s="2" t="s">
        <v>62</v>
      </c>
      <c r="X207" s="1" t="str">
        <f t="shared" si="7"/>
        <v>*/GoodsShipment[0]/GoodsShipmentItem[0]/Authorisation[0]/type</v>
      </c>
    </row>
    <row r="208" spans="1:24" ht="12" customHeight="1" outlineLevel="4" x14ac:dyDescent="0.35">
      <c r="A208" s="2" t="str">
        <f t="shared" si="6"/>
        <v>CC413B</v>
      </c>
      <c r="B208" s="1">
        <v>4</v>
      </c>
      <c r="C208" s="1" t="s">
        <v>19</v>
      </c>
      <c r="D208" s="1" t="s">
        <v>25</v>
      </c>
      <c r="E208" s="2" t="s">
        <v>25</v>
      </c>
      <c r="F208" s="2" t="s">
        <v>25</v>
      </c>
      <c r="G208" s="2" t="s">
        <v>25</v>
      </c>
      <c r="H208" s="2" t="s">
        <v>25</v>
      </c>
      <c r="I208" s="2" t="s">
        <v>25</v>
      </c>
      <c r="J208" s="2" t="s">
        <v>25</v>
      </c>
      <c r="K208" s="2" t="s">
        <v>25</v>
      </c>
      <c r="L208" s="11" t="s">
        <v>63</v>
      </c>
      <c r="M208" s="7" t="s">
        <v>834</v>
      </c>
      <c r="N208" s="2" t="s">
        <v>27</v>
      </c>
      <c r="O208" s="14"/>
      <c r="P208" s="14"/>
      <c r="Q208" s="14"/>
      <c r="S208" s="1" t="s">
        <v>993</v>
      </c>
      <c r="T208" s="2" t="s">
        <v>65</v>
      </c>
      <c r="W208" s="2" t="s">
        <v>66</v>
      </c>
      <c r="X208" s="1" t="str">
        <f t="shared" si="7"/>
        <v>*/GoodsShipment[0]/GoodsShipmentItem[0]/Authorisation[0]/referenceNumber</v>
      </c>
    </row>
    <row r="209" spans="1:24" ht="12" customHeight="1" outlineLevel="4" x14ac:dyDescent="0.35">
      <c r="A209" s="2" t="str">
        <f t="shared" si="6"/>
        <v>CC413B</v>
      </c>
      <c r="B209" s="1">
        <v>4</v>
      </c>
      <c r="C209" s="1" t="s">
        <v>19</v>
      </c>
      <c r="D209" s="1" t="s">
        <v>30</v>
      </c>
      <c r="E209" s="2" t="s">
        <v>30</v>
      </c>
      <c r="F209" s="2" t="s">
        <v>30</v>
      </c>
      <c r="G209" s="2" t="s">
        <v>30</v>
      </c>
      <c r="H209" s="2" t="s">
        <v>30</v>
      </c>
      <c r="I209" s="2" t="s">
        <v>30</v>
      </c>
      <c r="J209" s="2" t="s">
        <v>30</v>
      </c>
      <c r="K209" s="2" t="s">
        <v>30</v>
      </c>
      <c r="L209" s="11" t="s">
        <v>67</v>
      </c>
      <c r="M209" s="7" t="s">
        <v>68</v>
      </c>
      <c r="N209" s="2" t="s">
        <v>396</v>
      </c>
      <c r="O209" s="7" t="s">
        <v>397</v>
      </c>
      <c r="P209" s="7" t="s">
        <v>398</v>
      </c>
      <c r="Q209" s="14"/>
      <c r="S209" s="1" t="s">
        <v>994</v>
      </c>
      <c r="T209" s="2" t="s">
        <v>69</v>
      </c>
      <c r="W209" s="2" t="s">
        <v>70</v>
      </c>
      <c r="X209" s="1" t="str">
        <f t="shared" si="7"/>
        <v>*/GoodsShipment[0]/GoodsShipmentItem[0]/Authorisation[0]/holderOfTheAuthorisation</v>
      </c>
    </row>
    <row r="210" spans="1:24" ht="12" customHeight="1" outlineLevel="3" x14ac:dyDescent="0.35">
      <c r="A210" s="3" t="str">
        <f t="shared" si="6"/>
        <v>CC413B</v>
      </c>
      <c r="B210" s="4">
        <v>3</v>
      </c>
      <c r="C210" s="3" t="s">
        <v>24</v>
      </c>
      <c r="D210" s="3" t="s">
        <v>25</v>
      </c>
      <c r="E210" s="3" t="s">
        <v>25</v>
      </c>
      <c r="F210" s="3" t="s">
        <v>25</v>
      </c>
      <c r="G210" s="3" t="s">
        <v>25</v>
      </c>
      <c r="H210" s="3" t="s">
        <v>25</v>
      </c>
      <c r="I210" s="3" t="s">
        <v>25</v>
      </c>
      <c r="J210" s="3" t="s">
        <v>25</v>
      </c>
      <c r="K210" s="3" t="s">
        <v>25</v>
      </c>
      <c r="L210" s="10" t="s">
        <v>322</v>
      </c>
      <c r="M210" s="4"/>
      <c r="N210" s="3" t="s">
        <v>27</v>
      </c>
      <c r="O210" s="15"/>
      <c r="P210" s="15"/>
      <c r="Q210" s="15"/>
      <c r="R210" s="4"/>
      <c r="S210" s="4" t="s">
        <v>1144</v>
      </c>
      <c r="T210" s="3" t="s">
        <v>322</v>
      </c>
      <c r="U210" s="4"/>
      <c r="V210" s="4"/>
      <c r="W210" s="3" t="s">
        <v>598</v>
      </c>
      <c r="X210" s="1" t="str">
        <f t="shared" si="7"/>
        <v>*/GoodsShipment[0]/GoodsShipmentItem[0]/Procedure</v>
      </c>
    </row>
    <row r="211" spans="1:24" ht="12" customHeight="1" outlineLevel="4" x14ac:dyDescent="0.35">
      <c r="A211" s="2" t="str">
        <f t="shared" si="6"/>
        <v>CC413B</v>
      </c>
      <c r="B211" s="1">
        <v>4</v>
      </c>
      <c r="C211" s="1" t="s">
        <v>19</v>
      </c>
      <c r="D211" s="1" t="s">
        <v>25</v>
      </c>
      <c r="E211" s="2" t="s">
        <v>30</v>
      </c>
      <c r="F211" s="2" t="s">
        <v>30</v>
      </c>
      <c r="G211" s="2" t="s">
        <v>30</v>
      </c>
      <c r="H211" s="2" t="s">
        <v>30</v>
      </c>
      <c r="I211" s="2" t="s">
        <v>30</v>
      </c>
      <c r="J211" s="2" t="s">
        <v>30</v>
      </c>
      <c r="K211" s="2" t="s">
        <v>30</v>
      </c>
      <c r="L211" s="11" t="s">
        <v>324</v>
      </c>
      <c r="M211" s="7" t="s">
        <v>325</v>
      </c>
      <c r="N211" s="2" t="s">
        <v>27</v>
      </c>
      <c r="O211" s="7" t="s">
        <v>599</v>
      </c>
      <c r="P211" s="14"/>
      <c r="Q211" s="7" t="s">
        <v>600</v>
      </c>
      <c r="S211" s="1" t="s">
        <v>1145</v>
      </c>
      <c r="T211" s="2" t="s">
        <v>326</v>
      </c>
      <c r="W211" s="2" t="s">
        <v>327</v>
      </c>
      <c r="X211" s="1" t="str">
        <f t="shared" si="7"/>
        <v>*/GoodsShipment[0]/GoodsShipmentItem[0]/Procedure/requestedProcedure</v>
      </c>
    </row>
    <row r="212" spans="1:24" ht="12" customHeight="1" outlineLevel="4" x14ac:dyDescent="0.35">
      <c r="A212" s="2" t="str">
        <f t="shared" si="6"/>
        <v>CC413B</v>
      </c>
      <c r="B212" s="1">
        <v>4</v>
      </c>
      <c r="C212" s="1" t="s">
        <v>19</v>
      </c>
      <c r="D212" s="1" t="s">
        <v>25</v>
      </c>
      <c r="E212" s="2" t="s">
        <v>30</v>
      </c>
      <c r="F212" s="2" t="s">
        <v>30</v>
      </c>
      <c r="G212" s="2" t="s">
        <v>30</v>
      </c>
      <c r="H212" s="2" t="s">
        <v>30</v>
      </c>
      <c r="I212" s="2" t="s">
        <v>30</v>
      </c>
      <c r="J212" s="2" t="s">
        <v>30</v>
      </c>
      <c r="K212" s="2" t="s">
        <v>30</v>
      </c>
      <c r="L212" s="11" t="s">
        <v>328</v>
      </c>
      <c r="M212" s="7" t="s">
        <v>325</v>
      </c>
      <c r="N212" s="2" t="s">
        <v>27</v>
      </c>
      <c r="O212" s="7" t="s">
        <v>601</v>
      </c>
      <c r="P212" s="14"/>
      <c r="Q212" s="7" t="s">
        <v>602</v>
      </c>
      <c r="S212" s="1" t="s">
        <v>1146</v>
      </c>
      <c r="T212" s="2" t="s">
        <v>329</v>
      </c>
      <c r="W212" s="2" t="s">
        <v>327</v>
      </c>
      <c r="X212" s="1" t="str">
        <f t="shared" si="7"/>
        <v>*/GoodsShipment[0]/GoodsShipmentItem[0]/Procedure/previousProcedure</v>
      </c>
    </row>
    <row r="213" spans="1:24" ht="12" customHeight="1" outlineLevel="4" x14ac:dyDescent="0.35">
      <c r="A213" s="3" t="str">
        <f t="shared" si="6"/>
        <v>CC413B</v>
      </c>
      <c r="B213" s="4">
        <v>4</v>
      </c>
      <c r="C213" s="3" t="s">
        <v>24</v>
      </c>
      <c r="D213" s="3" t="s">
        <v>193</v>
      </c>
      <c r="E213" s="3" t="s">
        <v>193</v>
      </c>
      <c r="F213" s="3" t="s">
        <v>193</v>
      </c>
      <c r="G213" s="3" t="s">
        <v>193</v>
      </c>
      <c r="H213" s="3" t="s">
        <v>193</v>
      </c>
      <c r="I213" s="3" t="s">
        <v>193</v>
      </c>
      <c r="J213" s="3" t="s">
        <v>193</v>
      </c>
      <c r="K213" s="3" t="s">
        <v>193</v>
      </c>
      <c r="L213" s="12" t="s">
        <v>330</v>
      </c>
      <c r="M213" s="4"/>
      <c r="N213" s="3" t="s">
        <v>22</v>
      </c>
      <c r="O213" s="16" t="s">
        <v>757</v>
      </c>
      <c r="P213" s="15"/>
      <c r="Q213" s="15"/>
      <c r="R213" s="4"/>
      <c r="S213" s="4" t="s">
        <v>1147</v>
      </c>
      <c r="T213" s="3" t="s">
        <v>331</v>
      </c>
      <c r="U213" s="4"/>
      <c r="V213" s="4"/>
      <c r="W213" s="3" t="s">
        <v>332</v>
      </c>
      <c r="X213" s="1" t="str">
        <f t="shared" si="7"/>
        <v>*/GoodsShipment[0]/GoodsShipmentItem[0]/Procedure/AdditionalProcedure[0]</v>
      </c>
    </row>
    <row r="214" spans="1:24" ht="12" customHeight="1" outlineLevel="5" x14ac:dyDescent="0.35">
      <c r="A214" s="2" t="str">
        <f t="shared" si="6"/>
        <v>CC413B</v>
      </c>
      <c r="B214" s="1">
        <v>5</v>
      </c>
      <c r="C214" s="1" t="s">
        <v>19</v>
      </c>
      <c r="D214" s="1" t="s">
        <v>25</v>
      </c>
      <c r="E214" s="2" t="s">
        <v>25</v>
      </c>
      <c r="F214" s="2" t="s">
        <v>25</v>
      </c>
      <c r="G214" s="2" t="s">
        <v>25</v>
      </c>
      <c r="H214" s="2" t="s">
        <v>25</v>
      </c>
      <c r="I214" s="2" t="s">
        <v>25</v>
      </c>
      <c r="J214" s="2" t="s">
        <v>25</v>
      </c>
      <c r="K214" s="2" t="s">
        <v>25</v>
      </c>
      <c r="L214" s="13" t="s">
        <v>56</v>
      </c>
      <c r="M214" s="7" t="s">
        <v>57</v>
      </c>
      <c r="N214" s="2" t="s">
        <v>27</v>
      </c>
      <c r="O214" s="7" t="s">
        <v>393</v>
      </c>
      <c r="P214" s="14"/>
      <c r="Q214" s="14"/>
      <c r="T214" s="2" t="s">
        <v>58</v>
      </c>
      <c r="W214" s="2" t="s">
        <v>59</v>
      </c>
      <c r="X214" s="1" t="str">
        <f t="shared" si="7"/>
        <v>*/GoodsShipment[0]/GoodsShipmentItem[0]/Procedure/AdditionalProcedure[0]/sequenceNumber</v>
      </c>
    </row>
    <row r="215" spans="1:24" ht="12" customHeight="1" outlineLevel="5" x14ac:dyDescent="0.35">
      <c r="A215" s="2" t="str">
        <f t="shared" si="6"/>
        <v>CC413B</v>
      </c>
      <c r="B215" s="1">
        <v>5</v>
      </c>
      <c r="C215" s="1" t="s">
        <v>19</v>
      </c>
      <c r="D215" s="1" t="s">
        <v>25</v>
      </c>
      <c r="E215" s="2" t="s">
        <v>25</v>
      </c>
      <c r="F215" s="2" t="s">
        <v>25</v>
      </c>
      <c r="G215" s="2" t="s">
        <v>25</v>
      </c>
      <c r="H215" s="2" t="s">
        <v>25</v>
      </c>
      <c r="I215" s="2" t="s">
        <v>25</v>
      </c>
      <c r="J215" s="2" t="s">
        <v>25</v>
      </c>
      <c r="K215" s="2" t="s">
        <v>25</v>
      </c>
      <c r="L215" s="13" t="s">
        <v>330</v>
      </c>
      <c r="M215" s="7" t="s">
        <v>333</v>
      </c>
      <c r="N215" s="2" t="s">
        <v>27</v>
      </c>
      <c r="O215" s="7" t="s">
        <v>477</v>
      </c>
      <c r="P215" s="14"/>
      <c r="Q215" s="7" t="s">
        <v>603</v>
      </c>
      <c r="S215" s="1" t="s">
        <v>1148</v>
      </c>
      <c r="T215" s="2" t="s">
        <v>334</v>
      </c>
      <c r="W215" s="2" t="s">
        <v>335</v>
      </c>
      <c r="X215" s="1" t="str">
        <f t="shared" si="7"/>
        <v>*/GoodsShipment[0]/GoodsShipmentItem[0]/Procedure/AdditionalProcedure[0]/additionalProcedure</v>
      </c>
    </row>
    <row r="216" spans="1:24" ht="12" customHeight="1" outlineLevel="5" x14ac:dyDescent="0.35">
      <c r="A216" s="2" t="str">
        <f t="shared" si="6"/>
        <v>CC413B</v>
      </c>
      <c r="B216" s="1">
        <v>5</v>
      </c>
      <c r="C216" s="1" t="s">
        <v>19</v>
      </c>
      <c r="D216" s="1" t="s">
        <v>30</v>
      </c>
      <c r="E216" s="2" t="s">
        <v>30</v>
      </c>
      <c r="F216" s="2" t="s">
        <v>30</v>
      </c>
      <c r="G216" s="2" t="s">
        <v>30</v>
      </c>
      <c r="H216" s="2" t="s">
        <v>30</v>
      </c>
      <c r="I216" s="2" t="s">
        <v>30</v>
      </c>
      <c r="J216" s="2" t="s">
        <v>30</v>
      </c>
      <c r="K216" s="2" t="s">
        <v>30</v>
      </c>
      <c r="L216" s="13" t="s">
        <v>142</v>
      </c>
      <c r="M216" s="7" t="s">
        <v>50</v>
      </c>
      <c r="N216" s="2" t="s">
        <v>396</v>
      </c>
      <c r="O216" s="7" t="s">
        <v>748</v>
      </c>
      <c r="P216" s="7" t="s">
        <v>493</v>
      </c>
      <c r="Q216" s="7" t="s">
        <v>416</v>
      </c>
      <c r="T216" s="2" t="s">
        <v>143</v>
      </c>
      <c r="W216" s="2" t="s">
        <v>52</v>
      </c>
      <c r="X216" s="1" t="str">
        <f t="shared" si="7"/>
        <v>*/GoodsShipment[0]/GoodsShipmentItem[0]/Procedure/AdditionalProcedure[0]/ccQualifier</v>
      </c>
    </row>
    <row r="217" spans="1:24" ht="12" customHeight="1" outlineLevel="3" x14ac:dyDescent="0.35">
      <c r="A217" s="3" t="str">
        <f t="shared" si="6"/>
        <v>CC413B</v>
      </c>
      <c r="B217" s="4">
        <v>3</v>
      </c>
      <c r="C217" s="3" t="s">
        <v>24</v>
      </c>
      <c r="D217" s="3" t="s">
        <v>193</v>
      </c>
      <c r="E217" s="3" t="s">
        <v>193</v>
      </c>
      <c r="F217" s="3" t="s">
        <v>193</v>
      </c>
      <c r="G217" s="3" t="s">
        <v>193</v>
      </c>
      <c r="H217" s="3" t="s">
        <v>193</v>
      </c>
      <c r="I217" s="3" t="s">
        <v>193</v>
      </c>
      <c r="J217" s="3" t="s">
        <v>193</v>
      </c>
      <c r="K217" s="3"/>
      <c r="L217" s="10" t="s">
        <v>194</v>
      </c>
      <c r="M217" s="4"/>
      <c r="N217" s="3" t="s">
        <v>22</v>
      </c>
      <c r="O217" s="16" t="s">
        <v>432</v>
      </c>
      <c r="P217" s="15"/>
      <c r="Q217" s="15"/>
      <c r="R217" s="4"/>
      <c r="S217" s="4" t="s">
        <v>1043</v>
      </c>
      <c r="T217" s="3" t="s">
        <v>195</v>
      </c>
      <c r="U217" s="4"/>
      <c r="V217" s="4"/>
      <c r="W217" s="3" t="s">
        <v>196</v>
      </c>
      <c r="X217" s="1" t="str">
        <f t="shared" si="7"/>
        <v>*/GoodsShipment[0]/GoodsShipmentItem[0]/AdditionalSupplyChainActor[0]</v>
      </c>
    </row>
    <row r="218" spans="1:24" ht="12" customHeight="1" outlineLevel="4" x14ac:dyDescent="0.35">
      <c r="A218" s="2" t="str">
        <f t="shared" si="6"/>
        <v>CC413B</v>
      </c>
      <c r="B218" s="1">
        <v>4</v>
      </c>
      <c r="C218" s="1" t="s">
        <v>19</v>
      </c>
      <c r="D218" s="1" t="s">
        <v>25</v>
      </c>
      <c r="E218" s="2" t="s">
        <v>25</v>
      </c>
      <c r="F218" s="2" t="s">
        <v>25</v>
      </c>
      <c r="G218" s="2" t="s">
        <v>25</v>
      </c>
      <c r="H218" s="2" t="s">
        <v>25</v>
      </c>
      <c r="I218" s="2" t="s">
        <v>25</v>
      </c>
      <c r="J218" s="2" t="s">
        <v>25</v>
      </c>
      <c r="K218" s="2"/>
      <c r="L218" s="11" t="s">
        <v>56</v>
      </c>
      <c r="M218" s="7" t="s">
        <v>57</v>
      </c>
      <c r="N218" s="2" t="s">
        <v>27</v>
      </c>
      <c r="O218" s="7" t="s">
        <v>393</v>
      </c>
      <c r="P218" s="14"/>
      <c r="Q218" s="14"/>
      <c r="T218" s="2" t="s">
        <v>58</v>
      </c>
      <c r="W218" s="2" t="s">
        <v>59</v>
      </c>
      <c r="X218" s="1" t="str">
        <f t="shared" si="7"/>
        <v>*/GoodsShipment[0]/GoodsShipmentItem[0]/AdditionalSupplyChainActor[0]/sequenceNumber</v>
      </c>
    </row>
    <row r="219" spans="1:24" ht="12" customHeight="1" outlineLevel="4" x14ac:dyDescent="0.35">
      <c r="A219" s="2" t="str">
        <f t="shared" si="6"/>
        <v>CC413B</v>
      </c>
      <c r="B219" s="1">
        <v>4</v>
      </c>
      <c r="C219" s="1" t="s">
        <v>19</v>
      </c>
      <c r="D219" s="1" t="s">
        <v>25</v>
      </c>
      <c r="E219" s="2" t="s">
        <v>25</v>
      </c>
      <c r="F219" s="2" t="s">
        <v>25</v>
      </c>
      <c r="G219" s="2" t="s">
        <v>25</v>
      </c>
      <c r="H219" s="2" t="s">
        <v>25</v>
      </c>
      <c r="I219" s="2" t="s">
        <v>25</v>
      </c>
      <c r="J219" s="2" t="s">
        <v>25</v>
      </c>
      <c r="K219" s="2"/>
      <c r="L219" s="11" t="s">
        <v>197</v>
      </c>
      <c r="M219" s="7" t="s">
        <v>198</v>
      </c>
      <c r="N219" s="2" t="s">
        <v>27</v>
      </c>
      <c r="O219" s="14"/>
      <c r="P219" s="14"/>
      <c r="Q219" s="7" t="s">
        <v>433</v>
      </c>
      <c r="S219" s="1" t="s">
        <v>1044</v>
      </c>
      <c r="T219" s="2" t="s">
        <v>199</v>
      </c>
      <c r="W219" s="2" t="s">
        <v>200</v>
      </c>
      <c r="X219" s="1" t="str">
        <f t="shared" si="7"/>
        <v>*/GoodsShipment[0]/GoodsShipmentItem[0]/AdditionalSupplyChainActor[0]/role</v>
      </c>
    </row>
    <row r="220" spans="1:24" ht="12" customHeight="1" outlineLevel="4" x14ac:dyDescent="0.35">
      <c r="A220" s="2" t="str">
        <f t="shared" si="6"/>
        <v>CC413B</v>
      </c>
      <c r="B220" s="1">
        <v>4</v>
      </c>
      <c r="C220" s="1" t="s">
        <v>19</v>
      </c>
      <c r="D220" s="1" t="s">
        <v>25</v>
      </c>
      <c r="E220" s="2" t="s">
        <v>25</v>
      </c>
      <c r="F220" s="2" t="s">
        <v>25</v>
      </c>
      <c r="G220" s="2" t="s">
        <v>25</v>
      </c>
      <c r="H220" s="2" t="s">
        <v>25</v>
      </c>
      <c r="I220" s="2" t="s">
        <v>25</v>
      </c>
      <c r="J220" s="2" t="s">
        <v>25</v>
      </c>
      <c r="K220" s="2"/>
      <c r="L220" s="11" t="s">
        <v>81</v>
      </c>
      <c r="M220" s="7" t="s">
        <v>68</v>
      </c>
      <c r="N220" s="2" t="s">
        <v>27</v>
      </c>
      <c r="O220" s="7" t="s">
        <v>434</v>
      </c>
      <c r="P220" s="14"/>
      <c r="Q220" s="14"/>
      <c r="S220" s="1" t="s">
        <v>1045</v>
      </c>
      <c r="T220" s="2" t="s">
        <v>82</v>
      </c>
      <c r="W220" s="2" t="s">
        <v>70</v>
      </c>
      <c r="X220" s="1" t="str">
        <f t="shared" si="7"/>
        <v>*/GoodsShipment[0]/GoodsShipmentItem[0]/AdditionalSupplyChainActor[0]/identificationNumber</v>
      </c>
    </row>
    <row r="221" spans="1:24" ht="12" customHeight="1" outlineLevel="3" x14ac:dyDescent="0.35">
      <c r="A221" s="3" t="str">
        <f t="shared" si="6"/>
        <v>CC413B</v>
      </c>
      <c r="B221" s="4">
        <v>3</v>
      </c>
      <c r="C221" s="3" t="s">
        <v>24</v>
      </c>
      <c r="D221" s="3" t="s">
        <v>30</v>
      </c>
      <c r="E221" s="3" t="s">
        <v>30</v>
      </c>
      <c r="F221" s="3"/>
      <c r="G221" s="3"/>
      <c r="H221" s="3"/>
      <c r="I221" s="3"/>
      <c r="J221" s="3"/>
      <c r="K221" s="3"/>
      <c r="L221" s="10" t="s">
        <v>201</v>
      </c>
      <c r="M221" s="4"/>
      <c r="N221" s="3" t="s">
        <v>396</v>
      </c>
      <c r="O221" s="16" t="s">
        <v>435</v>
      </c>
      <c r="P221" s="16" t="s">
        <v>436</v>
      </c>
      <c r="Q221" s="15"/>
      <c r="R221" s="4"/>
      <c r="S221" s="4" t="s">
        <v>1046</v>
      </c>
      <c r="T221" s="3" t="s">
        <v>201</v>
      </c>
      <c r="U221" s="4"/>
      <c r="V221" s="4"/>
      <c r="W221" s="3" t="s">
        <v>202</v>
      </c>
      <c r="X221" s="1" t="str">
        <f t="shared" si="7"/>
        <v>*/GoodsShipment[0]/GoodsShipmentItem[0]/Buyer</v>
      </c>
    </row>
    <row r="222" spans="1:24" ht="12" customHeight="1" outlineLevel="4" x14ac:dyDescent="0.35">
      <c r="A222" s="2" t="str">
        <f t="shared" si="6"/>
        <v>CC413B</v>
      </c>
      <c r="B222" s="1">
        <v>4</v>
      </c>
      <c r="C222" s="1" t="s">
        <v>19</v>
      </c>
      <c r="D222" s="1" t="s">
        <v>30</v>
      </c>
      <c r="E222" s="2" t="s">
        <v>30</v>
      </c>
      <c r="F222" s="2"/>
      <c r="G222" s="2"/>
      <c r="H222" s="2"/>
      <c r="I222" s="2"/>
      <c r="J222" s="2"/>
      <c r="K222" s="2"/>
      <c r="L222" s="11" t="s">
        <v>81</v>
      </c>
      <c r="M222" s="7" t="s">
        <v>68</v>
      </c>
      <c r="N222" s="2" t="s">
        <v>22</v>
      </c>
      <c r="O222" s="7" t="s">
        <v>434</v>
      </c>
      <c r="P222" s="14"/>
      <c r="Q222" s="14"/>
      <c r="S222" s="1" t="s">
        <v>1047</v>
      </c>
      <c r="T222" s="2" t="s">
        <v>82</v>
      </c>
      <c r="W222" s="2" t="s">
        <v>70</v>
      </c>
      <c r="X222" s="1" t="str">
        <f t="shared" si="7"/>
        <v>*/GoodsShipment[0]/GoodsShipmentItem[0]/Buyer/identificationNumber</v>
      </c>
    </row>
    <row r="223" spans="1:24" ht="12" customHeight="1" outlineLevel="4" x14ac:dyDescent="0.35">
      <c r="A223" s="2" t="str">
        <f t="shared" si="6"/>
        <v>CC413B</v>
      </c>
      <c r="B223" s="1">
        <v>4</v>
      </c>
      <c r="C223" s="1" t="s">
        <v>19</v>
      </c>
      <c r="D223" s="1" t="s">
        <v>30</v>
      </c>
      <c r="E223" s="2" t="s">
        <v>30</v>
      </c>
      <c r="F223" s="2"/>
      <c r="G223" s="2"/>
      <c r="H223" s="2"/>
      <c r="I223" s="2"/>
      <c r="J223" s="2"/>
      <c r="K223" s="2"/>
      <c r="L223" s="11" t="s">
        <v>4</v>
      </c>
      <c r="M223" s="7" t="s">
        <v>83</v>
      </c>
      <c r="N223" s="2" t="s">
        <v>396</v>
      </c>
      <c r="O223" s="14"/>
      <c r="P223" s="7" t="s">
        <v>401</v>
      </c>
      <c r="Q223" s="14"/>
      <c r="S223" s="1" t="s">
        <v>1048</v>
      </c>
      <c r="T223" s="2" t="s">
        <v>84</v>
      </c>
      <c r="W223" s="2" t="s">
        <v>85</v>
      </c>
      <c r="X223" s="1" t="str">
        <f t="shared" si="7"/>
        <v>*/GoodsShipment[0]/GoodsShipmentItem[0]/Buyer/name</v>
      </c>
    </row>
    <row r="224" spans="1:24" ht="12" customHeight="1" outlineLevel="4" x14ac:dyDescent="0.35">
      <c r="A224" s="3" t="str">
        <f t="shared" si="6"/>
        <v>CC413B</v>
      </c>
      <c r="B224" s="4">
        <v>4</v>
      </c>
      <c r="C224" s="3" t="s">
        <v>24</v>
      </c>
      <c r="D224" s="3" t="s">
        <v>30</v>
      </c>
      <c r="E224" s="3" t="s">
        <v>30</v>
      </c>
      <c r="F224" s="3"/>
      <c r="G224" s="3"/>
      <c r="H224" s="3"/>
      <c r="I224" s="3"/>
      <c r="J224" s="3"/>
      <c r="K224" s="3"/>
      <c r="L224" s="12" t="s">
        <v>86</v>
      </c>
      <c r="M224" s="4"/>
      <c r="N224" s="3" t="s">
        <v>396</v>
      </c>
      <c r="O224" s="15"/>
      <c r="P224" s="16" t="s">
        <v>401</v>
      </c>
      <c r="Q224" s="15"/>
      <c r="R224" s="4"/>
      <c r="S224" s="4" t="s">
        <v>1049</v>
      </c>
      <c r="T224" s="3" t="s">
        <v>86</v>
      </c>
      <c r="U224" s="4"/>
      <c r="V224" s="4"/>
      <c r="W224" s="3" t="s">
        <v>87</v>
      </c>
      <c r="X224" s="1" t="str">
        <f t="shared" si="7"/>
        <v>*/GoodsShipment[0]/GoodsShipmentItem[0]/Buyer/Address</v>
      </c>
    </row>
    <row r="225" spans="1:24" ht="12" customHeight="1" outlineLevel="5" x14ac:dyDescent="0.35">
      <c r="A225" s="2" t="str">
        <f t="shared" si="6"/>
        <v>CC413B</v>
      </c>
      <c r="B225" s="1">
        <v>5</v>
      </c>
      <c r="C225" s="1" t="s">
        <v>19</v>
      </c>
      <c r="D225" s="1" t="s">
        <v>25</v>
      </c>
      <c r="E225" s="2" t="s">
        <v>25</v>
      </c>
      <c r="F225" s="2"/>
      <c r="G225" s="2"/>
      <c r="H225" s="2"/>
      <c r="I225" s="2"/>
      <c r="J225" s="2"/>
      <c r="K225" s="2"/>
      <c r="L225" s="13" t="s">
        <v>88</v>
      </c>
      <c r="M225" s="7" t="s">
        <v>83</v>
      </c>
      <c r="N225" s="2" t="s">
        <v>27</v>
      </c>
      <c r="O225" s="14"/>
      <c r="P225" s="14"/>
      <c r="Q225" s="14"/>
      <c r="S225" s="1" t="s">
        <v>1050</v>
      </c>
      <c r="T225" s="2" t="s">
        <v>89</v>
      </c>
      <c r="W225" s="2" t="s">
        <v>90</v>
      </c>
      <c r="X225" s="1" t="str">
        <f t="shared" si="7"/>
        <v>*/GoodsShipment[0]/GoodsShipmentItem[0]/Buyer/Address/streetAndNumber</v>
      </c>
    </row>
    <row r="226" spans="1:24" ht="12" customHeight="1" outlineLevel="5" x14ac:dyDescent="0.35">
      <c r="A226" s="2" t="str">
        <f t="shared" si="6"/>
        <v>CC413B</v>
      </c>
      <c r="B226" s="1">
        <v>5</v>
      </c>
      <c r="C226" s="1" t="s">
        <v>19</v>
      </c>
      <c r="D226" s="1" t="s">
        <v>30</v>
      </c>
      <c r="E226" s="2" t="s">
        <v>30</v>
      </c>
      <c r="F226" s="2"/>
      <c r="G226" s="2"/>
      <c r="H226" s="2"/>
      <c r="I226" s="2"/>
      <c r="J226" s="2"/>
      <c r="K226" s="2"/>
      <c r="L226" s="13" t="s">
        <v>91</v>
      </c>
      <c r="M226" s="7" t="s">
        <v>92</v>
      </c>
      <c r="N226" s="2" t="s">
        <v>396</v>
      </c>
      <c r="O226" s="14"/>
      <c r="P226" s="7" t="s">
        <v>402</v>
      </c>
      <c r="Q226" s="14"/>
      <c r="S226" s="1" t="s">
        <v>1051</v>
      </c>
      <c r="T226" s="2" t="s">
        <v>93</v>
      </c>
      <c r="W226" s="2" t="s">
        <v>94</v>
      </c>
      <c r="X226" s="1" t="str">
        <f t="shared" si="7"/>
        <v>*/GoodsShipment[0]/GoodsShipmentItem[0]/Buyer/Address/postcode</v>
      </c>
    </row>
    <row r="227" spans="1:24" ht="12" customHeight="1" outlineLevel="5" x14ac:dyDescent="0.35">
      <c r="A227" s="2" t="str">
        <f t="shared" ref="A227:A244" si="8">$L$2</f>
        <v>CC413B</v>
      </c>
      <c r="B227" s="1">
        <v>5</v>
      </c>
      <c r="C227" s="1" t="s">
        <v>19</v>
      </c>
      <c r="D227" s="1" t="s">
        <v>25</v>
      </c>
      <c r="E227" s="2" t="s">
        <v>25</v>
      </c>
      <c r="F227" s="2"/>
      <c r="G227" s="2"/>
      <c r="H227" s="2"/>
      <c r="I227" s="2"/>
      <c r="J227" s="2"/>
      <c r="K227" s="2"/>
      <c r="L227" s="13" t="s">
        <v>95</v>
      </c>
      <c r="M227" s="7" t="s">
        <v>96</v>
      </c>
      <c r="N227" s="2" t="s">
        <v>27</v>
      </c>
      <c r="O227" s="14"/>
      <c r="P227" s="14"/>
      <c r="Q227" s="14"/>
      <c r="S227" s="1" t="s">
        <v>1052</v>
      </c>
      <c r="T227" s="2" t="s">
        <v>97</v>
      </c>
      <c r="W227" s="2" t="s">
        <v>98</v>
      </c>
      <c r="X227" s="1" t="str">
        <f t="shared" si="7"/>
        <v>*/GoodsShipment[0]/GoodsShipmentItem[0]/Buyer/Address/city</v>
      </c>
    </row>
    <row r="228" spans="1:24" ht="12" customHeight="1" outlineLevel="5" x14ac:dyDescent="0.35">
      <c r="A228" s="2" t="str">
        <f t="shared" si="8"/>
        <v>CC413B</v>
      </c>
      <c r="B228" s="1">
        <v>5</v>
      </c>
      <c r="C228" s="1" t="s">
        <v>19</v>
      </c>
      <c r="D228" s="1" t="s">
        <v>25</v>
      </c>
      <c r="E228" s="2" t="s">
        <v>25</v>
      </c>
      <c r="F228" s="2"/>
      <c r="G228" s="2"/>
      <c r="H228" s="2"/>
      <c r="I228" s="2"/>
      <c r="J228" s="2"/>
      <c r="K228" s="2"/>
      <c r="L228" s="13" t="s">
        <v>99</v>
      </c>
      <c r="M228" s="7" t="s">
        <v>50</v>
      </c>
      <c r="N228" s="2" t="s">
        <v>27</v>
      </c>
      <c r="O228" s="14"/>
      <c r="P228" s="14"/>
      <c r="Q228" s="7" t="s">
        <v>403</v>
      </c>
      <c r="S228" s="1" t="s">
        <v>1053</v>
      </c>
      <c r="T228" s="2" t="s">
        <v>100</v>
      </c>
      <c r="W228" s="2" t="s">
        <v>52</v>
      </c>
      <c r="X228" s="1" t="str">
        <f t="shared" si="7"/>
        <v>*/GoodsShipment[0]/GoodsShipmentItem[0]/Buyer/Address/country</v>
      </c>
    </row>
    <row r="229" spans="1:24" ht="12" customHeight="1" outlineLevel="3" x14ac:dyDescent="0.35">
      <c r="A229" s="3" t="str">
        <f t="shared" si="8"/>
        <v>CC413B</v>
      </c>
      <c r="B229" s="4">
        <v>3</v>
      </c>
      <c r="C229" s="3" t="s">
        <v>24</v>
      </c>
      <c r="D229" s="3" t="s">
        <v>30</v>
      </c>
      <c r="E229" s="3" t="s">
        <v>30</v>
      </c>
      <c r="F229" s="3"/>
      <c r="G229" s="3"/>
      <c r="H229" s="3"/>
      <c r="I229" s="3"/>
      <c r="J229" s="3"/>
      <c r="K229" s="3"/>
      <c r="L229" s="10" t="s">
        <v>203</v>
      </c>
      <c r="M229" s="4"/>
      <c r="N229" s="3" t="s">
        <v>396</v>
      </c>
      <c r="O229" s="16" t="s">
        <v>437</v>
      </c>
      <c r="P229" s="16" t="s">
        <v>436</v>
      </c>
      <c r="Q229" s="15"/>
      <c r="R229" s="4"/>
      <c r="S229" s="4" t="s">
        <v>1054</v>
      </c>
      <c r="T229" s="3" t="s">
        <v>203</v>
      </c>
      <c r="U229" s="4"/>
      <c r="V229" s="4"/>
      <c r="W229" s="3" t="s">
        <v>204</v>
      </c>
      <c r="X229" s="1" t="str">
        <f t="shared" si="7"/>
        <v>*/GoodsShipment[0]/GoodsShipmentItem[0]/Seller</v>
      </c>
    </row>
    <row r="230" spans="1:24" ht="12" customHeight="1" outlineLevel="4" x14ac:dyDescent="0.35">
      <c r="A230" s="2" t="str">
        <f t="shared" si="8"/>
        <v>CC413B</v>
      </c>
      <c r="B230" s="1">
        <v>4</v>
      </c>
      <c r="C230" s="1" t="s">
        <v>19</v>
      </c>
      <c r="D230" s="1" t="s">
        <v>30</v>
      </c>
      <c r="E230" s="2" t="s">
        <v>30</v>
      </c>
      <c r="F230" s="2"/>
      <c r="G230" s="2"/>
      <c r="H230" s="2"/>
      <c r="I230" s="2"/>
      <c r="J230" s="2"/>
      <c r="K230" s="2"/>
      <c r="L230" s="11" t="s">
        <v>81</v>
      </c>
      <c r="M230" s="7" t="s">
        <v>68</v>
      </c>
      <c r="N230" s="2" t="s">
        <v>22</v>
      </c>
      <c r="O230" s="7" t="s">
        <v>434</v>
      </c>
      <c r="P230" s="14"/>
      <c r="Q230" s="14"/>
      <c r="S230" s="1" t="s">
        <v>1055</v>
      </c>
      <c r="T230" s="2" t="s">
        <v>82</v>
      </c>
      <c r="W230" s="2" t="s">
        <v>70</v>
      </c>
      <c r="X230" s="1" t="str">
        <f t="shared" si="7"/>
        <v>*/GoodsShipment[0]/GoodsShipmentItem[0]/Seller/identificationNumber</v>
      </c>
    </row>
    <row r="231" spans="1:24" ht="12" customHeight="1" outlineLevel="4" x14ac:dyDescent="0.35">
      <c r="A231" s="2" t="str">
        <f t="shared" si="8"/>
        <v>CC413B</v>
      </c>
      <c r="B231" s="1">
        <v>4</v>
      </c>
      <c r="C231" s="1" t="s">
        <v>19</v>
      </c>
      <c r="D231" s="1" t="s">
        <v>30</v>
      </c>
      <c r="E231" s="2" t="s">
        <v>30</v>
      </c>
      <c r="F231" s="2"/>
      <c r="G231" s="2"/>
      <c r="H231" s="2"/>
      <c r="I231" s="2"/>
      <c r="J231" s="2"/>
      <c r="K231" s="2"/>
      <c r="L231" s="11" t="s">
        <v>4</v>
      </c>
      <c r="M231" s="7" t="s">
        <v>83</v>
      </c>
      <c r="N231" s="2" t="s">
        <v>396</v>
      </c>
      <c r="O231" s="14"/>
      <c r="P231" s="7" t="s">
        <v>401</v>
      </c>
      <c r="Q231" s="14"/>
      <c r="S231" s="1" t="s">
        <v>1056</v>
      </c>
      <c r="T231" s="2" t="s">
        <v>84</v>
      </c>
      <c r="W231" s="2" t="s">
        <v>85</v>
      </c>
      <c r="X231" s="1" t="str">
        <f t="shared" si="7"/>
        <v>*/GoodsShipment[0]/GoodsShipmentItem[0]/Seller/name</v>
      </c>
    </row>
    <row r="232" spans="1:24" ht="12" customHeight="1" outlineLevel="4" x14ac:dyDescent="0.35">
      <c r="A232" s="3" t="str">
        <f t="shared" si="8"/>
        <v>CC413B</v>
      </c>
      <c r="B232" s="4">
        <v>4</v>
      </c>
      <c r="C232" s="3" t="s">
        <v>24</v>
      </c>
      <c r="D232" s="3" t="s">
        <v>30</v>
      </c>
      <c r="E232" s="3" t="s">
        <v>30</v>
      </c>
      <c r="F232" s="3"/>
      <c r="G232" s="3"/>
      <c r="H232" s="3"/>
      <c r="I232" s="3"/>
      <c r="J232" s="3"/>
      <c r="K232" s="3"/>
      <c r="L232" s="12" t="s">
        <v>86</v>
      </c>
      <c r="M232" s="4"/>
      <c r="N232" s="3" t="s">
        <v>396</v>
      </c>
      <c r="O232" s="15"/>
      <c r="P232" s="16" t="s">
        <v>401</v>
      </c>
      <c r="Q232" s="15"/>
      <c r="R232" s="4"/>
      <c r="S232" s="4" t="s">
        <v>1057</v>
      </c>
      <c r="T232" s="3" t="s">
        <v>86</v>
      </c>
      <c r="U232" s="4"/>
      <c r="V232" s="4"/>
      <c r="W232" s="3" t="s">
        <v>87</v>
      </c>
      <c r="X232" s="1" t="str">
        <f t="shared" si="7"/>
        <v>*/GoodsShipment[0]/GoodsShipmentItem[0]/Seller/Address</v>
      </c>
    </row>
    <row r="233" spans="1:24" ht="12" customHeight="1" outlineLevel="5" x14ac:dyDescent="0.35">
      <c r="A233" s="2" t="str">
        <f t="shared" si="8"/>
        <v>CC413B</v>
      </c>
      <c r="B233" s="1">
        <v>5</v>
      </c>
      <c r="C233" s="1" t="s">
        <v>19</v>
      </c>
      <c r="D233" s="1" t="s">
        <v>25</v>
      </c>
      <c r="E233" s="2" t="s">
        <v>25</v>
      </c>
      <c r="F233" s="2"/>
      <c r="G233" s="2"/>
      <c r="H233" s="2"/>
      <c r="I233" s="2"/>
      <c r="J233" s="2"/>
      <c r="K233" s="2"/>
      <c r="L233" s="13" t="s">
        <v>88</v>
      </c>
      <c r="M233" s="7" t="s">
        <v>83</v>
      </c>
      <c r="N233" s="2" t="s">
        <v>27</v>
      </c>
      <c r="O233" s="14"/>
      <c r="P233" s="14"/>
      <c r="Q233" s="14"/>
      <c r="S233" s="1" t="s">
        <v>1058</v>
      </c>
      <c r="T233" s="2" t="s">
        <v>89</v>
      </c>
      <c r="W233" s="2" t="s">
        <v>90</v>
      </c>
      <c r="X233" s="1" t="str">
        <f t="shared" si="7"/>
        <v>*/GoodsShipment[0]/GoodsShipmentItem[0]/Seller/Address/streetAndNumber</v>
      </c>
    </row>
    <row r="234" spans="1:24" ht="12" customHeight="1" outlineLevel="5" x14ac:dyDescent="0.35">
      <c r="A234" s="2" t="str">
        <f t="shared" si="8"/>
        <v>CC413B</v>
      </c>
      <c r="B234" s="1">
        <v>5</v>
      </c>
      <c r="C234" s="1" t="s">
        <v>19</v>
      </c>
      <c r="D234" s="1" t="s">
        <v>30</v>
      </c>
      <c r="E234" s="2" t="s">
        <v>30</v>
      </c>
      <c r="F234" s="2"/>
      <c r="G234" s="2"/>
      <c r="H234" s="2"/>
      <c r="I234" s="2"/>
      <c r="J234" s="2"/>
      <c r="K234" s="2"/>
      <c r="L234" s="13" t="s">
        <v>91</v>
      </c>
      <c r="M234" s="7" t="s">
        <v>92</v>
      </c>
      <c r="N234" s="2" t="s">
        <v>396</v>
      </c>
      <c r="O234" s="14"/>
      <c r="P234" s="7" t="s">
        <v>402</v>
      </c>
      <c r="Q234" s="14"/>
      <c r="S234" s="1" t="s">
        <v>1059</v>
      </c>
      <c r="T234" s="2" t="s">
        <v>93</v>
      </c>
      <c r="W234" s="2" t="s">
        <v>94</v>
      </c>
      <c r="X234" s="1" t="str">
        <f t="shared" si="7"/>
        <v>*/GoodsShipment[0]/GoodsShipmentItem[0]/Seller/Address/postcode</v>
      </c>
    </row>
    <row r="235" spans="1:24" ht="12" customHeight="1" outlineLevel="5" x14ac:dyDescent="0.35">
      <c r="A235" s="2" t="str">
        <f t="shared" si="8"/>
        <v>CC413B</v>
      </c>
      <c r="B235" s="1">
        <v>5</v>
      </c>
      <c r="C235" s="1" t="s">
        <v>19</v>
      </c>
      <c r="D235" s="1" t="s">
        <v>25</v>
      </c>
      <c r="E235" s="2" t="s">
        <v>25</v>
      </c>
      <c r="F235" s="2"/>
      <c r="G235" s="2"/>
      <c r="H235" s="2"/>
      <c r="I235" s="2"/>
      <c r="J235" s="2"/>
      <c r="K235" s="2"/>
      <c r="L235" s="13" t="s">
        <v>95</v>
      </c>
      <c r="M235" s="7" t="s">
        <v>96</v>
      </c>
      <c r="N235" s="2" t="s">
        <v>27</v>
      </c>
      <c r="O235" s="14"/>
      <c r="P235" s="14"/>
      <c r="Q235" s="14"/>
      <c r="S235" s="1" t="s">
        <v>1060</v>
      </c>
      <c r="T235" s="2" t="s">
        <v>97</v>
      </c>
      <c r="W235" s="2" t="s">
        <v>98</v>
      </c>
      <c r="X235" s="1" t="str">
        <f t="shared" si="7"/>
        <v>*/GoodsShipment[0]/GoodsShipmentItem[0]/Seller/Address/city</v>
      </c>
    </row>
    <row r="236" spans="1:24" ht="12" customHeight="1" outlineLevel="5" x14ac:dyDescent="0.35">
      <c r="A236" s="2" t="str">
        <f t="shared" si="8"/>
        <v>CC413B</v>
      </c>
      <c r="B236" s="1">
        <v>5</v>
      </c>
      <c r="C236" s="1" t="s">
        <v>19</v>
      </c>
      <c r="D236" s="1" t="s">
        <v>25</v>
      </c>
      <c r="E236" s="2" t="s">
        <v>25</v>
      </c>
      <c r="F236" s="2"/>
      <c r="G236" s="2"/>
      <c r="H236" s="2"/>
      <c r="I236" s="2"/>
      <c r="J236" s="2"/>
      <c r="K236" s="2"/>
      <c r="L236" s="13" t="s">
        <v>99</v>
      </c>
      <c r="M236" s="7" t="s">
        <v>50</v>
      </c>
      <c r="N236" s="2" t="s">
        <v>27</v>
      </c>
      <c r="O236" s="14"/>
      <c r="P236" s="14"/>
      <c r="Q236" s="7" t="s">
        <v>403</v>
      </c>
      <c r="S236" s="1" t="s">
        <v>1061</v>
      </c>
      <c r="T236" s="2" t="s">
        <v>100</v>
      </c>
      <c r="W236" s="2" t="s">
        <v>52</v>
      </c>
      <c r="X236" s="1" t="str">
        <f t="shared" si="7"/>
        <v>*/GoodsShipment[0]/GoodsShipmentItem[0]/Seller/Address/country</v>
      </c>
    </row>
    <row r="237" spans="1:24" ht="12" customHeight="1" outlineLevel="3" x14ac:dyDescent="0.35">
      <c r="A237" s="3" t="str">
        <f t="shared" si="8"/>
        <v>CC413B</v>
      </c>
      <c r="B237" s="4">
        <v>3</v>
      </c>
      <c r="C237" s="3" t="s">
        <v>24</v>
      </c>
      <c r="D237" s="3" t="s">
        <v>30</v>
      </c>
      <c r="E237" s="3" t="s">
        <v>30</v>
      </c>
      <c r="F237" s="3"/>
      <c r="G237" s="3" t="s">
        <v>30</v>
      </c>
      <c r="H237" s="3" t="s">
        <v>30</v>
      </c>
      <c r="I237" s="3" t="s">
        <v>30</v>
      </c>
      <c r="J237" s="3" t="s">
        <v>30</v>
      </c>
      <c r="K237" s="3"/>
      <c r="L237" s="10" t="s">
        <v>205</v>
      </c>
      <c r="M237" s="4"/>
      <c r="N237" s="3" t="s">
        <v>396</v>
      </c>
      <c r="O237" s="16" t="s">
        <v>439</v>
      </c>
      <c r="P237" s="16" t="s">
        <v>438</v>
      </c>
      <c r="Q237" s="15"/>
      <c r="R237" s="4"/>
      <c r="S237" s="4" t="s">
        <v>1062</v>
      </c>
      <c r="T237" s="3" t="s">
        <v>205</v>
      </c>
      <c r="U237" s="4"/>
      <c r="V237" s="4"/>
      <c r="W237" s="3" t="s">
        <v>206</v>
      </c>
      <c r="X237" s="1" t="str">
        <f t="shared" si="7"/>
        <v>*/GoodsShipment[0]/GoodsShipmentItem[0]/Exporter</v>
      </c>
    </row>
    <row r="238" spans="1:24" ht="12" customHeight="1" outlineLevel="4" x14ac:dyDescent="0.35">
      <c r="A238" s="2" t="str">
        <f t="shared" si="8"/>
        <v>CC413B</v>
      </c>
      <c r="B238" s="1">
        <v>4</v>
      </c>
      <c r="C238" s="1" t="s">
        <v>19</v>
      </c>
      <c r="D238" s="1" t="s">
        <v>30</v>
      </c>
      <c r="E238" s="2" t="s">
        <v>30</v>
      </c>
      <c r="F238" s="2"/>
      <c r="G238" s="2" t="s">
        <v>30</v>
      </c>
      <c r="H238" s="2" t="s">
        <v>30</v>
      </c>
      <c r="I238" s="2" t="s">
        <v>30</v>
      </c>
      <c r="J238" s="2" t="s">
        <v>30</v>
      </c>
      <c r="K238" s="2"/>
      <c r="L238" s="11" t="s">
        <v>81</v>
      </c>
      <c r="M238" s="7" t="s">
        <v>68</v>
      </c>
      <c r="N238" s="2" t="s">
        <v>22</v>
      </c>
      <c r="O238" s="7" t="s">
        <v>434</v>
      </c>
      <c r="P238" s="14"/>
      <c r="Q238" s="14"/>
      <c r="S238" s="1" t="s">
        <v>1063</v>
      </c>
      <c r="T238" s="2" t="s">
        <v>82</v>
      </c>
      <c r="W238" s="2" t="s">
        <v>70</v>
      </c>
      <c r="X238" s="1" t="str">
        <f t="shared" si="7"/>
        <v>*/GoodsShipment[0]/GoodsShipmentItem[0]/Exporter/identificationNumber</v>
      </c>
    </row>
    <row r="239" spans="1:24" ht="12" customHeight="1" outlineLevel="4" x14ac:dyDescent="0.35">
      <c r="A239" s="2" t="str">
        <f t="shared" si="8"/>
        <v>CC413B</v>
      </c>
      <c r="B239" s="1">
        <v>4</v>
      </c>
      <c r="C239" s="1" t="s">
        <v>19</v>
      </c>
      <c r="D239" s="1" t="s">
        <v>30</v>
      </c>
      <c r="E239" s="2" t="s">
        <v>30</v>
      </c>
      <c r="F239" s="2"/>
      <c r="G239" s="2" t="s">
        <v>30</v>
      </c>
      <c r="H239" s="2" t="s">
        <v>30</v>
      </c>
      <c r="I239" s="2" t="s">
        <v>30</v>
      </c>
      <c r="J239" s="2" t="s">
        <v>30</v>
      </c>
      <c r="K239" s="2"/>
      <c r="L239" s="11" t="s">
        <v>4</v>
      </c>
      <c r="M239" s="7" t="s">
        <v>83</v>
      </c>
      <c r="N239" s="2" t="s">
        <v>396</v>
      </c>
      <c r="O239" s="14"/>
      <c r="P239" s="7" t="s">
        <v>401</v>
      </c>
      <c r="Q239" s="14"/>
      <c r="S239" s="1" t="s">
        <v>1064</v>
      </c>
      <c r="T239" s="2" t="s">
        <v>84</v>
      </c>
      <c r="W239" s="2" t="s">
        <v>85</v>
      </c>
      <c r="X239" s="1" t="str">
        <f t="shared" si="7"/>
        <v>*/GoodsShipment[0]/GoodsShipmentItem[0]/Exporter/name</v>
      </c>
    </row>
    <row r="240" spans="1:24" ht="12" customHeight="1" outlineLevel="4" x14ac:dyDescent="0.35">
      <c r="A240" s="3" t="str">
        <f t="shared" si="8"/>
        <v>CC413B</v>
      </c>
      <c r="B240" s="4">
        <v>4</v>
      </c>
      <c r="C240" s="3" t="s">
        <v>24</v>
      </c>
      <c r="D240" s="3" t="s">
        <v>30</v>
      </c>
      <c r="E240" s="3" t="s">
        <v>30</v>
      </c>
      <c r="F240" s="3"/>
      <c r="G240" s="3" t="s">
        <v>30</v>
      </c>
      <c r="H240" s="3" t="s">
        <v>30</v>
      </c>
      <c r="I240" s="3" t="s">
        <v>30</v>
      </c>
      <c r="J240" s="3" t="s">
        <v>30</v>
      </c>
      <c r="K240" s="3"/>
      <c r="L240" s="12" t="s">
        <v>86</v>
      </c>
      <c r="M240" s="4"/>
      <c r="N240" s="3" t="s">
        <v>396</v>
      </c>
      <c r="O240" s="15"/>
      <c r="P240" s="16" t="s">
        <v>401</v>
      </c>
      <c r="Q240" s="15"/>
      <c r="R240" s="4"/>
      <c r="S240" s="4" t="s">
        <v>1065</v>
      </c>
      <c r="T240" s="3" t="s">
        <v>86</v>
      </c>
      <c r="U240" s="4"/>
      <c r="V240" s="4"/>
      <c r="W240" s="3" t="s">
        <v>87</v>
      </c>
      <c r="X240" s="1" t="str">
        <f t="shared" si="7"/>
        <v>*/GoodsShipment[0]/GoodsShipmentItem[0]/Exporter/Address</v>
      </c>
    </row>
    <row r="241" spans="1:24" ht="12" customHeight="1" outlineLevel="5" x14ac:dyDescent="0.35">
      <c r="A241" s="2" t="str">
        <f t="shared" si="8"/>
        <v>CC413B</v>
      </c>
      <c r="B241" s="1">
        <v>5</v>
      </c>
      <c r="C241" s="1" t="s">
        <v>19</v>
      </c>
      <c r="D241" s="1" t="s">
        <v>25</v>
      </c>
      <c r="E241" s="2" t="s">
        <v>25</v>
      </c>
      <c r="F241" s="2"/>
      <c r="G241" s="2" t="s">
        <v>25</v>
      </c>
      <c r="H241" s="2" t="s">
        <v>25</v>
      </c>
      <c r="I241" s="2" t="s">
        <v>25</v>
      </c>
      <c r="J241" s="2" t="s">
        <v>25</v>
      </c>
      <c r="K241" s="2"/>
      <c r="L241" s="13" t="s">
        <v>88</v>
      </c>
      <c r="M241" s="7" t="s">
        <v>83</v>
      </c>
      <c r="N241" s="2" t="s">
        <v>27</v>
      </c>
      <c r="O241" s="14"/>
      <c r="P241" s="14"/>
      <c r="Q241" s="14"/>
      <c r="S241" s="1" t="s">
        <v>1066</v>
      </c>
      <c r="T241" s="2" t="s">
        <v>89</v>
      </c>
      <c r="W241" s="2" t="s">
        <v>90</v>
      </c>
      <c r="X241" s="1" t="str">
        <f t="shared" si="7"/>
        <v>*/GoodsShipment[0]/GoodsShipmentItem[0]/Exporter/Address/streetAndNumber</v>
      </c>
    </row>
    <row r="242" spans="1:24" ht="12" customHeight="1" outlineLevel="5" x14ac:dyDescent="0.35">
      <c r="A242" s="2" t="str">
        <f t="shared" si="8"/>
        <v>CC413B</v>
      </c>
      <c r="B242" s="1">
        <v>5</v>
      </c>
      <c r="C242" s="1" t="s">
        <v>19</v>
      </c>
      <c r="D242" s="1" t="s">
        <v>30</v>
      </c>
      <c r="E242" s="2" t="s">
        <v>30</v>
      </c>
      <c r="F242" s="2"/>
      <c r="G242" s="2" t="s">
        <v>30</v>
      </c>
      <c r="H242" s="2" t="s">
        <v>30</v>
      </c>
      <c r="I242" s="2" t="s">
        <v>30</v>
      </c>
      <c r="J242" s="2" t="s">
        <v>30</v>
      </c>
      <c r="K242" s="2"/>
      <c r="L242" s="13" t="s">
        <v>91</v>
      </c>
      <c r="M242" s="7" t="s">
        <v>92</v>
      </c>
      <c r="N242" s="2" t="s">
        <v>396</v>
      </c>
      <c r="O242" s="14"/>
      <c r="P242" s="7" t="s">
        <v>402</v>
      </c>
      <c r="Q242" s="14"/>
      <c r="S242" s="1" t="s">
        <v>1067</v>
      </c>
      <c r="T242" s="2" t="s">
        <v>93</v>
      </c>
      <c r="W242" s="2" t="s">
        <v>94</v>
      </c>
      <c r="X242" s="1" t="str">
        <f t="shared" si="7"/>
        <v>*/GoodsShipment[0]/GoodsShipmentItem[0]/Exporter/Address/postcode</v>
      </c>
    </row>
    <row r="243" spans="1:24" ht="12" customHeight="1" outlineLevel="5" x14ac:dyDescent="0.35">
      <c r="A243" s="2" t="str">
        <f t="shared" si="8"/>
        <v>CC413B</v>
      </c>
      <c r="B243" s="1">
        <v>5</v>
      </c>
      <c r="C243" s="1" t="s">
        <v>19</v>
      </c>
      <c r="D243" s="1" t="s">
        <v>25</v>
      </c>
      <c r="E243" s="2" t="s">
        <v>25</v>
      </c>
      <c r="F243" s="2"/>
      <c r="G243" s="2" t="s">
        <v>25</v>
      </c>
      <c r="H243" s="2" t="s">
        <v>25</v>
      </c>
      <c r="I243" s="2" t="s">
        <v>25</v>
      </c>
      <c r="J243" s="2" t="s">
        <v>25</v>
      </c>
      <c r="K243" s="2"/>
      <c r="L243" s="13" t="s">
        <v>95</v>
      </c>
      <c r="M243" s="7" t="s">
        <v>96</v>
      </c>
      <c r="N243" s="2" t="s">
        <v>27</v>
      </c>
      <c r="O243" s="14"/>
      <c r="P243" s="14"/>
      <c r="Q243" s="14"/>
      <c r="S243" s="1" t="s">
        <v>1068</v>
      </c>
      <c r="T243" s="2" t="s">
        <v>97</v>
      </c>
      <c r="W243" s="2" t="s">
        <v>98</v>
      </c>
      <c r="X243" s="1" t="str">
        <f t="shared" si="7"/>
        <v>*/GoodsShipment[0]/GoodsShipmentItem[0]/Exporter/Address/city</v>
      </c>
    </row>
    <row r="244" spans="1:24" ht="12" customHeight="1" outlineLevel="5" x14ac:dyDescent="0.35">
      <c r="A244" s="2" t="str">
        <f t="shared" si="8"/>
        <v>CC413B</v>
      </c>
      <c r="B244" s="1">
        <v>5</v>
      </c>
      <c r="C244" s="1" t="s">
        <v>19</v>
      </c>
      <c r="D244" s="1" t="s">
        <v>25</v>
      </c>
      <c r="E244" s="2" t="s">
        <v>25</v>
      </c>
      <c r="F244" s="2"/>
      <c r="G244" s="2" t="s">
        <v>25</v>
      </c>
      <c r="H244" s="2" t="s">
        <v>25</v>
      </c>
      <c r="I244" s="2" t="s">
        <v>25</v>
      </c>
      <c r="J244" s="2" t="s">
        <v>25</v>
      </c>
      <c r="K244" s="2"/>
      <c r="L244" s="13" t="s">
        <v>99</v>
      </c>
      <c r="M244" s="7" t="s">
        <v>50</v>
      </c>
      <c r="N244" s="2" t="s">
        <v>27</v>
      </c>
      <c r="O244" s="14"/>
      <c r="P244" s="14"/>
      <c r="Q244" s="7" t="s">
        <v>403</v>
      </c>
      <c r="S244" s="1" t="s">
        <v>1069</v>
      </c>
      <c r="T244" s="2" t="s">
        <v>100</v>
      </c>
      <c r="W244" s="2" t="s">
        <v>52</v>
      </c>
      <c r="X244" s="1" t="str">
        <f t="shared" si="7"/>
        <v>*/GoodsShipment[0]/GoodsShipmentItem[0]/Exporter/Address/country</v>
      </c>
    </row>
    <row r="245" spans="1:24" ht="12" customHeight="1" outlineLevel="3" x14ac:dyDescent="0.35">
      <c r="A245" s="3" t="str">
        <f t="shared" ref="A245:A300" si="9">$L$2</f>
        <v>CC413B</v>
      </c>
      <c r="B245" s="4">
        <v>3</v>
      </c>
      <c r="C245" s="3" t="s">
        <v>24</v>
      </c>
      <c r="D245" s="3" t="s">
        <v>30</v>
      </c>
      <c r="E245" s="3" t="s">
        <v>30</v>
      </c>
      <c r="F245" s="3" t="s">
        <v>25</v>
      </c>
      <c r="G245" s="3" t="s">
        <v>30</v>
      </c>
      <c r="H245" s="3" t="s">
        <v>25</v>
      </c>
      <c r="I245" s="3" t="s">
        <v>25</v>
      </c>
      <c r="J245" s="3" t="s">
        <v>30</v>
      </c>
      <c r="K245" s="3"/>
      <c r="L245" s="10" t="s">
        <v>604</v>
      </c>
      <c r="M245" s="4"/>
      <c r="N245" s="3" t="s">
        <v>396</v>
      </c>
      <c r="O245" s="15"/>
      <c r="P245" s="16" t="s">
        <v>605</v>
      </c>
      <c r="Q245" s="15"/>
      <c r="R245" s="4"/>
      <c r="S245" s="4" t="s">
        <v>1149</v>
      </c>
      <c r="T245" s="3" t="s">
        <v>604</v>
      </c>
      <c r="U245" s="4"/>
      <c r="V245" s="4"/>
      <c r="W245" s="3" t="s">
        <v>606</v>
      </c>
      <c r="X245" s="1" t="str">
        <f t="shared" si="7"/>
        <v>*/GoodsShipment[0]/GoodsShipmentItem[0]/Origin</v>
      </c>
    </row>
    <row r="246" spans="1:24" ht="12" customHeight="1" outlineLevel="4" x14ac:dyDescent="0.35">
      <c r="A246" s="2" t="str">
        <f t="shared" si="9"/>
        <v>CC413B</v>
      </c>
      <c r="B246" s="1">
        <v>4</v>
      </c>
      <c r="C246" s="1" t="s">
        <v>19</v>
      </c>
      <c r="D246" s="1" t="s">
        <v>30</v>
      </c>
      <c r="E246" s="2" t="s">
        <v>30</v>
      </c>
      <c r="F246" s="2" t="s">
        <v>30</v>
      </c>
      <c r="G246" s="2" t="s">
        <v>30</v>
      </c>
      <c r="H246" s="2" t="s">
        <v>30</v>
      </c>
      <c r="I246" s="2" t="s">
        <v>30</v>
      </c>
      <c r="J246" s="2" t="s">
        <v>30</v>
      </c>
      <c r="K246" s="2"/>
      <c r="L246" s="11" t="s">
        <v>607</v>
      </c>
      <c r="M246" s="7" t="s">
        <v>50</v>
      </c>
      <c r="N246" s="2" t="s">
        <v>396</v>
      </c>
      <c r="O246" s="7" t="s">
        <v>608</v>
      </c>
      <c r="P246" s="7" t="s">
        <v>609</v>
      </c>
      <c r="Q246" s="7" t="s">
        <v>468</v>
      </c>
      <c r="S246" s="1" t="s">
        <v>1150</v>
      </c>
      <c r="T246" s="2" t="s">
        <v>610</v>
      </c>
      <c r="W246" s="2" t="s">
        <v>52</v>
      </c>
      <c r="X246" s="1" t="str">
        <f t="shared" si="7"/>
        <v>*/GoodsShipment[0]/GoodsShipmentItem[0]/Origin/countryOfOrigin</v>
      </c>
    </row>
    <row r="247" spans="1:24" ht="12" customHeight="1" outlineLevel="4" x14ac:dyDescent="0.35">
      <c r="A247" s="2" t="str">
        <f t="shared" si="9"/>
        <v>CC413B</v>
      </c>
      <c r="B247" s="1">
        <v>4</v>
      </c>
      <c r="C247" s="1" t="s">
        <v>19</v>
      </c>
      <c r="D247" s="1" t="s">
        <v>30</v>
      </c>
      <c r="E247" s="2" t="s">
        <v>30</v>
      </c>
      <c r="F247" s="2" t="s">
        <v>30</v>
      </c>
      <c r="G247" s="2" t="s">
        <v>30</v>
      </c>
      <c r="H247" s="2" t="s">
        <v>30</v>
      </c>
      <c r="I247" s="2" t="s">
        <v>30</v>
      </c>
      <c r="J247" s="2" t="s">
        <v>30</v>
      </c>
      <c r="K247" s="2"/>
      <c r="L247" s="11" t="s">
        <v>611</v>
      </c>
      <c r="M247" s="7" t="s">
        <v>60</v>
      </c>
      <c r="N247" s="2" t="s">
        <v>396</v>
      </c>
      <c r="O247" s="7" t="s">
        <v>427</v>
      </c>
      <c r="P247" s="7" t="s">
        <v>612</v>
      </c>
      <c r="Q247" s="14"/>
      <c r="S247" s="1" t="s">
        <v>1151</v>
      </c>
      <c r="T247" s="2" t="s">
        <v>613</v>
      </c>
      <c r="W247" s="2" t="s">
        <v>614</v>
      </c>
      <c r="X247" s="1" t="str">
        <f t="shared" si="7"/>
        <v>*/GoodsShipment[0]/GoodsShipmentItem[0]/Origin/countryOfPreferentialOrigin</v>
      </c>
    </row>
    <row r="248" spans="1:24" ht="12" customHeight="1" outlineLevel="3" x14ac:dyDescent="0.35">
      <c r="A248" s="3" t="str">
        <f t="shared" si="9"/>
        <v>CC413B</v>
      </c>
      <c r="B248" s="4">
        <v>3</v>
      </c>
      <c r="C248" s="3" t="s">
        <v>24</v>
      </c>
      <c r="D248" s="3" t="s">
        <v>30</v>
      </c>
      <c r="E248" s="3" t="s">
        <v>30</v>
      </c>
      <c r="F248" s="3" t="s">
        <v>30</v>
      </c>
      <c r="G248" s="3" t="s">
        <v>30</v>
      </c>
      <c r="H248" s="3" t="s">
        <v>30</v>
      </c>
      <c r="I248" s="3" t="s">
        <v>30</v>
      </c>
      <c r="J248" s="3" t="s">
        <v>30</v>
      </c>
      <c r="K248" s="3"/>
      <c r="L248" s="10" t="s">
        <v>464</v>
      </c>
      <c r="M248" s="4"/>
      <c r="N248" s="3" t="s">
        <v>396</v>
      </c>
      <c r="O248" s="16" t="s">
        <v>739</v>
      </c>
      <c r="P248" s="16" t="s">
        <v>615</v>
      </c>
      <c r="Q248" s="15"/>
      <c r="R248" s="4"/>
      <c r="S248" s="4" t="s">
        <v>1075</v>
      </c>
      <c r="T248" s="3" t="s">
        <v>465</v>
      </c>
      <c r="U248" s="4"/>
      <c r="V248" s="4"/>
      <c r="W248" s="3" t="s">
        <v>466</v>
      </c>
      <c r="X248" s="1" t="str">
        <f t="shared" si="7"/>
        <v>*/GoodsShipment[0]/GoodsShipmentItem[0]/CountryOfDispatch</v>
      </c>
    </row>
    <row r="249" spans="1:24" ht="12" customHeight="1" outlineLevel="4" x14ac:dyDescent="0.35">
      <c r="A249" s="2" t="str">
        <f t="shared" si="9"/>
        <v>CC413B</v>
      </c>
      <c r="B249" s="1">
        <v>4</v>
      </c>
      <c r="C249" s="1" t="s">
        <v>19</v>
      </c>
      <c r="D249" s="1" t="s">
        <v>25</v>
      </c>
      <c r="E249" s="2" t="s">
        <v>25</v>
      </c>
      <c r="F249" s="2" t="s">
        <v>25</v>
      </c>
      <c r="G249" s="2" t="s">
        <v>25</v>
      </c>
      <c r="H249" s="2" t="s">
        <v>25</v>
      </c>
      <c r="I249" s="2" t="s">
        <v>25</v>
      </c>
      <c r="J249" s="2" t="s">
        <v>25</v>
      </c>
      <c r="K249" s="2"/>
      <c r="L249" s="11" t="s">
        <v>464</v>
      </c>
      <c r="M249" s="7" t="s">
        <v>50</v>
      </c>
      <c r="N249" s="2" t="s">
        <v>27</v>
      </c>
      <c r="O249" s="7" t="s">
        <v>467</v>
      </c>
      <c r="P249" s="14"/>
      <c r="Q249" s="7" t="s">
        <v>468</v>
      </c>
      <c r="S249" s="1" t="s">
        <v>1076</v>
      </c>
      <c r="T249" s="2" t="s">
        <v>469</v>
      </c>
      <c r="W249" s="2" t="s">
        <v>52</v>
      </c>
      <c r="X249" s="1" t="str">
        <f t="shared" si="7"/>
        <v>*/GoodsShipment[0]/GoodsShipmentItem[0]/CountryOfDispatch/countryOfDispatch</v>
      </c>
    </row>
    <row r="250" spans="1:24" ht="12" customHeight="1" outlineLevel="3" x14ac:dyDescent="0.35">
      <c r="A250" s="3" t="str">
        <f t="shared" si="9"/>
        <v>CC413B</v>
      </c>
      <c r="B250" s="4">
        <v>3</v>
      </c>
      <c r="C250" s="3" t="s">
        <v>24</v>
      </c>
      <c r="D250" s="3" t="s">
        <v>30</v>
      </c>
      <c r="E250" s="3" t="s">
        <v>30</v>
      </c>
      <c r="F250" s="3" t="s">
        <v>30</v>
      </c>
      <c r="G250" s="3" t="s">
        <v>30</v>
      </c>
      <c r="H250" s="3" t="s">
        <v>30</v>
      </c>
      <c r="I250" s="3" t="s">
        <v>30</v>
      </c>
      <c r="J250" s="3"/>
      <c r="K250" s="3"/>
      <c r="L250" s="10" t="s">
        <v>470</v>
      </c>
      <c r="M250" s="4"/>
      <c r="N250" s="3" t="s">
        <v>396</v>
      </c>
      <c r="O250" s="16" t="s">
        <v>740</v>
      </c>
      <c r="P250" s="16" t="s">
        <v>743</v>
      </c>
      <c r="Q250" s="15"/>
      <c r="R250" s="4"/>
      <c r="S250" s="4" t="s">
        <v>1152</v>
      </c>
      <c r="T250" s="3" t="s">
        <v>470</v>
      </c>
      <c r="U250" s="4"/>
      <c r="V250" s="4"/>
      <c r="W250" s="3" t="s">
        <v>471</v>
      </c>
      <c r="X250" s="1" t="str">
        <f t="shared" si="7"/>
        <v>*/GoodsShipment[0]/GoodsShipmentItem[0]/Destination</v>
      </c>
    </row>
    <row r="251" spans="1:24" ht="12" customHeight="1" outlineLevel="4" x14ac:dyDescent="0.35">
      <c r="A251" s="2" t="str">
        <f t="shared" si="9"/>
        <v>CC413B</v>
      </c>
      <c r="B251" s="1">
        <v>4</v>
      </c>
      <c r="C251" s="1" t="s">
        <v>19</v>
      </c>
      <c r="D251" s="1" t="s">
        <v>30</v>
      </c>
      <c r="E251" s="2" t="s">
        <v>30</v>
      </c>
      <c r="F251" s="2" t="s">
        <v>30</v>
      </c>
      <c r="G251" s="2" t="s">
        <v>30</v>
      </c>
      <c r="H251" s="2" t="s">
        <v>30</v>
      </c>
      <c r="I251" s="2" t="s">
        <v>30</v>
      </c>
      <c r="J251" s="2"/>
      <c r="K251" s="2"/>
      <c r="L251" s="11" t="s">
        <v>472</v>
      </c>
      <c r="M251" s="7" t="s">
        <v>50</v>
      </c>
      <c r="N251" s="2" t="s">
        <v>396</v>
      </c>
      <c r="O251" s="7" t="s">
        <v>473</v>
      </c>
      <c r="P251" s="7" t="s">
        <v>474</v>
      </c>
      <c r="Q251" s="7" t="s">
        <v>416</v>
      </c>
      <c r="S251" s="1" t="s">
        <v>1078</v>
      </c>
      <c r="T251" s="2" t="s">
        <v>475</v>
      </c>
      <c r="W251" s="2" t="s">
        <v>52</v>
      </c>
      <c r="X251" s="1" t="str">
        <f t="shared" si="7"/>
        <v>*/GoodsShipment[0]/GoodsShipmentItem[0]/Destination/countryOfDestination</v>
      </c>
    </row>
    <row r="252" spans="1:24" ht="12" customHeight="1" outlineLevel="4" x14ac:dyDescent="0.35">
      <c r="A252" s="2" t="str">
        <f t="shared" si="9"/>
        <v>CC413B</v>
      </c>
      <c r="B252" s="1">
        <v>4</v>
      </c>
      <c r="C252" s="1" t="s">
        <v>19</v>
      </c>
      <c r="D252" s="1" t="s">
        <v>30</v>
      </c>
      <c r="E252" s="2" t="s">
        <v>30</v>
      </c>
      <c r="F252" s="2" t="s">
        <v>30</v>
      </c>
      <c r="G252" s="2" t="s">
        <v>30</v>
      </c>
      <c r="H252" s="2" t="s">
        <v>30</v>
      </c>
      <c r="I252" s="2" t="s">
        <v>30</v>
      </c>
      <c r="J252" s="2"/>
      <c r="K252" s="2"/>
      <c r="L252" s="11" t="s">
        <v>476</v>
      </c>
      <c r="M252" s="7" t="s">
        <v>96</v>
      </c>
      <c r="N252" s="2" t="s">
        <v>396</v>
      </c>
      <c r="O252" s="7" t="s">
        <v>742</v>
      </c>
      <c r="P252" s="7" t="s">
        <v>741</v>
      </c>
      <c r="Q252" s="14"/>
      <c r="S252" s="1" t="s">
        <v>1079</v>
      </c>
      <c r="T252" s="2" t="s">
        <v>478</v>
      </c>
      <c r="W252" s="2" t="s">
        <v>479</v>
      </c>
      <c r="X252" s="1" t="str">
        <f t="shared" si="7"/>
        <v>*/GoodsShipment[0]/GoodsShipmentItem[0]/Destination/regionOfDestination</v>
      </c>
    </row>
    <row r="253" spans="1:24" ht="12" customHeight="1" outlineLevel="4" x14ac:dyDescent="0.35">
      <c r="A253" s="2" t="str">
        <f t="shared" si="9"/>
        <v>CC413B</v>
      </c>
      <c r="B253" s="1">
        <v>4</v>
      </c>
      <c r="C253" s="1" t="s">
        <v>19</v>
      </c>
      <c r="D253" s="1" t="s">
        <v>30</v>
      </c>
      <c r="E253" s="2" t="s">
        <v>30</v>
      </c>
      <c r="F253" s="2" t="s">
        <v>30</v>
      </c>
      <c r="G253" s="2" t="s">
        <v>30</v>
      </c>
      <c r="H253" s="2" t="s">
        <v>30</v>
      </c>
      <c r="I253" s="2" t="s">
        <v>30</v>
      </c>
      <c r="J253" s="2"/>
      <c r="K253" s="2"/>
      <c r="L253" s="11" t="s">
        <v>142</v>
      </c>
      <c r="M253" s="7" t="s">
        <v>50</v>
      </c>
      <c r="N253" s="2" t="s">
        <v>396</v>
      </c>
      <c r="O253" s="7" t="s">
        <v>744</v>
      </c>
      <c r="P253" s="7" t="s">
        <v>480</v>
      </c>
      <c r="Q253" s="7" t="s">
        <v>416</v>
      </c>
      <c r="T253" s="2" t="s">
        <v>143</v>
      </c>
      <c r="W253" s="2" t="s">
        <v>52</v>
      </c>
      <c r="X253" s="1" t="str">
        <f t="shared" si="7"/>
        <v>*/GoodsShipment[0]/GoodsShipmentItem[0]/Destination/ccQualifier</v>
      </c>
    </row>
    <row r="254" spans="1:24" ht="12" customHeight="1" outlineLevel="3" x14ac:dyDescent="0.35">
      <c r="A254" s="3" t="str">
        <f t="shared" si="9"/>
        <v>CC413B</v>
      </c>
      <c r="B254" s="4">
        <v>3</v>
      </c>
      <c r="C254" s="3" t="s">
        <v>24</v>
      </c>
      <c r="D254" s="3" t="s">
        <v>25</v>
      </c>
      <c r="E254" s="3" t="s">
        <v>25</v>
      </c>
      <c r="F254" s="3" t="s">
        <v>25</v>
      </c>
      <c r="G254" s="3" t="s">
        <v>25</v>
      </c>
      <c r="H254" s="3" t="s">
        <v>25</v>
      </c>
      <c r="I254" s="3" t="s">
        <v>25</v>
      </c>
      <c r="J254" s="3" t="s">
        <v>25</v>
      </c>
      <c r="K254" s="3" t="s">
        <v>25</v>
      </c>
      <c r="L254" s="10" t="s">
        <v>336</v>
      </c>
      <c r="M254" s="4"/>
      <c r="N254" s="3" t="s">
        <v>27</v>
      </c>
      <c r="O254" s="15"/>
      <c r="P254" s="15"/>
      <c r="Q254" s="15"/>
      <c r="R254" s="4"/>
      <c r="S254" s="15" t="s">
        <v>1513</v>
      </c>
      <c r="T254" s="3" t="s">
        <v>336</v>
      </c>
      <c r="U254" s="4"/>
      <c r="V254" s="4"/>
      <c r="W254" s="3" t="s">
        <v>616</v>
      </c>
      <c r="X254" s="1" t="str">
        <f t="shared" si="7"/>
        <v>*/GoodsShipment[0]/GoodsShipmentItem[0]/Commodity</v>
      </c>
    </row>
    <row r="255" spans="1:24" ht="12" customHeight="1" outlineLevel="4" x14ac:dyDescent="0.35">
      <c r="A255" s="2" t="str">
        <f t="shared" si="9"/>
        <v>CC413B</v>
      </c>
      <c r="B255" s="1">
        <v>4</v>
      </c>
      <c r="C255" s="1" t="s">
        <v>19</v>
      </c>
      <c r="D255" s="1" t="s">
        <v>25</v>
      </c>
      <c r="E255" s="2" t="s">
        <v>25</v>
      </c>
      <c r="F255" s="2" t="s">
        <v>25</v>
      </c>
      <c r="G255" s="2" t="s">
        <v>25</v>
      </c>
      <c r="H255" s="2" t="s">
        <v>25</v>
      </c>
      <c r="I255" s="2" t="s">
        <v>25</v>
      </c>
      <c r="J255" s="2" t="s">
        <v>25</v>
      </c>
      <c r="K255" s="2" t="s">
        <v>25</v>
      </c>
      <c r="L255" s="11" t="s">
        <v>338</v>
      </c>
      <c r="M255" s="7" t="s">
        <v>216</v>
      </c>
      <c r="N255" s="2" t="s">
        <v>27</v>
      </c>
      <c r="O255" s="14"/>
      <c r="P255" s="14"/>
      <c r="Q255" s="14"/>
      <c r="S255" s="1" t="s">
        <v>1153</v>
      </c>
      <c r="T255" s="2" t="s">
        <v>339</v>
      </c>
      <c r="W255" s="2" t="s">
        <v>218</v>
      </c>
      <c r="X255" s="1" t="str">
        <f t="shared" si="7"/>
        <v>*/GoodsShipment[0]/GoodsShipmentItem[0]/Commodity/descriptionOfGoods</v>
      </c>
    </row>
    <row r="256" spans="1:24" ht="12" customHeight="1" outlineLevel="4" x14ac:dyDescent="0.35">
      <c r="A256" s="2" t="str">
        <f t="shared" si="9"/>
        <v>CC413B</v>
      </c>
      <c r="B256" s="1">
        <v>4</v>
      </c>
      <c r="C256" s="1" t="s">
        <v>19</v>
      </c>
      <c r="D256" s="1" t="s">
        <v>30</v>
      </c>
      <c r="E256" s="2" t="s">
        <v>30</v>
      </c>
      <c r="F256" s="2" t="s">
        <v>30</v>
      </c>
      <c r="G256" s="2" t="s">
        <v>30</v>
      </c>
      <c r="H256" s="2" t="s">
        <v>30</v>
      </c>
      <c r="I256" s="2" t="s">
        <v>30</v>
      </c>
      <c r="J256" s="2" t="s">
        <v>30</v>
      </c>
      <c r="K256" s="2"/>
      <c r="L256" s="11" t="s">
        <v>617</v>
      </c>
      <c r="M256" s="7" t="s">
        <v>618</v>
      </c>
      <c r="N256" s="2" t="s">
        <v>22</v>
      </c>
      <c r="O256" s="7" t="s">
        <v>619</v>
      </c>
      <c r="P256" s="14"/>
      <c r="Q256" s="7" t="s">
        <v>620</v>
      </c>
      <c r="S256" s="1" t="s">
        <v>1154</v>
      </c>
      <c r="T256" s="2" t="s">
        <v>621</v>
      </c>
      <c r="W256" s="2" t="s">
        <v>622</v>
      </c>
      <c r="X256" s="1" t="str">
        <f t="shared" si="7"/>
        <v>*/GoodsShipment[0]/GoodsShipmentItem[0]/Commodity/CUSCode</v>
      </c>
    </row>
    <row r="257" spans="1:24" ht="12" customHeight="1" outlineLevel="4" x14ac:dyDescent="0.35">
      <c r="A257" s="2" t="str">
        <f t="shared" si="9"/>
        <v>CC413B</v>
      </c>
      <c r="B257" s="1">
        <v>4</v>
      </c>
      <c r="C257" s="1" t="s">
        <v>19</v>
      </c>
      <c r="D257" s="1" t="s">
        <v>30</v>
      </c>
      <c r="E257" s="2" t="s">
        <v>30</v>
      </c>
      <c r="F257" s="2"/>
      <c r="G257" s="2"/>
      <c r="H257" s="2"/>
      <c r="I257" s="2"/>
      <c r="J257" s="2" t="s">
        <v>30</v>
      </c>
      <c r="K257" s="2"/>
      <c r="L257" s="11" t="s">
        <v>623</v>
      </c>
      <c r="M257" s="7" t="s">
        <v>624</v>
      </c>
      <c r="N257" s="2" t="s">
        <v>22</v>
      </c>
      <c r="O257" s="14"/>
      <c r="P257" s="14"/>
      <c r="Q257" s="14"/>
      <c r="S257" s="1" t="s">
        <v>1155</v>
      </c>
      <c r="T257" s="2" t="s">
        <v>625</v>
      </c>
      <c r="W257" s="2" t="s">
        <v>626</v>
      </c>
      <c r="X257" s="1" t="str">
        <f t="shared" si="7"/>
        <v>*/GoodsShipment[0]/GoodsShipmentItem[0]/Commodity/quotaOrderNumber</v>
      </c>
    </row>
    <row r="258" spans="1:24" ht="12" customHeight="1" outlineLevel="4" x14ac:dyDescent="0.35">
      <c r="A258" s="3" t="str">
        <f t="shared" si="9"/>
        <v>CC413B</v>
      </c>
      <c r="B258" s="4">
        <v>4</v>
      </c>
      <c r="C258" s="3" t="s">
        <v>24</v>
      </c>
      <c r="D258" s="3" t="s">
        <v>30</v>
      </c>
      <c r="E258" s="3" t="s">
        <v>30</v>
      </c>
      <c r="F258" s="3" t="s">
        <v>30</v>
      </c>
      <c r="G258" s="3" t="s">
        <v>30</v>
      </c>
      <c r="H258" s="3" t="s">
        <v>30</v>
      </c>
      <c r="I258" s="3" t="s">
        <v>30</v>
      </c>
      <c r="J258" s="3" t="s">
        <v>30</v>
      </c>
      <c r="K258" s="3"/>
      <c r="L258" s="12" t="s">
        <v>627</v>
      </c>
      <c r="M258" s="4"/>
      <c r="N258" s="3" t="s">
        <v>396</v>
      </c>
      <c r="O258" s="15"/>
      <c r="P258" s="16" t="s">
        <v>628</v>
      </c>
      <c r="Q258" s="15"/>
      <c r="R258" s="4"/>
      <c r="S258" s="15" t="s">
        <v>1514</v>
      </c>
      <c r="T258" s="3" t="s">
        <v>629</v>
      </c>
      <c r="U258" s="4"/>
      <c r="V258" s="4"/>
      <c r="W258" s="3" t="s">
        <v>630</v>
      </c>
      <c r="X258" s="1" t="str">
        <f t="shared" si="7"/>
        <v>*/GoodsShipment[0]/GoodsShipmentItem[0]/Commodity/CommodityCode</v>
      </c>
    </row>
    <row r="259" spans="1:24" ht="12" customHeight="1" outlineLevel="5" x14ac:dyDescent="0.35">
      <c r="A259" s="2" t="str">
        <f t="shared" si="9"/>
        <v>CC413B</v>
      </c>
      <c r="B259" s="1">
        <v>5</v>
      </c>
      <c r="C259" s="1" t="s">
        <v>19</v>
      </c>
      <c r="D259" s="1" t="s">
        <v>25</v>
      </c>
      <c r="E259" s="2" t="s">
        <v>25</v>
      </c>
      <c r="F259" s="2" t="s">
        <v>25</v>
      </c>
      <c r="G259" s="2" t="s">
        <v>25</v>
      </c>
      <c r="H259" s="2" t="s">
        <v>25</v>
      </c>
      <c r="I259" s="2" t="s">
        <v>25</v>
      </c>
      <c r="J259" s="2" t="s">
        <v>25</v>
      </c>
      <c r="K259" s="2"/>
      <c r="L259" s="13" t="s">
        <v>631</v>
      </c>
      <c r="M259" s="7" t="s">
        <v>624</v>
      </c>
      <c r="N259" s="2" t="s">
        <v>27</v>
      </c>
      <c r="O259" s="14"/>
      <c r="P259" s="14"/>
      <c r="Q259" s="7" t="s">
        <v>632</v>
      </c>
      <c r="S259" s="1" t="s">
        <v>1157</v>
      </c>
      <c r="T259" s="2" t="s">
        <v>633</v>
      </c>
      <c r="W259" s="2" t="s">
        <v>634</v>
      </c>
      <c r="X259" s="1" t="str">
        <f t="shared" ref="X259:X322" si="10">IF($B259=0,$T259,_xlfn.TEXTBEFORE(X258,"/",$B259,,,X258)&amp;"/"&amp;$T259)&amp;IF(_xlfn.TEXTAFTER($E259,"..",,,,1)&lt;&gt;"1","[0]","")</f>
        <v>*/GoodsShipment[0]/GoodsShipmentItem[0]/Commodity/CommodityCode/harmonizedSystemSubheadingCode</v>
      </c>
    </row>
    <row r="260" spans="1:24" ht="12" customHeight="1" outlineLevel="5" x14ac:dyDescent="0.35">
      <c r="A260" s="2" t="str">
        <f t="shared" si="9"/>
        <v>CC413B</v>
      </c>
      <c r="B260" s="1">
        <v>5</v>
      </c>
      <c r="C260" s="1" t="s">
        <v>19</v>
      </c>
      <c r="D260" s="1" t="s">
        <v>25</v>
      </c>
      <c r="E260" s="2" t="s">
        <v>25</v>
      </c>
      <c r="F260" s="2" t="s">
        <v>25</v>
      </c>
      <c r="G260" s="2" t="s">
        <v>25</v>
      </c>
      <c r="H260" s="2" t="s">
        <v>25</v>
      </c>
      <c r="I260" s="2" t="s">
        <v>25</v>
      </c>
      <c r="J260" s="2" t="s">
        <v>25</v>
      </c>
      <c r="K260" s="2"/>
      <c r="L260" s="13" t="s">
        <v>635</v>
      </c>
      <c r="M260" s="7" t="s">
        <v>325</v>
      </c>
      <c r="N260" s="2" t="s">
        <v>27</v>
      </c>
      <c r="O260" s="14"/>
      <c r="P260" s="14"/>
      <c r="Q260" s="14"/>
      <c r="S260" s="1" t="s">
        <v>1158</v>
      </c>
      <c r="T260" s="2" t="s">
        <v>636</v>
      </c>
      <c r="W260" s="2" t="s">
        <v>637</v>
      </c>
      <c r="X260" s="1" t="str">
        <f t="shared" si="10"/>
        <v>*/GoodsShipment[0]/GoodsShipmentItem[0]/Commodity/CommodityCode/combinedNomenclatureCode</v>
      </c>
    </row>
    <row r="261" spans="1:24" ht="12" customHeight="1" outlineLevel="5" x14ac:dyDescent="0.35">
      <c r="A261" s="2" t="str">
        <f t="shared" si="9"/>
        <v>CC413B</v>
      </c>
      <c r="B261" s="1">
        <v>5</v>
      </c>
      <c r="C261" s="1" t="s">
        <v>19</v>
      </c>
      <c r="D261" s="1" t="s">
        <v>30</v>
      </c>
      <c r="E261" s="2" t="s">
        <v>30</v>
      </c>
      <c r="F261" s="2" t="s">
        <v>30</v>
      </c>
      <c r="G261" s="2" t="s">
        <v>30</v>
      </c>
      <c r="H261" s="2" t="s">
        <v>30</v>
      </c>
      <c r="I261" s="2" t="s">
        <v>30</v>
      </c>
      <c r="J261" s="2" t="s">
        <v>30</v>
      </c>
      <c r="K261" s="2"/>
      <c r="L261" s="13" t="s">
        <v>638</v>
      </c>
      <c r="M261" s="7" t="s">
        <v>325</v>
      </c>
      <c r="N261" s="2" t="s">
        <v>396</v>
      </c>
      <c r="O261" s="14"/>
      <c r="P261" s="7" t="s">
        <v>639</v>
      </c>
      <c r="Q261" s="14"/>
      <c r="S261" s="1" t="s">
        <v>1159</v>
      </c>
      <c r="T261" s="2" t="s">
        <v>640</v>
      </c>
      <c r="W261" s="2" t="s">
        <v>641</v>
      </c>
      <c r="X261" s="1" t="str">
        <f t="shared" si="10"/>
        <v>*/GoodsShipment[0]/GoodsShipmentItem[0]/Commodity/CommodityCode/taricCode</v>
      </c>
    </row>
    <row r="262" spans="1:24" ht="12" customHeight="1" outlineLevel="5" x14ac:dyDescent="0.35">
      <c r="A262" s="3" t="str">
        <f t="shared" si="9"/>
        <v>CC413B</v>
      </c>
      <c r="B262" s="4">
        <v>5</v>
      </c>
      <c r="C262" s="3" t="s">
        <v>24</v>
      </c>
      <c r="D262" s="3" t="s">
        <v>193</v>
      </c>
      <c r="E262" s="3" t="s">
        <v>193</v>
      </c>
      <c r="F262" s="3" t="s">
        <v>193</v>
      </c>
      <c r="G262" s="3" t="s">
        <v>193</v>
      </c>
      <c r="H262" s="3" t="s">
        <v>193</v>
      </c>
      <c r="I262" s="3" t="s">
        <v>193</v>
      </c>
      <c r="J262" s="3" t="s">
        <v>193</v>
      </c>
      <c r="K262" s="3"/>
      <c r="L262" s="17" t="s">
        <v>642</v>
      </c>
      <c r="M262" s="4"/>
      <c r="N262" s="3" t="s">
        <v>396</v>
      </c>
      <c r="O262" s="16" t="s">
        <v>643</v>
      </c>
      <c r="P262" s="16" t="s">
        <v>758</v>
      </c>
      <c r="Q262" s="15"/>
      <c r="R262" s="4"/>
      <c r="S262" s="4"/>
      <c r="T262" s="3" t="s">
        <v>644</v>
      </c>
      <c r="U262" s="4"/>
      <c r="V262" s="4"/>
      <c r="W262" s="3" t="s">
        <v>645</v>
      </c>
      <c r="X262" s="1" t="str">
        <f t="shared" si="10"/>
        <v>*/GoodsShipment[0]/GoodsShipmentItem[0]/Commodity/CommodityCode/TaricAdditionalCode[0]</v>
      </c>
    </row>
    <row r="263" spans="1:24" ht="12" customHeight="1" outlineLevel="6" x14ac:dyDescent="0.35">
      <c r="A263" s="2" t="str">
        <f t="shared" si="9"/>
        <v>CC413B</v>
      </c>
      <c r="B263" s="1">
        <v>6</v>
      </c>
      <c r="C263" s="1" t="s">
        <v>19</v>
      </c>
      <c r="D263" s="1" t="s">
        <v>25</v>
      </c>
      <c r="E263" s="2" t="s">
        <v>25</v>
      </c>
      <c r="F263" s="2" t="s">
        <v>25</v>
      </c>
      <c r="G263" s="2" t="s">
        <v>25</v>
      </c>
      <c r="H263" s="2" t="s">
        <v>25</v>
      </c>
      <c r="I263" s="2" t="s">
        <v>25</v>
      </c>
      <c r="J263" s="2" t="s">
        <v>25</v>
      </c>
      <c r="K263" s="2"/>
      <c r="L263" s="18" t="s">
        <v>56</v>
      </c>
      <c r="M263" s="7" t="s">
        <v>57</v>
      </c>
      <c r="N263" s="2" t="s">
        <v>27</v>
      </c>
      <c r="O263" s="7" t="s">
        <v>393</v>
      </c>
      <c r="P263" s="14"/>
      <c r="Q263" s="14"/>
      <c r="T263" s="2" t="s">
        <v>58</v>
      </c>
      <c r="W263" s="2" t="s">
        <v>59</v>
      </c>
      <c r="X263" s="1" t="str">
        <f t="shared" si="10"/>
        <v>*/GoodsShipment[0]/GoodsShipmentItem[0]/Commodity/CommodityCode/TaricAdditionalCode[0]/sequenceNumber</v>
      </c>
    </row>
    <row r="264" spans="1:24" ht="12" customHeight="1" outlineLevel="6" x14ac:dyDescent="0.35">
      <c r="A264" s="2" t="str">
        <f t="shared" si="9"/>
        <v>CC413B</v>
      </c>
      <c r="B264" s="1">
        <v>6</v>
      </c>
      <c r="C264" s="1" t="s">
        <v>19</v>
      </c>
      <c r="D264" s="1" t="s">
        <v>25</v>
      </c>
      <c r="E264" s="2" t="s">
        <v>25</v>
      </c>
      <c r="F264" s="2" t="s">
        <v>25</v>
      </c>
      <c r="G264" s="2" t="s">
        <v>25</v>
      </c>
      <c r="H264" s="2" t="s">
        <v>25</v>
      </c>
      <c r="I264" s="2" t="s">
        <v>25</v>
      </c>
      <c r="J264" s="2" t="s">
        <v>25</v>
      </c>
      <c r="K264" s="2"/>
      <c r="L264" s="18" t="s">
        <v>642</v>
      </c>
      <c r="M264" s="7" t="s">
        <v>306</v>
      </c>
      <c r="N264" s="2" t="s">
        <v>27</v>
      </c>
      <c r="O264" s="14"/>
      <c r="P264" s="14"/>
      <c r="Q264" s="14"/>
      <c r="S264" s="1" t="s">
        <v>1194</v>
      </c>
      <c r="T264" s="2" t="s">
        <v>646</v>
      </c>
      <c r="W264" s="2" t="s">
        <v>647</v>
      </c>
      <c r="X264" s="1" t="str">
        <f t="shared" si="10"/>
        <v>*/GoodsShipment[0]/GoodsShipmentItem[0]/Commodity/CommodityCode/TaricAdditionalCode[0]/taricAdditionalCode</v>
      </c>
    </row>
    <row r="265" spans="1:24" ht="12" customHeight="1" outlineLevel="5" x14ac:dyDescent="0.35">
      <c r="A265" s="3" t="str">
        <f t="shared" si="9"/>
        <v>CC413B</v>
      </c>
      <c r="B265" s="4">
        <v>5</v>
      </c>
      <c r="C265" s="3" t="s">
        <v>24</v>
      </c>
      <c r="D265" s="3" t="s">
        <v>193</v>
      </c>
      <c r="E265" s="3" t="s">
        <v>193</v>
      </c>
      <c r="F265" s="3" t="s">
        <v>193</v>
      </c>
      <c r="G265" s="3" t="s">
        <v>193</v>
      </c>
      <c r="H265" s="3" t="s">
        <v>193</v>
      </c>
      <c r="I265" s="3" t="s">
        <v>193</v>
      </c>
      <c r="J265" s="3" t="s">
        <v>193</v>
      </c>
      <c r="K265" s="3"/>
      <c r="L265" s="17" t="s">
        <v>648</v>
      </c>
      <c r="M265" s="4"/>
      <c r="N265" s="3" t="s">
        <v>22</v>
      </c>
      <c r="O265" s="16" t="s">
        <v>477</v>
      </c>
      <c r="P265" s="15"/>
      <c r="Q265" s="15"/>
      <c r="R265" s="4"/>
      <c r="S265" s="4" t="s">
        <v>1195</v>
      </c>
      <c r="T265" s="3" t="s">
        <v>649</v>
      </c>
      <c r="U265" s="4"/>
      <c r="V265" s="4"/>
      <c r="W265" s="3" t="s">
        <v>650</v>
      </c>
      <c r="X265" s="1" t="str">
        <f t="shared" si="10"/>
        <v>*/GoodsShipment[0]/GoodsShipmentItem[0]/Commodity/CommodityCode/NationalAdditionalCode[0]</v>
      </c>
    </row>
    <row r="266" spans="1:24" ht="12" customHeight="1" outlineLevel="6" x14ac:dyDescent="0.35">
      <c r="A266" s="2" t="str">
        <f t="shared" si="9"/>
        <v>CC413B</v>
      </c>
      <c r="B266" s="1">
        <v>6</v>
      </c>
      <c r="C266" s="1" t="s">
        <v>19</v>
      </c>
      <c r="D266" s="1" t="s">
        <v>25</v>
      </c>
      <c r="E266" s="2" t="s">
        <v>25</v>
      </c>
      <c r="F266" s="2" t="s">
        <v>25</v>
      </c>
      <c r="G266" s="2" t="s">
        <v>25</v>
      </c>
      <c r="H266" s="2" t="s">
        <v>25</v>
      </c>
      <c r="I266" s="2" t="s">
        <v>25</v>
      </c>
      <c r="J266" s="2" t="s">
        <v>25</v>
      </c>
      <c r="K266" s="2"/>
      <c r="L266" s="18" t="s">
        <v>56</v>
      </c>
      <c r="M266" s="7" t="s">
        <v>57</v>
      </c>
      <c r="N266" s="2" t="s">
        <v>27</v>
      </c>
      <c r="O266" s="7" t="s">
        <v>393</v>
      </c>
      <c r="P266" s="14"/>
      <c r="Q266" s="14"/>
      <c r="T266" s="2" t="s">
        <v>58</v>
      </c>
      <c r="W266" s="2" t="s">
        <v>59</v>
      </c>
      <c r="X266" s="1" t="str">
        <f t="shared" si="10"/>
        <v>*/GoodsShipment[0]/GoodsShipmentItem[0]/Commodity/CommodityCode/NationalAdditionalCode[0]/sequenceNumber</v>
      </c>
    </row>
    <row r="267" spans="1:24" ht="12" customHeight="1" outlineLevel="6" x14ac:dyDescent="0.35">
      <c r="A267" s="2" t="str">
        <f t="shared" si="9"/>
        <v>CC413B</v>
      </c>
      <c r="B267" s="1">
        <v>6</v>
      </c>
      <c r="C267" s="1" t="s">
        <v>19</v>
      </c>
      <c r="D267" s="1" t="s">
        <v>25</v>
      </c>
      <c r="E267" s="2" t="s">
        <v>25</v>
      </c>
      <c r="F267" s="2" t="s">
        <v>25</v>
      </c>
      <c r="G267" s="2" t="s">
        <v>25</v>
      </c>
      <c r="H267" s="2" t="s">
        <v>25</v>
      </c>
      <c r="I267" s="2" t="s">
        <v>25</v>
      </c>
      <c r="J267" s="2" t="s">
        <v>25</v>
      </c>
      <c r="K267" s="2"/>
      <c r="L267" s="18" t="s">
        <v>648</v>
      </c>
      <c r="M267" s="7" t="s">
        <v>60</v>
      </c>
      <c r="N267" s="2" t="s">
        <v>27</v>
      </c>
      <c r="O267" s="7" t="s">
        <v>477</v>
      </c>
      <c r="P267" s="14"/>
      <c r="Q267" s="14"/>
      <c r="T267" s="2" t="s">
        <v>651</v>
      </c>
      <c r="W267" s="2" t="s">
        <v>652</v>
      </c>
      <c r="X267" s="1" t="str">
        <f t="shared" si="10"/>
        <v>*/GoodsShipment[0]/GoodsShipmentItem[0]/Commodity/CommodityCode/NationalAdditionalCode[0]/nationalAdditionalCode</v>
      </c>
    </row>
    <row r="268" spans="1:24" ht="12" customHeight="1" outlineLevel="6" x14ac:dyDescent="0.35">
      <c r="A268" s="2" t="str">
        <f t="shared" si="9"/>
        <v>CC413B</v>
      </c>
      <c r="B268" s="1">
        <v>6</v>
      </c>
      <c r="C268" s="1" t="s">
        <v>19</v>
      </c>
      <c r="D268" s="1" t="s">
        <v>30</v>
      </c>
      <c r="E268" s="2" t="s">
        <v>30</v>
      </c>
      <c r="F268" s="2" t="s">
        <v>30</v>
      </c>
      <c r="G268" s="2" t="s">
        <v>30</v>
      </c>
      <c r="H268" s="2" t="s">
        <v>30</v>
      </c>
      <c r="I268" s="2" t="s">
        <v>30</v>
      </c>
      <c r="J268" s="2" t="s">
        <v>30</v>
      </c>
      <c r="K268" s="2"/>
      <c r="L268" s="18" t="s">
        <v>142</v>
      </c>
      <c r="M268" s="7" t="s">
        <v>50</v>
      </c>
      <c r="N268" s="2" t="s">
        <v>396</v>
      </c>
      <c r="O268" s="7" t="s">
        <v>748</v>
      </c>
      <c r="P268" s="7" t="s">
        <v>493</v>
      </c>
      <c r="Q268" s="7" t="s">
        <v>416</v>
      </c>
      <c r="T268" s="2" t="s">
        <v>143</v>
      </c>
      <c r="W268" s="2" t="s">
        <v>52</v>
      </c>
      <c r="X268" s="1" t="str">
        <f t="shared" si="10"/>
        <v>*/GoodsShipment[0]/GoodsShipmentItem[0]/Commodity/CommodityCode/NationalAdditionalCode[0]/ccQualifier</v>
      </c>
    </row>
    <row r="269" spans="1:24" ht="12" customHeight="1" outlineLevel="4" x14ac:dyDescent="0.35">
      <c r="A269" s="3" t="str">
        <f t="shared" si="9"/>
        <v>CC413B</v>
      </c>
      <c r="B269" s="4">
        <v>4</v>
      </c>
      <c r="C269" s="3" t="s">
        <v>24</v>
      </c>
      <c r="D269" s="3" t="s">
        <v>25</v>
      </c>
      <c r="E269" s="3" t="s">
        <v>30</v>
      </c>
      <c r="F269" s="3" t="s">
        <v>30</v>
      </c>
      <c r="G269" s="3" t="s">
        <v>30</v>
      </c>
      <c r="H269" s="3" t="s">
        <v>30</v>
      </c>
      <c r="I269" s="3" t="s">
        <v>30</v>
      </c>
      <c r="J269" s="3" t="s">
        <v>30</v>
      </c>
      <c r="K269" s="3"/>
      <c r="L269" s="12" t="s">
        <v>340</v>
      </c>
      <c r="M269" s="4"/>
      <c r="N269" s="3" t="s">
        <v>27</v>
      </c>
      <c r="O269" s="15"/>
      <c r="P269" s="15"/>
      <c r="Q269" s="15"/>
      <c r="R269" s="4"/>
      <c r="S269" s="15" t="s">
        <v>1512</v>
      </c>
      <c r="T269" s="3" t="s">
        <v>341</v>
      </c>
      <c r="U269" s="4"/>
      <c r="V269" s="4"/>
      <c r="W269" s="3" t="s">
        <v>654</v>
      </c>
      <c r="X269" s="1" t="str">
        <f t="shared" si="10"/>
        <v>*/GoodsShipment[0]/GoodsShipmentItem[0]/Commodity/GoodsMeasure</v>
      </c>
    </row>
    <row r="270" spans="1:24" ht="12" customHeight="1" outlineLevel="5" x14ac:dyDescent="0.35">
      <c r="A270" s="2" t="str">
        <f t="shared" si="9"/>
        <v>CC413B</v>
      </c>
      <c r="B270" s="1">
        <v>5</v>
      </c>
      <c r="C270" s="1" t="s">
        <v>19</v>
      </c>
      <c r="D270" s="1" t="s">
        <v>30</v>
      </c>
      <c r="E270" s="2" t="s">
        <v>30</v>
      </c>
      <c r="F270" s="2" t="s">
        <v>30</v>
      </c>
      <c r="G270" s="2" t="s">
        <v>30</v>
      </c>
      <c r="H270" s="2" t="s">
        <v>30</v>
      </c>
      <c r="I270" s="2" t="s">
        <v>30</v>
      </c>
      <c r="J270" s="2" t="s">
        <v>30</v>
      </c>
      <c r="K270" s="2"/>
      <c r="L270" s="13" t="s">
        <v>310</v>
      </c>
      <c r="M270" s="7" t="s">
        <v>311</v>
      </c>
      <c r="N270" s="2" t="s">
        <v>22</v>
      </c>
      <c r="O270" s="7" t="s">
        <v>551</v>
      </c>
      <c r="P270" s="14"/>
      <c r="Q270" s="14"/>
      <c r="S270" s="1" t="s">
        <v>1107</v>
      </c>
      <c r="T270" s="2" t="s">
        <v>312</v>
      </c>
      <c r="W270" s="2" t="s">
        <v>313</v>
      </c>
      <c r="X270" s="1" t="str">
        <f t="shared" si="10"/>
        <v>*/GoodsShipment[0]/GoodsShipmentItem[0]/Commodity/GoodsMeasure/grossMass</v>
      </c>
    </row>
    <row r="271" spans="1:24" ht="12" customHeight="1" outlineLevel="5" x14ac:dyDescent="0.35">
      <c r="A271" s="2" t="str">
        <f t="shared" si="9"/>
        <v>CC413B</v>
      </c>
      <c r="B271" s="1">
        <v>5</v>
      </c>
      <c r="C271" s="1" t="s">
        <v>19</v>
      </c>
      <c r="D271" s="1" t="s">
        <v>30</v>
      </c>
      <c r="E271" s="2" t="s">
        <v>25</v>
      </c>
      <c r="F271" s="2"/>
      <c r="G271" s="2"/>
      <c r="H271" s="2" t="s">
        <v>25</v>
      </c>
      <c r="I271" s="2" t="s">
        <v>25</v>
      </c>
      <c r="J271" s="2" t="s">
        <v>30</v>
      </c>
      <c r="K271" s="2"/>
      <c r="L271" s="13" t="s">
        <v>655</v>
      </c>
      <c r="M271" s="7" t="s">
        <v>311</v>
      </c>
      <c r="N271" s="2" t="s">
        <v>396</v>
      </c>
      <c r="O271" s="7" t="s">
        <v>759</v>
      </c>
      <c r="P271" s="7" t="s">
        <v>656</v>
      </c>
      <c r="Q271" s="14"/>
      <c r="S271" s="1" t="s">
        <v>1160</v>
      </c>
      <c r="T271" s="2" t="s">
        <v>657</v>
      </c>
      <c r="W271" s="2" t="s">
        <v>313</v>
      </c>
      <c r="X271" s="1" t="str">
        <f t="shared" si="10"/>
        <v>*/GoodsShipment[0]/GoodsShipmentItem[0]/Commodity/GoodsMeasure/netMass</v>
      </c>
    </row>
    <row r="272" spans="1:24" ht="12" customHeight="1" outlineLevel="5" x14ac:dyDescent="0.35">
      <c r="A272" s="2" t="str">
        <f t="shared" si="9"/>
        <v>CC413B</v>
      </c>
      <c r="B272" s="1">
        <v>5</v>
      </c>
      <c r="C272" s="1" t="s">
        <v>19</v>
      </c>
      <c r="D272" s="1" t="s">
        <v>30</v>
      </c>
      <c r="E272" s="2" t="s">
        <v>30</v>
      </c>
      <c r="F272" s="2" t="s">
        <v>30</v>
      </c>
      <c r="G272" s="2" t="s">
        <v>30</v>
      </c>
      <c r="H272" s="2" t="s">
        <v>30</v>
      </c>
      <c r="I272" s="2" t="s">
        <v>30</v>
      </c>
      <c r="J272" s="2" t="s">
        <v>30</v>
      </c>
      <c r="K272" s="2"/>
      <c r="L272" s="13" t="s">
        <v>658</v>
      </c>
      <c r="M272" s="7" t="s">
        <v>311</v>
      </c>
      <c r="N272" s="2" t="s">
        <v>396</v>
      </c>
      <c r="O272" s="7" t="s">
        <v>761</v>
      </c>
      <c r="P272" s="7" t="s">
        <v>760</v>
      </c>
      <c r="Q272" s="14"/>
      <c r="S272" s="1" t="s">
        <v>1161</v>
      </c>
      <c r="T272" s="2" t="s">
        <v>659</v>
      </c>
      <c r="W272" s="2" t="s">
        <v>313</v>
      </c>
      <c r="X272" s="1" t="str">
        <f t="shared" si="10"/>
        <v>*/GoodsShipment[0]/GoodsShipmentItem[0]/Commodity/GoodsMeasure/supplementaryUnits</v>
      </c>
    </row>
    <row r="273" spans="1:24" ht="12" customHeight="1" outlineLevel="4" x14ac:dyDescent="0.35">
      <c r="A273" s="3" t="str">
        <f t="shared" si="9"/>
        <v>CC413B</v>
      </c>
      <c r="B273" s="4">
        <v>4</v>
      </c>
      <c r="C273" s="3" t="s">
        <v>24</v>
      </c>
      <c r="D273" s="3" t="s">
        <v>30</v>
      </c>
      <c r="E273" s="3" t="s">
        <v>30</v>
      </c>
      <c r="F273" s="3"/>
      <c r="G273" s="3" t="s">
        <v>30</v>
      </c>
      <c r="H273" s="3" t="s">
        <v>30</v>
      </c>
      <c r="I273" s="3" t="s">
        <v>30</v>
      </c>
      <c r="J273" s="3" t="s">
        <v>30</v>
      </c>
      <c r="K273" s="3"/>
      <c r="L273" s="12" t="s">
        <v>660</v>
      </c>
      <c r="M273" s="4"/>
      <c r="N273" s="3" t="s">
        <v>396</v>
      </c>
      <c r="O273" s="16" t="s">
        <v>661</v>
      </c>
      <c r="P273" s="16" t="s">
        <v>662</v>
      </c>
      <c r="Q273" s="15"/>
      <c r="R273" s="4"/>
      <c r="S273" s="4" t="s">
        <v>1162</v>
      </c>
      <c r="T273" s="3" t="s">
        <v>663</v>
      </c>
      <c r="U273" s="4"/>
      <c r="V273" s="4"/>
      <c r="W273" s="3" t="s">
        <v>664</v>
      </c>
      <c r="X273" s="1" t="str">
        <f t="shared" si="10"/>
        <v>*/GoodsShipment[0]/GoodsShipmentItem[0]/Commodity/InvoiceLine</v>
      </c>
    </row>
    <row r="274" spans="1:24" ht="12" customHeight="1" outlineLevel="5" x14ac:dyDescent="0.35">
      <c r="A274" s="2" t="str">
        <f t="shared" si="9"/>
        <v>CC413B</v>
      </c>
      <c r="B274" s="1">
        <v>5</v>
      </c>
      <c r="C274" s="1" t="s">
        <v>19</v>
      </c>
      <c r="D274" s="1" t="s">
        <v>25</v>
      </c>
      <c r="E274" s="2" t="s">
        <v>25</v>
      </c>
      <c r="F274" s="2"/>
      <c r="G274" s="2" t="s">
        <v>25</v>
      </c>
      <c r="H274" s="2" t="s">
        <v>25</v>
      </c>
      <c r="I274" s="2" t="s">
        <v>25</v>
      </c>
      <c r="J274" s="2" t="s">
        <v>25</v>
      </c>
      <c r="K274" s="2"/>
      <c r="L274" s="13" t="s">
        <v>665</v>
      </c>
      <c r="M274" s="7" t="s">
        <v>152</v>
      </c>
      <c r="N274" s="2" t="s">
        <v>27</v>
      </c>
      <c r="O274" s="7" t="s">
        <v>419</v>
      </c>
      <c r="P274" s="14"/>
      <c r="Q274" s="14"/>
      <c r="S274" s="1" t="s">
        <v>1163</v>
      </c>
      <c r="T274" s="2" t="s">
        <v>666</v>
      </c>
      <c r="W274" s="2" t="s">
        <v>154</v>
      </c>
      <c r="X274" s="1" t="str">
        <f t="shared" si="10"/>
        <v>*/GoodsShipment[0]/GoodsShipmentItem[0]/Commodity/InvoiceLine/itemAmountInvoiced</v>
      </c>
    </row>
    <row r="275" spans="1:24" ht="12" customHeight="1" outlineLevel="4" x14ac:dyDescent="0.35">
      <c r="A275" s="3" t="str">
        <f t="shared" si="9"/>
        <v>CC413B</v>
      </c>
      <c r="B275" s="4">
        <v>4</v>
      </c>
      <c r="C275" s="3" t="s">
        <v>24</v>
      </c>
      <c r="D275" s="3" t="s">
        <v>30</v>
      </c>
      <c r="E275" s="3" t="s">
        <v>30</v>
      </c>
      <c r="F275" s="3" t="s">
        <v>30</v>
      </c>
      <c r="G275" s="3" t="s">
        <v>30</v>
      </c>
      <c r="H275" s="3" t="s">
        <v>30</v>
      </c>
      <c r="I275" s="3" t="s">
        <v>30</v>
      </c>
      <c r="J275" s="3" t="s">
        <v>30</v>
      </c>
      <c r="K275" s="3" t="s">
        <v>30</v>
      </c>
      <c r="L275" s="12" t="s">
        <v>667</v>
      </c>
      <c r="M275" s="4"/>
      <c r="N275" s="3" t="s">
        <v>396</v>
      </c>
      <c r="O275" s="15" t="s">
        <v>762</v>
      </c>
      <c r="P275" s="16" t="s">
        <v>668</v>
      </c>
      <c r="Q275" s="15"/>
      <c r="R275" s="4"/>
      <c r="S275" s="4" t="s">
        <v>1164</v>
      </c>
      <c r="T275" s="3" t="s">
        <v>669</v>
      </c>
      <c r="U275" s="4"/>
      <c r="V275" s="4"/>
      <c r="W275" s="3" t="s">
        <v>670</v>
      </c>
      <c r="X275" s="1" t="str">
        <f t="shared" si="10"/>
        <v>*/GoodsShipment[0]/GoodsShipmentItem[0]/Commodity/CalculationOfTaxes</v>
      </c>
    </row>
    <row r="276" spans="1:24" ht="12" customHeight="1" outlineLevel="5" x14ac:dyDescent="0.35">
      <c r="A276" s="2" t="str">
        <f t="shared" si="9"/>
        <v>CC413B</v>
      </c>
      <c r="B276" s="1">
        <v>5</v>
      </c>
      <c r="C276" s="1" t="s">
        <v>19</v>
      </c>
      <c r="D276" s="1" t="s">
        <v>30</v>
      </c>
      <c r="E276" s="2" t="s">
        <v>30</v>
      </c>
      <c r="F276" s="2" t="s">
        <v>30</v>
      </c>
      <c r="G276" s="2" t="s">
        <v>30</v>
      </c>
      <c r="H276" s="2" t="s">
        <v>30</v>
      </c>
      <c r="I276" s="2" t="s">
        <v>30</v>
      </c>
      <c r="J276" s="2" t="s">
        <v>30</v>
      </c>
      <c r="K276" s="2"/>
      <c r="L276" s="13" t="s">
        <v>671</v>
      </c>
      <c r="M276" s="7" t="s">
        <v>672</v>
      </c>
      <c r="N276" s="2" t="s">
        <v>396</v>
      </c>
      <c r="O276" s="7" t="s">
        <v>673</v>
      </c>
      <c r="P276" s="7" t="s">
        <v>668</v>
      </c>
      <c r="Q276" s="7" t="s">
        <v>674</v>
      </c>
      <c r="S276" s="1" t="s">
        <v>1165</v>
      </c>
      <c r="T276" s="2" t="s">
        <v>675</v>
      </c>
      <c r="W276" s="2" t="s">
        <v>676</v>
      </c>
      <c r="X276" s="1" t="str">
        <f t="shared" si="10"/>
        <v>*/GoodsShipment[0]/GoodsShipmentItem[0]/Commodity/CalculationOfTaxes/preference</v>
      </c>
    </row>
    <row r="277" spans="1:24" ht="12" customHeight="1" outlineLevel="5" x14ac:dyDescent="0.35">
      <c r="A277" s="2" t="str">
        <f t="shared" si="9"/>
        <v>CC413B</v>
      </c>
      <c r="B277" s="1">
        <v>5</v>
      </c>
      <c r="C277" s="1" t="s">
        <v>19</v>
      </c>
      <c r="D277" s="1" t="s">
        <v>30</v>
      </c>
      <c r="E277" s="2" t="s">
        <v>30</v>
      </c>
      <c r="F277" s="2" t="s">
        <v>30</v>
      </c>
      <c r="G277" s="2" t="s">
        <v>30</v>
      </c>
      <c r="H277" s="2" t="s">
        <v>30</v>
      </c>
      <c r="I277" s="2" t="s">
        <v>30</v>
      </c>
      <c r="J277" s="2"/>
      <c r="K277" s="2"/>
      <c r="L277" s="13" t="s">
        <v>677</v>
      </c>
      <c r="M277" s="7" t="s">
        <v>152</v>
      </c>
      <c r="N277" s="2" t="s">
        <v>22</v>
      </c>
      <c r="O277" s="7" t="s">
        <v>763</v>
      </c>
      <c r="P277" s="14"/>
      <c r="Q277" s="14"/>
      <c r="S277" s="1" t="s">
        <v>1166</v>
      </c>
      <c r="T277" s="2" t="s">
        <v>678</v>
      </c>
      <c r="W277" s="2" t="s">
        <v>154</v>
      </c>
      <c r="X277" s="1" t="str">
        <f t="shared" si="10"/>
        <v>*/GoodsShipment[0]/GoodsShipmentItem[0]/Commodity/CalculationOfTaxes/totalDutiesAndTaxesAmount</v>
      </c>
    </row>
    <row r="278" spans="1:24" ht="12" customHeight="1" outlineLevel="5" x14ac:dyDescent="0.35">
      <c r="A278" s="3" t="str">
        <f t="shared" si="9"/>
        <v>CC413B</v>
      </c>
      <c r="B278" s="4">
        <v>5</v>
      </c>
      <c r="C278" s="3" t="s">
        <v>24</v>
      </c>
      <c r="D278" s="3" t="s">
        <v>193</v>
      </c>
      <c r="E278" s="3" t="s">
        <v>193</v>
      </c>
      <c r="F278" s="3" t="s">
        <v>193</v>
      </c>
      <c r="G278" s="3" t="s">
        <v>193</v>
      </c>
      <c r="H278" s="3" t="s">
        <v>193</v>
      </c>
      <c r="I278" s="3" t="s">
        <v>193</v>
      </c>
      <c r="J278" s="3" t="s">
        <v>193</v>
      </c>
      <c r="K278" s="3" t="s">
        <v>193</v>
      </c>
      <c r="L278" s="17" t="s">
        <v>679</v>
      </c>
      <c r="M278" s="4"/>
      <c r="N278" s="3" t="s">
        <v>396</v>
      </c>
      <c r="O278" s="16" t="s">
        <v>765</v>
      </c>
      <c r="P278" s="15" t="s">
        <v>764</v>
      </c>
      <c r="Q278" s="15"/>
      <c r="R278" s="4"/>
      <c r="S278" s="4" t="s">
        <v>1167</v>
      </c>
      <c r="T278" s="3" t="s">
        <v>681</v>
      </c>
      <c r="U278" s="4"/>
      <c r="V278" s="4"/>
      <c r="W278" s="3" t="s">
        <v>682</v>
      </c>
      <c r="X278" s="1" t="str">
        <f t="shared" si="10"/>
        <v>*/GoodsShipment[0]/GoodsShipmentItem[0]/Commodity/CalculationOfTaxes/DutiesAndTaxes[0]</v>
      </c>
    </row>
    <row r="279" spans="1:24" ht="12" customHeight="1" outlineLevel="6" x14ac:dyDescent="0.35">
      <c r="A279" s="2" t="str">
        <f t="shared" si="9"/>
        <v>CC413B</v>
      </c>
      <c r="B279" s="1">
        <v>6</v>
      </c>
      <c r="C279" s="1" t="s">
        <v>19</v>
      </c>
      <c r="D279" s="1" t="s">
        <v>25</v>
      </c>
      <c r="E279" s="2" t="s">
        <v>25</v>
      </c>
      <c r="F279" s="2" t="s">
        <v>25</v>
      </c>
      <c r="G279" s="2" t="s">
        <v>25</v>
      </c>
      <c r="H279" s="2" t="s">
        <v>25</v>
      </c>
      <c r="I279" s="2" t="s">
        <v>25</v>
      </c>
      <c r="J279" s="2" t="s">
        <v>25</v>
      </c>
      <c r="K279" s="2" t="s">
        <v>25</v>
      </c>
      <c r="L279" s="18" t="s">
        <v>56</v>
      </c>
      <c r="M279" s="7" t="s">
        <v>57</v>
      </c>
      <c r="N279" s="2" t="s">
        <v>27</v>
      </c>
      <c r="O279" s="7" t="s">
        <v>393</v>
      </c>
      <c r="P279" s="14"/>
      <c r="Q279" s="14"/>
      <c r="T279" s="2" t="s">
        <v>58</v>
      </c>
      <c r="W279" s="2" t="s">
        <v>59</v>
      </c>
      <c r="X279" s="1" t="str">
        <f t="shared" si="10"/>
        <v>*/GoodsShipment[0]/GoodsShipmentItem[0]/Commodity/CalculationOfTaxes/DutiesAndTaxes[0]/sequenceNumber</v>
      </c>
    </row>
    <row r="280" spans="1:24" ht="12" customHeight="1" outlineLevel="6" x14ac:dyDescent="0.35">
      <c r="A280" s="2" t="str">
        <f t="shared" si="9"/>
        <v>CC413B</v>
      </c>
      <c r="B280" s="1">
        <v>6</v>
      </c>
      <c r="C280" s="1" t="s">
        <v>19</v>
      </c>
      <c r="D280" s="1" t="s">
        <v>30</v>
      </c>
      <c r="E280" s="2" t="s">
        <v>30</v>
      </c>
      <c r="F280" s="2" t="s">
        <v>30</v>
      </c>
      <c r="G280" s="2" t="s">
        <v>30</v>
      </c>
      <c r="H280" s="2" t="s">
        <v>30</v>
      </c>
      <c r="I280" s="2" t="s">
        <v>30</v>
      </c>
      <c r="J280" s="2"/>
      <c r="K280" s="2"/>
      <c r="L280" s="18" t="s">
        <v>683</v>
      </c>
      <c r="M280" s="7" t="s">
        <v>333</v>
      </c>
      <c r="N280" s="2" t="s">
        <v>22</v>
      </c>
      <c r="O280" s="7" t="s">
        <v>680</v>
      </c>
      <c r="P280" s="14"/>
      <c r="Q280" s="7" t="s">
        <v>684</v>
      </c>
      <c r="S280" s="1" t="s">
        <v>1168</v>
      </c>
      <c r="T280" s="2" t="s">
        <v>685</v>
      </c>
      <c r="W280" s="2" t="s">
        <v>686</v>
      </c>
      <c r="X280" s="1" t="str">
        <f t="shared" si="10"/>
        <v>*/GoodsShipment[0]/GoodsShipmentItem[0]/Commodity/CalculationOfTaxes/DutiesAndTaxes[0]/taxType</v>
      </c>
    </row>
    <row r="281" spans="1:24" ht="12" customHeight="1" outlineLevel="6" x14ac:dyDescent="0.35">
      <c r="A281" s="2" t="str">
        <f t="shared" si="9"/>
        <v>CC413B</v>
      </c>
      <c r="B281" s="1">
        <v>6</v>
      </c>
      <c r="C281" s="1" t="s">
        <v>19</v>
      </c>
      <c r="D281" s="1" t="s">
        <v>30</v>
      </c>
      <c r="E281" s="2" t="s">
        <v>30</v>
      </c>
      <c r="F281" s="2" t="s">
        <v>30</v>
      </c>
      <c r="G281" s="2" t="s">
        <v>30</v>
      </c>
      <c r="H281" s="2" t="s">
        <v>30</v>
      </c>
      <c r="I281" s="2" t="s">
        <v>30</v>
      </c>
      <c r="J281" s="2" t="s">
        <v>30</v>
      </c>
      <c r="K281" s="2" t="s">
        <v>30</v>
      </c>
      <c r="L281" s="18" t="s">
        <v>142</v>
      </c>
      <c r="M281" s="7" t="s">
        <v>50</v>
      </c>
      <c r="N281" s="2" t="s">
        <v>396</v>
      </c>
      <c r="O281" s="7" t="s">
        <v>748</v>
      </c>
      <c r="P281" s="7" t="s">
        <v>493</v>
      </c>
      <c r="Q281" s="7" t="s">
        <v>416</v>
      </c>
      <c r="T281" s="2" t="s">
        <v>143</v>
      </c>
      <c r="W281" s="2" t="s">
        <v>52</v>
      </c>
      <c r="X281" s="1" t="str">
        <f t="shared" si="10"/>
        <v>*/GoodsShipment[0]/GoodsShipmentItem[0]/Commodity/CalculationOfTaxes/DutiesAndTaxes[0]/ccQualifier</v>
      </c>
    </row>
    <row r="282" spans="1:24" ht="12" customHeight="1" outlineLevel="6" x14ac:dyDescent="0.35">
      <c r="A282" s="2" t="str">
        <f t="shared" si="9"/>
        <v>CC413B</v>
      </c>
      <c r="B282" s="1">
        <v>6</v>
      </c>
      <c r="C282" s="1" t="s">
        <v>19</v>
      </c>
      <c r="D282" s="1" t="s">
        <v>30</v>
      </c>
      <c r="E282" s="2" t="s">
        <v>30</v>
      </c>
      <c r="F282" s="2" t="s">
        <v>30</v>
      </c>
      <c r="G282" s="2" t="s">
        <v>30</v>
      </c>
      <c r="H282" s="2" t="s">
        <v>30</v>
      </c>
      <c r="I282" s="2" t="s">
        <v>30</v>
      </c>
      <c r="J282" s="2"/>
      <c r="K282" s="2"/>
      <c r="L282" s="18" t="s">
        <v>687</v>
      </c>
      <c r="M282" s="7" t="s">
        <v>152</v>
      </c>
      <c r="N282" s="2" t="s">
        <v>22</v>
      </c>
      <c r="O282" s="7" t="s">
        <v>419</v>
      </c>
      <c r="P282" s="14"/>
      <c r="Q282" s="14"/>
      <c r="S282" s="1" t="s">
        <v>1169</v>
      </c>
      <c r="T282" s="2" t="s">
        <v>688</v>
      </c>
      <c r="W282" s="2" t="s">
        <v>154</v>
      </c>
      <c r="X282" s="1" t="str">
        <f t="shared" si="10"/>
        <v>*/GoodsShipment[0]/GoodsShipmentItem[0]/Commodity/CalculationOfTaxes/DutiesAndTaxes[0]/payableTaxAmount</v>
      </c>
    </row>
    <row r="283" spans="1:24" ht="12" customHeight="1" outlineLevel="6" x14ac:dyDescent="0.35">
      <c r="A283" s="2" t="str">
        <f t="shared" si="9"/>
        <v>CC413B</v>
      </c>
      <c r="B283" s="1">
        <v>6</v>
      </c>
      <c r="C283" s="1" t="s">
        <v>19</v>
      </c>
      <c r="D283" s="1" t="s">
        <v>30</v>
      </c>
      <c r="E283" s="2" t="s">
        <v>30</v>
      </c>
      <c r="F283" s="2" t="s">
        <v>30</v>
      </c>
      <c r="G283" s="2" t="s">
        <v>30</v>
      </c>
      <c r="H283" s="2" t="s">
        <v>30</v>
      </c>
      <c r="I283" s="2" t="s">
        <v>30</v>
      </c>
      <c r="J283" s="2"/>
      <c r="K283" s="2"/>
      <c r="L283" s="18" t="s">
        <v>689</v>
      </c>
      <c r="M283" s="7" t="s">
        <v>44</v>
      </c>
      <c r="N283" s="2" t="s">
        <v>22</v>
      </c>
      <c r="O283" s="7" t="s">
        <v>690</v>
      </c>
      <c r="P283" s="14"/>
      <c r="Q283" s="7" t="s">
        <v>691</v>
      </c>
      <c r="S283" s="1" t="s">
        <v>1170</v>
      </c>
      <c r="T283" s="2" t="s">
        <v>692</v>
      </c>
      <c r="W283" s="2" t="s">
        <v>693</v>
      </c>
      <c r="X283" s="1" t="str">
        <f t="shared" si="10"/>
        <v>*/GoodsShipment[0]/GoodsShipmentItem[0]/Commodity/CalculationOfTaxes/DutiesAndTaxes[0]/methodOfPayment</v>
      </c>
    </row>
    <row r="284" spans="1:24" ht="12" customHeight="1" outlineLevel="6" x14ac:dyDescent="0.35">
      <c r="A284" s="3" t="str">
        <f t="shared" si="9"/>
        <v>CC413B</v>
      </c>
      <c r="B284" s="4">
        <v>6</v>
      </c>
      <c r="C284" s="3" t="s">
        <v>24</v>
      </c>
      <c r="D284" s="3" t="s">
        <v>193</v>
      </c>
      <c r="E284" s="3" t="s">
        <v>193</v>
      </c>
      <c r="F284" s="3" t="s">
        <v>193</v>
      </c>
      <c r="G284" s="3" t="s">
        <v>193</v>
      </c>
      <c r="H284" s="3" t="s">
        <v>193</v>
      </c>
      <c r="I284" s="3" t="s">
        <v>193</v>
      </c>
      <c r="J284" s="3" t="s">
        <v>193</v>
      </c>
      <c r="K284" s="3" t="s">
        <v>193</v>
      </c>
      <c r="L284" s="19" t="s">
        <v>694</v>
      </c>
      <c r="M284" s="4"/>
      <c r="N284" s="3" t="s">
        <v>396</v>
      </c>
      <c r="O284" s="16" t="s">
        <v>765</v>
      </c>
      <c r="P284" s="15" t="s">
        <v>764</v>
      </c>
      <c r="Q284" s="15"/>
      <c r="R284" s="4"/>
      <c r="S284" s="4" t="s">
        <v>1171</v>
      </c>
      <c r="T284" s="3" t="s">
        <v>695</v>
      </c>
      <c r="U284" s="4"/>
      <c r="V284" s="4"/>
      <c r="W284" s="3" t="s">
        <v>696</v>
      </c>
      <c r="X284" s="1" t="str">
        <f t="shared" si="10"/>
        <v>*/GoodsShipment[0]/GoodsShipmentItem[0]/Commodity/CalculationOfTaxes/DutiesAndTaxes[0]/TaxBase[0]</v>
      </c>
    </row>
    <row r="285" spans="1:24" ht="12" customHeight="1" outlineLevel="7" x14ac:dyDescent="0.35">
      <c r="A285" s="2" t="str">
        <f t="shared" si="9"/>
        <v>CC413B</v>
      </c>
      <c r="B285" s="1">
        <v>7</v>
      </c>
      <c r="C285" s="1" t="s">
        <v>19</v>
      </c>
      <c r="D285" s="1" t="s">
        <v>25</v>
      </c>
      <c r="E285" s="2" t="s">
        <v>25</v>
      </c>
      <c r="F285" s="2" t="s">
        <v>25</v>
      </c>
      <c r="G285" s="2" t="s">
        <v>25</v>
      </c>
      <c r="H285" s="2" t="s">
        <v>25</v>
      </c>
      <c r="I285" s="2" t="s">
        <v>25</v>
      </c>
      <c r="J285" s="2" t="s">
        <v>25</v>
      </c>
      <c r="K285" s="2" t="s">
        <v>25</v>
      </c>
      <c r="L285" s="20" t="s">
        <v>56</v>
      </c>
      <c r="M285" s="7" t="s">
        <v>57</v>
      </c>
      <c r="N285" s="2" t="s">
        <v>27</v>
      </c>
      <c r="O285" s="7" t="s">
        <v>393</v>
      </c>
      <c r="P285" s="14"/>
      <c r="Q285" s="14"/>
      <c r="T285" s="2" t="s">
        <v>58</v>
      </c>
      <c r="W285" s="2" t="s">
        <v>59</v>
      </c>
      <c r="X285" s="1" t="str">
        <f t="shared" si="10"/>
        <v>*/GoodsShipment[0]/GoodsShipmentItem[0]/Commodity/CalculationOfTaxes/DutiesAndTaxes[0]/TaxBase[0]/sequenceNumber</v>
      </c>
    </row>
    <row r="286" spans="1:24" ht="12" customHeight="1" outlineLevel="7" x14ac:dyDescent="0.35">
      <c r="A286" s="2" t="str">
        <f t="shared" si="9"/>
        <v>CC413B</v>
      </c>
      <c r="B286" s="1">
        <v>7</v>
      </c>
      <c r="C286" s="1" t="s">
        <v>19</v>
      </c>
      <c r="D286" s="1" t="s">
        <v>30</v>
      </c>
      <c r="E286" s="2" t="s">
        <v>30</v>
      </c>
      <c r="F286" s="2" t="s">
        <v>30</v>
      </c>
      <c r="G286" s="2" t="s">
        <v>30</v>
      </c>
      <c r="H286" s="2" t="s">
        <v>30</v>
      </c>
      <c r="I286" s="2" t="s">
        <v>30</v>
      </c>
      <c r="J286" s="2"/>
      <c r="K286" s="2"/>
      <c r="L286" s="20" t="s">
        <v>697</v>
      </c>
      <c r="M286" s="7" t="s">
        <v>698</v>
      </c>
      <c r="N286" s="2" t="s">
        <v>22</v>
      </c>
      <c r="O286" s="7" t="s">
        <v>680</v>
      </c>
      <c r="P286" s="14"/>
      <c r="Q286" s="14"/>
      <c r="S286" s="1" t="s">
        <v>1172</v>
      </c>
      <c r="T286" s="2" t="s">
        <v>699</v>
      </c>
      <c r="W286" s="2" t="s">
        <v>700</v>
      </c>
      <c r="X286" s="1" t="str">
        <f t="shared" si="10"/>
        <v>*/GoodsShipment[0]/GoodsShipmentItem[0]/Commodity/CalculationOfTaxes/DutiesAndTaxes[0]/TaxBase[0]/taxRate</v>
      </c>
    </row>
    <row r="287" spans="1:24" ht="12" customHeight="1" outlineLevel="7" x14ac:dyDescent="0.35">
      <c r="A287" s="2" t="str">
        <f t="shared" si="9"/>
        <v>CC413B</v>
      </c>
      <c r="B287" s="1">
        <v>7</v>
      </c>
      <c r="C287" s="1" t="s">
        <v>19</v>
      </c>
      <c r="D287" s="1" t="s">
        <v>30</v>
      </c>
      <c r="E287" s="2" t="s">
        <v>30</v>
      </c>
      <c r="F287" s="2" t="s">
        <v>30</v>
      </c>
      <c r="G287" s="2" t="s">
        <v>30</v>
      </c>
      <c r="H287" s="2" t="s">
        <v>30</v>
      </c>
      <c r="I287" s="2" t="s">
        <v>30</v>
      </c>
      <c r="J287" s="2" t="s">
        <v>30</v>
      </c>
      <c r="K287" s="2" t="s">
        <v>30</v>
      </c>
      <c r="L287" s="20" t="s">
        <v>353</v>
      </c>
      <c r="M287" s="7" t="s">
        <v>60</v>
      </c>
      <c r="N287" s="2" t="s">
        <v>396</v>
      </c>
      <c r="O287" s="7" t="s">
        <v>766</v>
      </c>
      <c r="P287" s="7" t="s">
        <v>701</v>
      </c>
      <c r="Q287" s="14"/>
      <c r="S287" s="1" t="s">
        <v>1173</v>
      </c>
      <c r="T287" s="2" t="s">
        <v>354</v>
      </c>
      <c r="W287" s="2" t="s">
        <v>355</v>
      </c>
      <c r="X287" s="1" t="str">
        <f t="shared" si="10"/>
        <v>*/GoodsShipment[0]/GoodsShipmentItem[0]/Commodity/CalculationOfTaxes/DutiesAndTaxes[0]/TaxBase[0]/measurementUnitAndQualifier</v>
      </c>
    </row>
    <row r="288" spans="1:24" ht="12" customHeight="1" outlineLevel="7" x14ac:dyDescent="0.35">
      <c r="A288" s="2" t="str">
        <f t="shared" si="9"/>
        <v>CC413B</v>
      </c>
      <c r="B288" s="1">
        <v>7</v>
      </c>
      <c r="C288" s="1" t="s">
        <v>19</v>
      </c>
      <c r="D288" s="1" t="s">
        <v>30</v>
      </c>
      <c r="E288" s="2" t="s">
        <v>30</v>
      </c>
      <c r="F288" s="2" t="s">
        <v>30</v>
      </c>
      <c r="G288" s="2" t="s">
        <v>30</v>
      </c>
      <c r="H288" s="2" t="s">
        <v>30</v>
      </c>
      <c r="I288" s="2" t="s">
        <v>30</v>
      </c>
      <c r="J288" s="2" t="s">
        <v>30</v>
      </c>
      <c r="K288" s="2" t="s">
        <v>30</v>
      </c>
      <c r="L288" s="20" t="s">
        <v>356</v>
      </c>
      <c r="M288" s="7" t="s">
        <v>50</v>
      </c>
      <c r="N288" s="2" t="s">
        <v>396</v>
      </c>
      <c r="O288" s="7" t="s">
        <v>748</v>
      </c>
      <c r="P288" s="7" t="s">
        <v>493</v>
      </c>
      <c r="Q288" s="7" t="s">
        <v>416</v>
      </c>
      <c r="T288" s="2" t="s">
        <v>357</v>
      </c>
      <c r="W288" s="2" t="s">
        <v>52</v>
      </c>
      <c r="X288" s="1" t="str">
        <f t="shared" si="10"/>
        <v>*/GoodsShipment[0]/GoodsShipmentItem[0]/Commodity/CalculationOfTaxes/DutiesAndTaxes[0]/TaxBase[0]/ccQualifierForMeasurementUnitAndQualifier</v>
      </c>
    </row>
    <row r="289" spans="1:24" ht="12" customHeight="1" outlineLevel="7" x14ac:dyDescent="0.35">
      <c r="A289" s="2" t="str">
        <f t="shared" si="9"/>
        <v>CC413B</v>
      </c>
      <c r="B289" s="1">
        <v>7</v>
      </c>
      <c r="C289" s="1" t="s">
        <v>19</v>
      </c>
      <c r="D289" s="1" t="s">
        <v>30</v>
      </c>
      <c r="E289" s="2" t="s">
        <v>30</v>
      </c>
      <c r="F289" s="2" t="s">
        <v>30</v>
      </c>
      <c r="G289" s="2" t="s">
        <v>30</v>
      </c>
      <c r="H289" s="2" t="s">
        <v>30</v>
      </c>
      <c r="I289" s="2" t="s">
        <v>30</v>
      </c>
      <c r="J289" s="2" t="s">
        <v>30</v>
      </c>
      <c r="K289" s="2" t="s">
        <v>30</v>
      </c>
      <c r="L289" s="20" t="s">
        <v>358</v>
      </c>
      <c r="M289" s="7" t="s">
        <v>311</v>
      </c>
      <c r="N289" s="2" t="s">
        <v>396</v>
      </c>
      <c r="O289" s="14"/>
      <c r="P289" s="7" t="s">
        <v>702</v>
      </c>
      <c r="Q289" s="14"/>
      <c r="S289" s="1" t="s">
        <v>1174</v>
      </c>
      <c r="T289" s="2" t="s">
        <v>359</v>
      </c>
      <c r="W289" s="2" t="s">
        <v>313</v>
      </c>
      <c r="X289" s="1" t="str">
        <f t="shared" si="10"/>
        <v>*/GoodsShipment[0]/GoodsShipmentItem[0]/Commodity/CalculationOfTaxes/DutiesAndTaxes[0]/TaxBase[0]/quantity</v>
      </c>
    </row>
    <row r="290" spans="1:24" ht="12" customHeight="1" outlineLevel="7" x14ac:dyDescent="0.35">
      <c r="A290" s="2" t="str">
        <f t="shared" si="9"/>
        <v>CC413B</v>
      </c>
      <c r="B290" s="1">
        <v>7</v>
      </c>
      <c r="C290" s="1" t="s">
        <v>19</v>
      </c>
      <c r="D290" s="1" t="s">
        <v>30</v>
      </c>
      <c r="E290" s="2" t="s">
        <v>30</v>
      </c>
      <c r="F290" s="2" t="s">
        <v>30</v>
      </c>
      <c r="G290" s="2" t="s">
        <v>30</v>
      </c>
      <c r="H290" s="2" t="s">
        <v>30</v>
      </c>
      <c r="I290" s="2" t="s">
        <v>30</v>
      </c>
      <c r="J290" s="2"/>
      <c r="K290" s="2"/>
      <c r="L290" s="20" t="s">
        <v>524</v>
      </c>
      <c r="M290" s="7" t="s">
        <v>181</v>
      </c>
      <c r="N290" s="2" t="s">
        <v>396</v>
      </c>
      <c r="O290" s="14"/>
      <c r="P290" s="7" t="s">
        <v>703</v>
      </c>
      <c r="Q290" s="14"/>
      <c r="S290" s="1" t="s">
        <v>1175</v>
      </c>
      <c r="T290" s="2" t="s">
        <v>525</v>
      </c>
      <c r="W290" s="2" t="s">
        <v>183</v>
      </c>
      <c r="X290" s="1" t="str">
        <f t="shared" si="10"/>
        <v>*/GoodsShipment[0]/GoodsShipmentItem[0]/Commodity/CalculationOfTaxes/DutiesAndTaxes[0]/TaxBase[0]/amount</v>
      </c>
    </row>
    <row r="291" spans="1:24" ht="12" customHeight="1" outlineLevel="7" x14ac:dyDescent="0.35">
      <c r="A291" s="2" t="str">
        <f t="shared" si="9"/>
        <v>CC413B</v>
      </c>
      <c r="B291" s="1">
        <v>7</v>
      </c>
      <c r="C291" s="1" t="s">
        <v>19</v>
      </c>
      <c r="D291" s="1" t="s">
        <v>30</v>
      </c>
      <c r="E291" s="2" t="s">
        <v>30</v>
      </c>
      <c r="F291" s="2" t="s">
        <v>30</v>
      </c>
      <c r="G291" s="2" t="s">
        <v>30</v>
      </c>
      <c r="H291" s="2" t="s">
        <v>30</v>
      </c>
      <c r="I291" s="2" t="s">
        <v>30</v>
      </c>
      <c r="J291" s="2"/>
      <c r="K291" s="2"/>
      <c r="L291" s="20" t="s">
        <v>704</v>
      </c>
      <c r="M291" s="7" t="s">
        <v>181</v>
      </c>
      <c r="N291" s="2" t="s">
        <v>22</v>
      </c>
      <c r="O291" s="7" t="s">
        <v>705</v>
      </c>
      <c r="P291" s="14"/>
      <c r="Q291" s="14"/>
      <c r="S291" s="1" t="s">
        <v>1176</v>
      </c>
      <c r="T291" s="2" t="s">
        <v>706</v>
      </c>
      <c r="W291" s="2" t="s">
        <v>183</v>
      </c>
      <c r="X291" s="1" t="str">
        <f t="shared" si="10"/>
        <v>*/GoodsShipment[0]/GoodsShipmentItem[0]/Commodity/CalculationOfTaxes/DutiesAndTaxes[0]/TaxBase[0]/taxAmount</v>
      </c>
    </row>
    <row r="292" spans="1:24" ht="12" customHeight="1" outlineLevel="3" x14ac:dyDescent="0.35">
      <c r="A292" s="3" t="str">
        <f t="shared" si="9"/>
        <v>CC413B</v>
      </c>
      <c r="B292" s="4">
        <v>3</v>
      </c>
      <c r="C292" s="3" t="s">
        <v>24</v>
      </c>
      <c r="D292" s="3" t="s">
        <v>134</v>
      </c>
      <c r="E292" s="3" t="s">
        <v>134</v>
      </c>
      <c r="F292" s="3" t="s">
        <v>134</v>
      </c>
      <c r="G292" s="3" t="s">
        <v>134</v>
      </c>
      <c r="H292" s="3" t="s">
        <v>134</v>
      </c>
      <c r="I292" s="3" t="s">
        <v>134</v>
      </c>
      <c r="J292" s="3" t="s">
        <v>134</v>
      </c>
      <c r="K292" s="3" t="s">
        <v>134</v>
      </c>
      <c r="L292" s="10" t="s">
        <v>343</v>
      </c>
      <c r="M292" s="4"/>
      <c r="N292" s="3" t="s">
        <v>27</v>
      </c>
      <c r="O292" s="15"/>
      <c r="P292" s="15"/>
      <c r="Q292" s="15"/>
      <c r="R292" s="4"/>
      <c r="S292" s="4" t="s">
        <v>1177</v>
      </c>
      <c r="T292" s="3" t="s">
        <v>343</v>
      </c>
      <c r="U292" s="4"/>
      <c r="V292" s="4"/>
      <c r="W292" s="3" t="s">
        <v>707</v>
      </c>
      <c r="X292" s="1" t="str">
        <f t="shared" si="10"/>
        <v>*/GoodsShipment[0]/GoodsShipmentItem[0]/Packaging[0]</v>
      </c>
    </row>
    <row r="293" spans="1:24" ht="12" customHeight="1" outlineLevel="4" x14ac:dyDescent="0.35">
      <c r="A293" s="2" t="str">
        <f t="shared" si="9"/>
        <v>CC413B</v>
      </c>
      <c r="B293" s="1">
        <v>4</v>
      </c>
      <c r="C293" s="1" t="s">
        <v>19</v>
      </c>
      <c r="D293" s="1" t="s">
        <v>25</v>
      </c>
      <c r="E293" s="2" t="s">
        <v>25</v>
      </c>
      <c r="F293" s="2" t="s">
        <v>25</v>
      </c>
      <c r="G293" s="2" t="s">
        <v>25</v>
      </c>
      <c r="H293" s="2" t="s">
        <v>25</v>
      </c>
      <c r="I293" s="2" t="s">
        <v>25</v>
      </c>
      <c r="J293" s="2" t="s">
        <v>25</v>
      </c>
      <c r="K293" s="2" t="s">
        <v>25</v>
      </c>
      <c r="L293" s="11" t="s">
        <v>56</v>
      </c>
      <c r="M293" s="7" t="s">
        <v>57</v>
      </c>
      <c r="N293" s="2" t="s">
        <v>27</v>
      </c>
      <c r="O293" s="7" t="s">
        <v>393</v>
      </c>
      <c r="P293" s="14"/>
      <c r="Q293" s="14"/>
      <c r="T293" s="2" t="s">
        <v>58</v>
      </c>
      <c r="W293" s="2" t="s">
        <v>59</v>
      </c>
      <c r="X293" s="1" t="str">
        <f t="shared" si="10"/>
        <v>*/GoodsShipment[0]/GoodsShipmentItem[0]/Packaging[0]/sequenceNumber</v>
      </c>
    </row>
    <row r="294" spans="1:24" ht="12" customHeight="1" outlineLevel="4" x14ac:dyDescent="0.35">
      <c r="A294" s="2" t="str">
        <f t="shared" si="9"/>
        <v>CC413B</v>
      </c>
      <c r="B294" s="1">
        <v>4</v>
      </c>
      <c r="C294" s="1" t="s">
        <v>19</v>
      </c>
      <c r="D294" s="1" t="s">
        <v>25</v>
      </c>
      <c r="E294" s="2" t="s">
        <v>25</v>
      </c>
      <c r="F294" s="2" t="s">
        <v>25</v>
      </c>
      <c r="G294" s="2" t="s">
        <v>25</v>
      </c>
      <c r="H294" s="2" t="s">
        <v>25</v>
      </c>
      <c r="I294" s="2" t="s">
        <v>25</v>
      </c>
      <c r="J294" s="2" t="s">
        <v>25</v>
      </c>
      <c r="K294" s="2" t="s">
        <v>25</v>
      </c>
      <c r="L294" s="11" t="s">
        <v>345</v>
      </c>
      <c r="M294" s="7" t="s">
        <v>325</v>
      </c>
      <c r="N294" s="2" t="s">
        <v>27</v>
      </c>
      <c r="O294" s="14"/>
      <c r="P294" s="14"/>
      <c r="Q294" s="7" t="s">
        <v>1969</v>
      </c>
      <c r="S294" s="1" t="s">
        <v>1178</v>
      </c>
      <c r="T294" s="2" t="s">
        <v>346</v>
      </c>
      <c r="W294" s="2" t="s">
        <v>347</v>
      </c>
      <c r="X294" s="1" t="str">
        <f t="shared" si="10"/>
        <v>*/GoodsShipment[0]/GoodsShipmentItem[0]/Packaging[0]/typeOfPackages</v>
      </c>
    </row>
    <row r="295" spans="1:24" ht="12" customHeight="1" outlineLevel="4" x14ac:dyDescent="0.35">
      <c r="A295" s="2" t="str">
        <f t="shared" si="9"/>
        <v>CC413B</v>
      </c>
      <c r="B295" s="1">
        <v>4</v>
      </c>
      <c r="C295" s="1" t="s">
        <v>19</v>
      </c>
      <c r="D295" s="1" t="s">
        <v>30</v>
      </c>
      <c r="E295" s="2" t="s">
        <v>30</v>
      </c>
      <c r="F295" s="2" t="s">
        <v>30</v>
      </c>
      <c r="G295" s="2" t="s">
        <v>30</v>
      </c>
      <c r="H295" s="2" t="s">
        <v>30</v>
      </c>
      <c r="I295" s="2" t="s">
        <v>30</v>
      </c>
      <c r="J295" s="2" t="s">
        <v>30</v>
      </c>
      <c r="K295" s="2" t="s">
        <v>30</v>
      </c>
      <c r="L295" s="11" t="s">
        <v>348</v>
      </c>
      <c r="M295" s="7" t="s">
        <v>349</v>
      </c>
      <c r="N295" s="2" t="s">
        <v>396</v>
      </c>
      <c r="O295" s="7" t="s">
        <v>767</v>
      </c>
      <c r="P295" s="7" t="s">
        <v>709</v>
      </c>
      <c r="Q295" s="14"/>
      <c r="S295" s="1" t="s">
        <v>1179</v>
      </c>
      <c r="T295" s="2" t="s">
        <v>350</v>
      </c>
      <c r="W295" s="2" t="s">
        <v>351</v>
      </c>
      <c r="X295" s="1" t="str">
        <f t="shared" si="10"/>
        <v>*/GoodsShipment[0]/GoodsShipmentItem[0]/Packaging[0]/numberOfPackages</v>
      </c>
    </row>
    <row r="296" spans="1:24" ht="12" customHeight="1" outlineLevel="4" x14ac:dyDescent="0.35">
      <c r="A296" s="2" t="str">
        <f t="shared" si="9"/>
        <v>CC413B</v>
      </c>
      <c r="B296" s="1">
        <v>4</v>
      </c>
      <c r="C296" s="1" t="s">
        <v>19</v>
      </c>
      <c r="D296" s="1" t="s">
        <v>30</v>
      </c>
      <c r="E296" s="2" t="s">
        <v>30</v>
      </c>
      <c r="F296" s="2" t="s">
        <v>30</v>
      </c>
      <c r="G296" s="2" t="s">
        <v>30</v>
      </c>
      <c r="H296" s="2" t="s">
        <v>30</v>
      </c>
      <c r="I296" s="2" t="s">
        <v>30</v>
      </c>
      <c r="J296" s="2" t="s">
        <v>30</v>
      </c>
      <c r="K296" s="2"/>
      <c r="L296" s="11" t="s">
        <v>710</v>
      </c>
      <c r="M296" s="7" t="s">
        <v>216</v>
      </c>
      <c r="N296" s="2" t="s">
        <v>396</v>
      </c>
      <c r="O296" s="7" t="s">
        <v>711</v>
      </c>
      <c r="P296" s="7" t="s">
        <v>768</v>
      </c>
      <c r="Q296" s="14"/>
      <c r="S296" s="1" t="s">
        <v>1180</v>
      </c>
      <c r="T296" s="2" t="s">
        <v>712</v>
      </c>
      <c r="W296" s="2" t="s">
        <v>218</v>
      </c>
      <c r="X296" s="1" t="str">
        <f t="shared" si="10"/>
        <v>*/GoodsShipment[0]/GoodsShipmentItem[0]/Packaging[0]/shippingMarks</v>
      </c>
    </row>
    <row r="297" spans="1:24" ht="12" customHeight="1" outlineLevel="3" x14ac:dyDescent="0.35">
      <c r="A297" s="3" t="str">
        <f t="shared" si="9"/>
        <v>CC413B</v>
      </c>
      <c r="B297" s="4">
        <v>3</v>
      </c>
      <c r="C297" s="3" t="s">
        <v>24</v>
      </c>
      <c r="D297" s="3" t="s">
        <v>193</v>
      </c>
      <c r="E297" s="3" t="s">
        <v>193</v>
      </c>
      <c r="F297" s="3" t="s">
        <v>193</v>
      </c>
      <c r="G297" s="3" t="s">
        <v>193</v>
      </c>
      <c r="H297" s="3" t="s">
        <v>193</v>
      </c>
      <c r="I297" s="3" t="s">
        <v>193</v>
      </c>
      <c r="J297" s="3" t="s">
        <v>193</v>
      </c>
      <c r="K297" s="3" t="s">
        <v>193</v>
      </c>
      <c r="L297" s="10" t="s">
        <v>303</v>
      </c>
      <c r="M297" s="4"/>
      <c r="N297" s="3" t="s">
        <v>22</v>
      </c>
      <c r="O297" s="16" t="s">
        <v>769</v>
      </c>
      <c r="P297" s="15"/>
      <c r="Q297" s="15"/>
      <c r="R297" s="4"/>
      <c r="S297" s="4" t="s">
        <v>1083</v>
      </c>
      <c r="T297" s="3" t="s">
        <v>304</v>
      </c>
      <c r="U297" s="4"/>
      <c r="V297" s="4"/>
      <c r="W297" s="3" t="s">
        <v>713</v>
      </c>
      <c r="X297" s="1" t="str">
        <f t="shared" si="10"/>
        <v>*/GoodsShipment[0]/GoodsShipmentItem[0]/PreviousDocument[0]</v>
      </c>
    </row>
    <row r="298" spans="1:24" ht="12" customHeight="1" outlineLevel="4" x14ac:dyDescent="0.35">
      <c r="A298" s="2" t="str">
        <f t="shared" si="9"/>
        <v>CC413B</v>
      </c>
      <c r="B298" s="1">
        <v>4</v>
      </c>
      <c r="C298" s="1" t="s">
        <v>19</v>
      </c>
      <c r="D298" s="1" t="s">
        <v>25</v>
      </c>
      <c r="E298" s="2" t="s">
        <v>25</v>
      </c>
      <c r="F298" s="2" t="s">
        <v>25</v>
      </c>
      <c r="G298" s="2" t="s">
        <v>25</v>
      </c>
      <c r="H298" s="2" t="s">
        <v>25</v>
      </c>
      <c r="I298" s="2" t="s">
        <v>25</v>
      </c>
      <c r="J298" s="2" t="s">
        <v>25</v>
      </c>
      <c r="K298" s="2" t="s">
        <v>25</v>
      </c>
      <c r="L298" s="11" t="s">
        <v>56</v>
      </c>
      <c r="M298" s="7" t="s">
        <v>57</v>
      </c>
      <c r="N298" s="2" t="s">
        <v>27</v>
      </c>
      <c r="O298" s="7" t="s">
        <v>393</v>
      </c>
      <c r="P298" s="14"/>
      <c r="Q298" s="14"/>
      <c r="T298" s="2" t="s">
        <v>58</v>
      </c>
      <c r="W298" s="2" t="s">
        <v>59</v>
      </c>
      <c r="X298" s="1" t="str">
        <f t="shared" si="10"/>
        <v>*/GoodsShipment[0]/GoodsShipmentItem[0]/PreviousDocument[0]/sequenceNumber</v>
      </c>
    </row>
    <row r="299" spans="1:24" ht="12" customHeight="1" outlineLevel="4" x14ac:dyDescent="0.35">
      <c r="A299" s="2" t="str">
        <f t="shared" si="9"/>
        <v>CC413B</v>
      </c>
      <c r="B299" s="1">
        <v>4</v>
      </c>
      <c r="C299" s="1" t="s">
        <v>19</v>
      </c>
      <c r="D299" s="1" t="s">
        <v>25</v>
      </c>
      <c r="E299" s="2" t="s">
        <v>25</v>
      </c>
      <c r="F299" s="2" t="s">
        <v>25</v>
      </c>
      <c r="G299" s="2" t="s">
        <v>25</v>
      </c>
      <c r="H299" s="2" t="s">
        <v>25</v>
      </c>
      <c r="I299" s="2" t="s">
        <v>25</v>
      </c>
      <c r="J299" s="2" t="s">
        <v>25</v>
      </c>
      <c r="K299" s="2" t="s">
        <v>25</v>
      </c>
      <c r="L299" s="11" t="s">
        <v>2</v>
      </c>
      <c r="M299" s="7" t="s">
        <v>306</v>
      </c>
      <c r="N299" s="2" t="s">
        <v>27</v>
      </c>
      <c r="O299" s="7" t="s">
        <v>747</v>
      </c>
      <c r="P299" s="14"/>
      <c r="Q299" s="7" t="s">
        <v>491</v>
      </c>
      <c r="S299" s="1" t="s">
        <v>1084</v>
      </c>
      <c r="T299" s="2" t="s">
        <v>61</v>
      </c>
      <c r="W299" s="2" t="s">
        <v>307</v>
      </c>
      <c r="X299" s="1" t="str">
        <f t="shared" si="10"/>
        <v>*/GoodsShipment[0]/GoodsShipmentItem[0]/PreviousDocument[0]/type</v>
      </c>
    </row>
    <row r="300" spans="1:24" ht="12" customHeight="1" outlineLevel="4" x14ac:dyDescent="0.35">
      <c r="A300" s="2" t="str">
        <f t="shared" si="9"/>
        <v>CC413B</v>
      </c>
      <c r="B300" s="1">
        <v>4</v>
      </c>
      <c r="C300" s="1" t="s">
        <v>19</v>
      </c>
      <c r="D300" s="1" t="s">
        <v>30</v>
      </c>
      <c r="E300" s="2" t="s">
        <v>30</v>
      </c>
      <c r="F300" s="2" t="s">
        <v>30</v>
      </c>
      <c r="G300" s="2" t="s">
        <v>30</v>
      </c>
      <c r="H300" s="2" t="s">
        <v>30</v>
      </c>
      <c r="I300" s="2" t="s">
        <v>30</v>
      </c>
      <c r="J300" s="2" t="s">
        <v>30</v>
      </c>
      <c r="K300" s="2" t="s">
        <v>30</v>
      </c>
      <c r="L300" s="11" t="s">
        <v>142</v>
      </c>
      <c r="M300" s="7" t="s">
        <v>50</v>
      </c>
      <c r="N300" s="2" t="s">
        <v>396</v>
      </c>
      <c r="O300" s="7" t="s">
        <v>748</v>
      </c>
      <c r="P300" s="7" t="s">
        <v>493</v>
      </c>
      <c r="Q300" s="7" t="s">
        <v>416</v>
      </c>
      <c r="T300" s="2" t="s">
        <v>143</v>
      </c>
      <c r="W300" s="2" t="s">
        <v>52</v>
      </c>
      <c r="X300" s="1" t="str">
        <f t="shared" si="10"/>
        <v>*/GoodsShipment[0]/GoodsShipmentItem[0]/PreviousDocument[0]/ccQualifier</v>
      </c>
    </row>
    <row r="301" spans="1:24" ht="12" customHeight="1" outlineLevel="4" x14ac:dyDescent="0.35">
      <c r="A301" s="2" t="str">
        <f t="shared" ref="A301:A346" si="11">$L$2</f>
        <v>CC413B</v>
      </c>
      <c r="B301" s="1">
        <v>4</v>
      </c>
      <c r="C301" s="1" t="s">
        <v>19</v>
      </c>
      <c r="D301" s="1" t="s">
        <v>25</v>
      </c>
      <c r="E301" s="2" t="s">
        <v>25</v>
      </c>
      <c r="F301" s="2" t="s">
        <v>25</v>
      </c>
      <c r="G301" s="2" t="s">
        <v>25</v>
      </c>
      <c r="H301" s="2" t="s">
        <v>25</v>
      </c>
      <c r="I301" s="2" t="s">
        <v>25</v>
      </c>
      <c r="J301" s="2" t="s">
        <v>25</v>
      </c>
      <c r="K301" s="2" t="s">
        <v>25</v>
      </c>
      <c r="L301" s="11" t="s">
        <v>63</v>
      </c>
      <c r="M301" s="7" t="s">
        <v>83</v>
      </c>
      <c r="N301" s="2" t="s">
        <v>27</v>
      </c>
      <c r="O301" s="7" t="s">
        <v>494</v>
      </c>
      <c r="P301" s="14"/>
      <c r="Q301" s="14"/>
      <c r="S301" s="1" t="s">
        <v>1085</v>
      </c>
      <c r="T301" s="2" t="s">
        <v>65</v>
      </c>
      <c r="W301" s="2" t="s">
        <v>308</v>
      </c>
      <c r="X301" s="1" t="str">
        <f t="shared" si="10"/>
        <v>*/GoodsShipment[0]/GoodsShipmentItem[0]/PreviousDocument[0]/referenceNumber</v>
      </c>
    </row>
    <row r="302" spans="1:24" ht="12" customHeight="1" outlineLevel="4" x14ac:dyDescent="0.35">
      <c r="A302" s="2" t="str">
        <f t="shared" si="11"/>
        <v>CC413B</v>
      </c>
      <c r="B302" s="1">
        <v>4</v>
      </c>
      <c r="C302" s="1" t="s">
        <v>19</v>
      </c>
      <c r="D302" s="1" t="s">
        <v>30</v>
      </c>
      <c r="E302" s="2" t="s">
        <v>30</v>
      </c>
      <c r="F302" s="2" t="s">
        <v>30</v>
      </c>
      <c r="G302" s="2" t="s">
        <v>30</v>
      </c>
      <c r="H302" s="2" t="s">
        <v>30</v>
      </c>
      <c r="I302" s="2" t="s">
        <v>30</v>
      </c>
      <c r="J302" s="2" t="s">
        <v>30</v>
      </c>
      <c r="K302" s="2" t="s">
        <v>30</v>
      </c>
      <c r="L302" s="11" t="s">
        <v>345</v>
      </c>
      <c r="M302" s="7" t="s">
        <v>325</v>
      </c>
      <c r="N302" s="2" t="s">
        <v>22</v>
      </c>
      <c r="O302" s="7" t="s">
        <v>714</v>
      </c>
      <c r="P302" s="14"/>
      <c r="Q302" s="7" t="s">
        <v>708</v>
      </c>
      <c r="S302" s="1" t="s">
        <v>1181</v>
      </c>
      <c r="T302" s="2" t="s">
        <v>346</v>
      </c>
      <c r="W302" s="2" t="s">
        <v>347</v>
      </c>
      <c r="X302" s="1" t="str">
        <f t="shared" si="10"/>
        <v>*/GoodsShipment[0]/GoodsShipmentItem[0]/PreviousDocument[0]/typeOfPackages</v>
      </c>
    </row>
    <row r="303" spans="1:24" ht="12" customHeight="1" outlineLevel="4" x14ac:dyDescent="0.35">
      <c r="A303" s="2" t="str">
        <f t="shared" si="11"/>
        <v>CC413B</v>
      </c>
      <c r="B303" s="1">
        <v>4</v>
      </c>
      <c r="C303" s="1" t="s">
        <v>19</v>
      </c>
      <c r="D303" s="1" t="s">
        <v>30</v>
      </c>
      <c r="E303" s="2" t="s">
        <v>30</v>
      </c>
      <c r="F303" s="2" t="s">
        <v>30</v>
      </c>
      <c r="G303" s="2" t="s">
        <v>30</v>
      </c>
      <c r="H303" s="2" t="s">
        <v>30</v>
      </c>
      <c r="I303" s="2" t="s">
        <v>30</v>
      </c>
      <c r="J303" s="2" t="s">
        <v>30</v>
      </c>
      <c r="K303" s="2" t="s">
        <v>30</v>
      </c>
      <c r="L303" s="11" t="s">
        <v>348</v>
      </c>
      <c r="M303" s="7" t="s">
        <v>349</v>
      </c>
      <c r="N303" s="2" t="s">
        <v>22</v>
      </c>
      <c r="O303" s="7" t="s">
        <v>770</v>
      </c>
      <c r="P303" s="14"/>
      <c r="Q303" s="14"/>
      <c r="S303" s="1" t="s">
        <v>1182</v>
      </c>
      <c r="T303" s="2" t="s">
        <v>350</v>
      </c>
      <c r="W303" s="2" t="s">
        <v>351</v>
      </c>
      <c r="X303" s="1" t="str">
        <f t="shared" si="10"/>
        <v>*/GoodsShipment[0]/GoodsShipmentItem[0]/PreviousDocument[0]/numberOfPackages</v>
      </c>
    </row>
    <row r="304" spans="1:24" ht="12" customHeight="1" outlineLevel="4" x14ac:dyDescent="0.35">
      <c r="A304" s="2" t="str">
        <f t="shared" si="11"/>
        <v>CC413B</v>
      </c>
      <c r="B304" s="1">
        <v>4</v>
      </c>
      <c r="C304" s="1" t="s">
        <v>19</v>
      </c>
      <c r="D304" s="1" t="s">
        <v>30</v>
      </c>
      <c r="E304" s="2" t="s">
        <v>30</v>
      </c>
      <c r="F304" s="2" t="s">
        <v>30</v>
      </c>
      <c r="G304" s="2" t="s">
        <v>30</v>
      </c>
      <c r="H304" s="2" t="s">
        <v>30</v>
      </c>
      <c r="I304" s="2" t="s">
        <v>30</v>
      </c>
      <c r="J304" s="2" t="s">
        <v>30</v>
      </c>
      <c r="K304" s="2" t="s">
        <v>30</v>
      </c>
      <c r="L304" s="11" t="s">
        <v>353</v>
      </c>
      <c r="M304" s="7" t="s">
        <v>60</v>
      </c>
      <c r="N304" s="2" t="s">
        <v>396</v>
      </c>
      <c r="O304" s="7" t="s">
        <v>714</v>
      </c>
      <c r="P304" s="7" t="s">
        <v>701</v>
      </c>
      <c r="Q304" s="7" t="s">
        <v>715</v>
      </c>
      <c r="S304" s="1" t="s">
        <v>1183</v>
      </c>
      <c r="T304" s="2" t="s">
        <v>354</v>
      </c>
      <c r="W304" s="2" t="s">
        <v>355</v>
      </c>
      <c r="X304" s="1" t="str">
        <f t="shared" si="10"/>
        <v>*/GoodsShipment[0]/GoodsShipmentItem[0]/PreviousDocument[0]/measurementUnitAndQualifier</v>
      </c>
    </row>
    <row r="305" spans="1:24" ht="12" customHeight="1" outlineLevel="4" x14ac:dyDescent="0.35">
      <c r="A305" s="2" t="str">
        <f t="shared" si="11"/>
        <v>CC413B</v>
      </c>
      <c r="B305" s="1">
        <v>4</v>
      </c>
      <c r="C305" s="1" t="s">
        <v>19</v>
      </c>
      <c r="D305" s="1" t="s">
        <v>30</v>
      </c>
      <c r="E305" s="2" t="s">
        <v>30</v>
      </c>
      <c r="F305" s="2" t="s">
        <v>30</v>
      </c>
      <c r="G305" s="2" t="s">
        <v>30</v>
      </c>
      <c r="H305" s="2" t="s">
        <v>30</v>
      </c>
      <c r="I305" s="2" t="s">
        <v>30</v>
      </c>
      <c r="J305" s="2" t="s">
        <v>30</v>
      </c>
      <c r="K305" s="2" t="s">
        <v>30</v>
      </c>
      <c r="L305" s="11" t="s">
        <v>356</v>
      </c>
      <c r="M305" s="7" t="s">
        <v>50</v>
      </c>
      <c r="N305" s="2" t="s">
        <v>396</v>
      </c>
      <c r="O305" s="7" t="s">
        <v>748</v>
      </c>
      <c r="P305" s="7" t="s">
        <v>493</v>
      </c>
      <c r="Q305" s="7" t="s">
        <v>416</v>
      </c>
      <c r="T305" s="2" t="s">
        <v>357</v>
      </c>
      <c r="W305" s="2" t="s">
        <v>52</v>
      </c>
      <c r="X305" s="1" t="str">
        <f t="shared" si="10"/>
        <v>*/GoodsShipment[0]/GoodsShipmentItem[0]/PreviousDocument[0]/ccQualifierForMeasurementUnitAndQualifier</v>
      </c>
    </row>
    <row r="306" spans="1:24" ht="12" customHeight="1" outlineLevel="4" x14ac:dyDescent="0.35">
      <c r="A306" s="2" t="str">
        <f t="shared" si="11"/>
        <v>CC413B</v>
      </c>
      <c r="B306" s="1">
        <v>4</v>
      </c>
      <c r="C306" s="1" t="s">
        <v>19</v>
      </c>
      <c r="D306" s="1" t="s">
        <v>30</v>
      </c>
      <c r="E306" s="2" t="s">
        <v>30</v>
      </c>
      <c r="F306" s="2" t="s">
        <v>30</v>
      </c>
      <c r="G306" s="2" t="s">
        <v>30</v>
      </c>
      <c r="H306" s="2" t="s">
        <v>30</v>
      </c>
      <c r="I306" s="2" t="s">
        <v>30</v>
      </c>
      <c r="J306" s="2" t="s">
        <v>30</v>
      </c>
      <c r="K306" s="2" t="s">
        <v>30</v>
      </c>
      <c r="L306" s="11" t="s">
        <v>358</v>
      </c>
      <c r="M306" s="7" t="s">
        <v>311</v>
      </c>
      <c r="N306" s="2" t="s">
        <v>22</v>
      </c>
      <c r="O306" s="7" t="s">
        <v>714</v>
      </c>
      <c r="P306" s="14"/>
      <c r="Q306" s="14"/>
      <c r="S306" s="1" t="s">
        <v>1184</v>
      </c>
      <c r="T306" s="2" t="s">
        <v>359</v>
      </c>
      <c r="W306" s="2" t="s">
        <v>313</v>
      </c>
      <c r="X306" s="1" t="str">
        <f t="shared" si="10"/>
        <v>*/GoodsShipment[0]/GoodsShipmentItem[0]/PreviousDocument[0]/quantity</v>
      </c>
    </row>
    <row r="307" spans="1:24" ht="12" customHeight="1" outlineLevel="4" x14ac:dyDescent="0.35">
      <c r="A307" s="2" t="str">
        <f t="shared" si="11"/>
        <v>CC413B</v>
      </c>
      <c r="B307" s="1">
        <v>4</v>
      </c>
      <c r="C307" s="1" t="s">
        <v>19</v>
      </c>
      <c r="D307" s="1" t="s">
        <v>30</v>
      </c>
      <c r="E307" s="2" t="s">
        <v>30</v>
      </c>
      <c r="F307" s="2" t="s">
        <v>30</v>
      </c>
      <c r="G307" s="2" t="s">
        <v>30</v>
      </c>
      <c r="H307" s="2" t="s">
        <v>30</v>
      </c>
      <c r="I307" s="2" t="s">
        <v>30</v>
      </c>
      <c r="J307" s="2" t="s">
        <v>30</v>
      </c>
      <c r="K307" s="2" t="s">
        <v>30</v>
      </c>
      <c r="L307" s="11" t="s">
        <v>360</v>
      </c>
      <c r="M307" s="7" t="s">
        <v>57</v>
      </c>
      <c r="N307" s="2" t="s">
        <v>22</v>
      </c>
      <c r="O307" s="7" t="s">
        <v>716</v>
      </c>
      <c r="P307" s="14"/>
      <c r="Q307" s="14"/>
      <c r="S307" s="1" t="s">
        <v>1185</v>
      </c>
      <c r="T307" s="2" t="s">
        <v>361</v>
      </c>
      <c r="W307" s="2" t="s">
        <v>255</v>
      </c>
      <c r="X307" s="1" t="str">
        <f t="shared" si="10"/>
        <v>*/GoodsShipment[0]/GoodsShipmentItem[0]/PreviousDocument[0]/goodsItemIdentifier</v>
      </c>
    </row>
    <row r="308" spans="1:24" ht="12" customHeight="1" outlineLevel="3" x14ac:dyDescent="0.35">
      <c r="A308" s="3" t="str">
        <f t="shared" si="11"/>
        <v>CC413B</v>
      </c>
      <c r="B308" s="4">
        <v>3</v>
      </c>
      <c r="C308" s="3" t="s">
        <v>24</v>
      </c>
      <c r="D308" s="3" t="s">
        <v>193</v>
      </c>
      <c r="E308" s="3" t="s">
        <v>193</v>
      </c>
      <c r="F308" s="3" t="s">
        <v>193</v>
      </c>
      <c r="G308" s="3" t="s">
        <v>193</v>
      </c>
      <c r="H308" s="3" t="s">
        <v>193</v>
      </c>
      <c r="I308" s="3" t="s">
        <v>193</v>
      </c>
      <c r="J308" s="3" t="s">
        <v>193</v>
      </c>
      <c r="K308" s="3"/>
      <c r="L308" s="10" t="s">
        <v>495</v>
      </c>
      <c r="M308" s="4"/>
      <c r="N308" s="3" t="s">
        <v>22</v>
      </c>
      <c r="O308" s="16" t="s">
        <v>489</v>
      </c>
      <c r="P308" s="15"/>
      <c r="Q308" s="15"/>
      <c r="R308" s="4"/>
      <c r="S308" s="4" t="s">
        <v>1086</v>
      </c>
      <c r="T308" s="3" t="s">
        <v>496</v>
      </c>
      <c r="U308" s="4"/>
      <c r="V308" s="4"/>
      <c r="W308" s="3" t="s">
        <v>717</v>
      </c>
      <c r="X308" s="1" t="str">
        <f t="shared" si="10"/>
        <v>*/GoodsShipment[0]/GoodsShipmentItem[0]/SupportingDocument[0]</v>
      </c>
    </row>
    <row r="309" spans="1:24" ht="12" customHeight="1" outlineLevel="4" x14ac:dyDescent="0.35">
      <c r="A309" s="2" t="str">
        <f t="shared" si="11"/>
        <v>CC413B</v>
      </c>
      <c r="B309" s="1">
        <v>4</v>
      </c>
      <c r="C309" s="1" t="s">
        <v>19</v>
      </c>
      <c r="D309" s="1" t="s">
        <v>25</v>
      </c>
      <c r="E309" s="2" t="s">
        <v>25</v>
      </c>
      <c r="F309" s="2" t="s">
        <v>25</v>
      </c>
      <c r="G309" s="2" t="s">
        <v>25</v>
      </c>
      <c r="H309" s="2" t="s">
        <v>25</v>
      </c>
      <c r="I309" s="2" t="s">
        <v>25</v>
      </c>
      <c r="J309" s="2" t="s">
        <v>25</v>
      </c>
      <c r="K309" s="2"/>
      <c r="L309" s="11" t="s">
        <v>56</v>
      </c>
      <c r="M309" s="7" t="s">
        <v>57</v>
      </c>
      <c r="N309" s="2" t="s">
        <v>27</v>
      </c>
      <c r="O309" s="7" t="s">
        <v>393</v>
      </c>
      <c r="P309" s="14"/>
      <c r="Q309" s="14"/>
      <c r="T309" s="2" t="s">
        <v>58</v>
      </c>
      <c r="W309" s="2" t="s">
        <v>59</v>
      </c>
      <c r="X309" s="1" t="str">
        <f t="shared" si="10"/>
        <v>*/GoodsShipment[0]/GoodsShipmentItem[0]/SupportingDocument[0]/sequenceNumber</v>
      </c>
    </row>
    <row r="310" spans="1:24" ht="12" customHeight="1" outlineLevel="4" x14ac:dyDescent="0.35">
      <c r="A310" s="2" t="str">
        <f t="shared" si="11"/>
        <v>CC413B</v>
      </c>
      <c r="B310" s="1">
        <v>4</v>
      </c>
      <c r="C310" s="1" t="s">
        <v>19</v>
      </c>
      <c r="D310" s="1" t="s">
        <v>25</v>
      </c>
      <c r="E310" s="2" t="s">
        <v>25</v>
      </c>
      <c r="F310" s="2" t="s">
        <v>25</v>
      </c>
      <c r="G310" s="2" t="s">
        <v>25</v>
      </c>
      <c r="H310" s="2" t="s">
        <v>25</v>
      </c>
      <c r="I310" s="2" t="s">
        <v>25</v>
      </c>
      <c r="J310" s="2" t="s">
        <v>25</v>
      </c>
      <c r="K310" s="2"/>
      <c r="L310" s="11" t="s">
        <v>2</v>
      </c>
      <c r="M310" s="7" t="s">
        <v>306</v>
      </c>
      <c r="N310" s="2" t="s">
        <v>27</v>
      </c>
      <c r="O310" s="7" t="s">
        <v>477</v>
      </c>
      <c r="P310" s="14"/>
      <c r="Q310" s="7" t="s">
        <v>498</v>
      </c>
      <c r="S310" s="1" t="s">
        <v>1087</v>
      </c>
      <c r="T310" s="2" t="s">
        <v>61</v>
      </c>
      <c r="W310" s="2" t="s">
        <v>307</v>
      </c>
      <c r="X310" s="1" t="str">
        <f t="shared" si="10"/>
        <v>*/GoodsShipment[0]/GoodsShipmentItem[0]/SupportingDocument[0]/type</v>
      </c>
    </row>
    <row r="311" spans="1:24" ht="12" customHeight="1" outlineLevel="4" x14ac:dyDescent="0.35">
      <c r="A311" s="2" t="str">
        <f t="shared" si="11"/>
        <v>CC413B</v>
      </c>
      <c r="B311" s="1">
        <v>4</v>
      </c>
      <c r="C311" s="1" t="s">
        <v>19</v>
      </c>
      <c r="D311" s="1" t="s">
        <v>30</v>
      </c>
      <c r="E311" s="2" t="s">
        <v>30</v>
      </c>
      <c r="F311" s="2" t="s">
        <v>30</v>
      </c>
      <c r="G311" s="2" t="s">
        <v>30</v>
      </c>
      <c r="H311" s="2" t="s">
        <v>30</v>
      </c>
      <c r="I311" s="2" t="s">
        <v>30</v>
      </c>
      <c r="J311" s="2" t="s">
        <v>30</v>
      </c>
      <c r="K311" s="2"/>
      <c r="L311" s="11" t="s">
        <v>142</v>
      </c>
      <c r="M311" s="7" t="s">
        <v>50</v>
      </c>
      <c r="N311" s="2" t="s">
        <v>396</v>
      </c>
      <c r="O311" s="7" t="s">
        <v>748</v>
      </c>
      <c r="P311" s="7" t="s">
        <v>493</v>
      </c>
      <c r="Q311" s="7" t="s">
        <v>416</v>
      </c>
      <c r="T311" s="2" t="s">
        <v>143</v>
      </c>
      <c r="W311" s="2" t="s">
        <v>52</v>
      </c>
      <c r="X311" s="1" t="str">
        <f t="shared" si="10"/>
        <v>*/GoodsShipment[0]/GoodsShipmentItem[0]/SupportingDocument[0]/ccQualifier</v>
      </c>
    </row>
    <row r="312" spans="1:24" ht="12" customHeight="1" outlineLevel="4" x14ac:dyDescent="0.35">
      <c r="A312" s="2" t="str">
        <f t="shared" si="11"/>
        <v>CC413B</v>
      </c>
      <c r="B312" s="1">
        <v>4</v>
      </c>
      <c r="C312" s="1" t="s">
        <v>19</v>
      </c>
      <c r="D312" s="1" t="s">
        <v>25</v>
      </c>
      <c r="E312" s="2" t="s">
        <v>30</v>
      </c>
      <c r="F312" s="2" t="s">
        <v>30</v>
      </c>
      <c r="G312" s="2" t="s">
        <v>30</v>
      </c>
      <c r="H312" s="2" t="s">
        <v>30</v>
      </c>
      <c r="I312" s="2" t="s">
        <v>30</v>
      </c>
      <c r="J312" s="2" t="s">
        <v>30</v>
      </c>
      <c r="K312" s="2"/>
      <c r="L312" s="11" t="s">
        <v>63</v>
      </c>
      <c r="M312" s="7" t="s">
        <v>83</v>
      </c>
      <c r="N312" s="2" t="s">
        <v>27</v>
      </c>
      <c r="O312" s="7" t="s">
        <v>494</v>
      </c>
      <c r="P312" s="14"/>
      <c r="Q312" s="14"/>
      <c r="S312" s="1" t="s">
        <v>1088</v>
      </c>
      <c r="T312" s="2" t="s">
        <v>65</v>
      </c>
      <c r="W312" s="2" t="s">
        <v>308</v>
      </c>
      <c r="X312" s="1" t="str">
        <f t="shared" si="10"/>
        <v>*/GoodsShipment[0]/GoodsShipmentItem[0]/SupportingDocument[0]/referenceNumber</v>
      </c>
    </row>
    <row r="313" spans="1:24" ht="12" customHeight="1" outlineLevel="4" x14ac:dyDescent="0.35">
      <c r="A313" s="2" t="str">
        <f t="shared" si="11"/>
        <v>CC413B</v>
      </c>
      <c r="B313" s="1">
        <v>4</v>
      </c>
      <c r="C313" s="1" t="s">
        <v>19</v>
      </c>
      <c r="D313" s="1" t="s">
        <v>30</v>
      </c>
      <c r="E313" s="2" t="s">
        <v>30</v>
      </c>
      <c r="F313" s="2" t="s">
        <v>30</v>
      </c>
      <c r="G313" s="2" t="s">
        <v>30</v>
      </c>
      <c r="H313" s="2" t="s">
        <v>30</v>
      </c>
      <c r="I313" s="2" t="s">
        <v>30</v>
      </c>
      <c r="J313" s="2" t="s">
        <v>30</v>
      </c>
      <c r="K313" s="2"/>
      <c r="L313" s="11" t="s">
        <v>499</v>
      </c>
      <c r="M313" s="7" t="s">
        <v>57</v>
      </c>
      <c r="N313" s="2" t="s">
        <v>22</v>
      </c>
      <c r="O313" s="7" t="s">
        <v>718</v>
      </c>
      <c r="P313" s="14"/>
      <c r="Q313" s="14"/>
      <c r="S313" s="1" t="s">
        <v>1089</v>
      </c>
      <c r="T313" s="2" t="s">
        <v>500</v>
      </c>
      <c r="W313" s="2" t="s">
        <v>255</v>
      </c>
      <c r="X313" s="1" t="str">
        <f t="shared" si="10"/>
        <v>*/GoodsShipment[0]/GoodsShipmentItem[0]/SupportingDocument[0]/documentLineItemNumber</v>
      </c>
    </row>
    <row r="314" spans="1:24" ht="12" customHeight="1" outlineLevel="4" x14ac:dyDescent="0.35">
      <c r="A314" s="2" t="str">
        <f t="shared" si="11"/>
        <v>CC413B</v>
      </c>
      <c r="B314" s="1">
        <v>4</v>
      </c>
      <c r="C314" s="1" t="s">
        <v>19</v>
      </c>
      <c r="D314" s="1" t="s">
        <v>30</v>
      </c>
      <c r="E314" s="2" t="s">
        <v>30</v>
      </c>
      <c r="F314" s="2"/>
      <c r="G314" s="2"/>
      <c r="H314" s="2"/>
      <c r="I314" s="2"/>
      <c r="J314" s="2" t="s">
        <v>30</v>
      </c>
      <c r="K314" s="2"/>
      <c r="L314" s="11" t="s">
        <v>501</v>
      </c>
      <c r="M314" s="7" t="s">
        <v>83</v>
      </c>
      <c r="N314" s="2" t="s">
        <v>22</v>
      </c>
      <c r="O314" s="7" t="s">
        <v>718</v>
      </c>
      <c r="P314" s="14"/>
      <c r="Q314" s="14"/>
      <c r="S314" s="1" t="s">
        <v>1090</v>
      </c>
      <c r="T314" s="2" t="s">
        <v>502</v>
      </c>
      <c r="W314" s="2" t="s">
        <v>503</v>
      </c>
      <c r="X314" s="1" t="str">
        <f t="shared" si="10"/>
        <v>*/GoodsShipment[0]/GoodsShipmentItem[0]/SupportingDocument[0]/issuingAuthorityName</v>
      </c>
    </row>
    <row r="315" spans="1:24" ht="12" customHeight="1" outlineLevel="4" x14ac:dyDescent="0.35">
      <c r="A315" s="2" t="str">
        <f t="shared" si="11"/>
        <v>CC413B</v>
      </c>
      <c r="B315" s="1">
        <v>4</v>
      </c>
      <c r="C315" s="1" t="s">
        <v>19</v>
      </c>
      <c r="D315" s="1" t="s">
        <v>30</v>
      </c>
      <c r="E315" s="2" t="s">
        <v>30</v>
      </c>
      <c r="F315" s="2" t="s">
        <v>30</v>
      </c>
      <c r="G315" s="2" t="s">
        <v>30</v>
      </c>
      <c r="H315" s="2" t="s">
        <v>30</v>
      </c>
      <c r="I315" s="2" t="s">
        <v>30</v>
      </c>
      <c r="J315" s="2" t="s">
        <v>30</v>
      </c>
      <c r="K315" s="2"/>
      <c r="L315" s="11" t="s">
        <v>504</v>
      </c>
      <c r="M315" s="7" t="s">
        <v>505</v>
      </c>
      <c r="N315" s="2" t="s">
        <v>22</v>
      </c>
      <c r="O315" s="7" t="s">
        <v>718</v>
      </c>
      <c r="P315" s="14"/>
      <c r="Q315" s="14"/>
      <c r="S315" s="1" t="s">
        <v>1091</v>
      </c>
      <c r="T315" s="2" t="s">
        <v>506</v>
      </c>
      <c r="W315" s="2" t="s">
        <v>507</v>
      </c>
      <c r="X315" s="1" t="str">
        <f t="shared" si="10"/>
        <v>*/GoodsShipment[0]/GoodsShipmentItem[0]/SupportingDocument[0]/dateOfValidity</v>
      </c>
    </row>
    <row r="316" spans="1:24" ht="12" customHeight="1" outlineLevel="4" x14ac:dyDescent="0.35">
      <c r="A316" s="2" t="str">
        <f t="shared" si="11"/>
        <v>CC413B</v>
      </c>
      <c r="B316" s="1">
        <v>4</v>
      </c>
      <c r="C316" s="1" t="s">
        <v>19</v>
      </c>
      <c r="D316" s="1" t="s">
        <v>30</v>
      </c>
      <c r="E316" s="2" t="s">
        <v>30</v>
      </c>
      <c r="F316" s="2" t="s">
        <v>30</v>
      </c>
      <c r="G316" s="2" t="s">
        <v>30</v>
      </c>
      <c r="H316" s="2" t="s">
        <v>30</v>
      </c>
      <c r="I316" s="2" t="s">
        <v>30</v>
      </c>
      <c r="J316" s="2" t="s">
        <v>30</v>
      </c>
      <c r="K316" s="2"/>
      <c r="L316" s="11" t="s">
        <v>353</v>
      </c>
      <c r="M316" s="7" t="s">
        <v>60</v>
      </c>
      <c r="N316" s="2" t="s">
        <v>396</v>
      </c>
      <c r="O316" s="7" t="s">
        <v>719</v>
      </c>
      <c r="P316" s="7" t="s">
        <v>701</v>
      </c>
      <c r="Q316" s="7" t="s">
        <v>715</v>
      </c>
      <c r="S316" s="1" t="s">
        <v>1186</v>
      </c>
      <c r="T316" s="2" t="s">
        <v>354</v>
      </c>
      <c r="W316" s="2" t="s">
        <v>355</v>
      </c>
      <c r="X316" s="1" t="str">
        <f t="shared" si="10"/>
        <v>*/GoodsShipment[0]/GoodsShipmentItem[0]/SupportingDocument[0]/measurementUnitAndQualifier</v>
      </c>
    </row>
    <row r="317" spans="1:24" ht="12" customHeight="1" outlineLevel="4" x14ac:dyDescent="0.35">
      <c r="A317" s="2" t="str">
        <f t="shared" si="11"/>
        <v>CC413B</v>
      </c>
      <c r="B317" s="1">
        <v>4</v>
      </c>
      <c r="C317" s="1" t="s">
        <v>19</v>
      </c>
      <c r="D317" s="1" t="s">
        <v>30</v>
      </c>
      <c r="E317" s="2" t="s">
        <v>30</v>
      </c>
      <c r="F317" s="2" t="s">
        <v>30</v>
      </c>
      <c r="G317" s="2" t="s">
        <v>30</v>
      </c>
      <c r="H317" s="2" t="s">
        <v>30</v>
      </c>
      <c r="I317" s="2" t="s">
        <v>30</v>
      </c>
      <c r="J317" s="2" t="s">
        <v>30</v>
      </c>
      <c r="K317" s="2"/>
      <c r="L317" s="11" t="s">
        <v>356</v>
      </c>
      <c r="M317" s="7" t="s">
        <v>50</v>
      </c>
      <c r="N317" s="2" t="s">
        <v>396</v>
      </c>
      <c r="O317" s="7" t="s">
        <v>748</v>
      </c>
      <c r="P317" s="7" t="s">
        <v>493</v>
      </c>
      <c r="Q317" s="7" t="s">
        <v>416</v>
      </c>
      <c r="T317" s="2" t="s">
        <v>357</v>
      </c>
      <c r="W317" s="2" t="s">
        <v>52</v>
      </c>
      <c r="X317" s="1" t="str">
        <f t="shared" si="10"/>
        <v>*/GoodsShipment[0]/GoodsShipmentItem[0]/SupportingDocument[0]/ccQualifierForMeasurementUnitAndQualifier</v>
      </c>
    </row>
    <row r="318" spans="1:24" ht="12" customHeight="1" outlineLevel="4" x14ac:dyDescent="0.35">
      <c r="A318" s="2" t="str">
        <f t="shared" si="11"/>
        <v>CC413B</v>
      </c>
      <c r="B318" s="1">
        <v>4</v>
      </c>
      <c r="C318" s="1" t="s">
        <v>19</v>
      </c>
      <c r="D318" s="1" t="s">
        <v>30</v>
      </c>
      <c r="E318" s="2" t="s">
        <v>30</v>
      </c>
      <c r="F318" s="2" t="s">
        <v>30</v>
      </c>
      <c r="G318" s="2" t="s">
        <v>30</v>
      </c>
      <c r="H318" s="2" t="s">
        <v>30</v>
      </c>
      <c r="I318" s="2" t="s">
        <v>30</v>
      </c>
      <c r="J318" s="2" t="s">
        <v>30</v>
      </c>
      <c r="K318" s="2"/>
      <c r="L318" s="11" t="s">
        <v>358</v>
      </c>
      <c r="M318" s="7" t="s">
        <v>311</v>
      </c>
      <c r="N318" s="2" t="s">
        <v>22</v>
      </c>
      <c r="O318" s="7" t="s">
        <v>719</v>
      </c>
      <c r="P318" s="14"/>
      <c r="Q318" s="14"/>
      <c r="S318" s="1" t="s">
        <v>1187</v>
      </c>
      <c r="T318" s="2" t="s">
        <v>359</v>
      </c>
      <c r="W318" s="2" t="s">
        <v>313</v>
      </c>
      <c r="X318" s="1" t="str">
        <f t="shared" si="10"/>
        <v>*/GoodsShipment[0]/GoodsShipmentItem[0]/SupportingDocument[0]/quantity</v>
      </c>
    </row>
    <row r="319" spans="1:24" ht="12" customHeight="1" outlineLevel="4" x14ac:dyDescent="0.35">
      <c r="A319" s="2" t="str">
        <f t="shared" si="11"/>
        <v>CC413B</v>
      </c>
      <c r="B319" s="1">
        <v>4</v>
      </c>
      <c r="C319" s="1" t="s">
        <v>19</v>
      </c>
      <c r="D319" s="1" t="s">
        <v>30</v>
      </c>
      <c r="E319" s="2" t="s">
        <v>30</v>
      </c>
      <c r="F319" s="2" t="s">
        <v>30</v>
      </c>
      <c r="G319" s="2" t="s">
        <v>30</v>
      </c>
      <c r="H319" s="2" t="s">
        <v>30</v>
      </c>
      <c r="I319" s="2" t="s">
        <v>30</v>
      </c>
      <c r="J319" s="2" t="s">
        <v>30</v>
      </c>
      <c r="K319" s="2"/>
      <c r="L319" s="11" t="s">
        <v>521</v>
      </c>
      <c r="M319" s="7" t="s">
        <v>148</v>
      </c>
      <c r="N319" s="2" t="s">
        <v>22</v>
      </c>
      <c r="O319" s="7" t="s">
        <v>719</v>
      </c>
      <c r="P319" s="14"/>
      <c r="Q319" s="7" t="s">
        <v>429</v>
      </c>
      <c r="S319" s="1" t="s">
        <v>1188</v>
      </c>
      <c r="T319" s="2" t="s">
        <v>522</v>
      </c>
      <c r="W319" s="2" t="s">
        <v>150</v>
      </c>
      <c r="X319" s="1" t="str">
        <f t="shared" si="10"/>
        <v>*/GoodsShipment[0]/GoodsShipmentItem[0]/SupportingDocument[0]/currency</v>
      </c>
    </row>
    <row r="320" spans="1:24" ht="12" customHeight="1" outlineLevel="4" x14ac:dyDescent="0.35">
      <c r="A320" s="2" t="str">
        <f t="shared" si="11"/>
        <v>CC413B</v>
      </c>
      <c r="B320" s="1">
        <v>4</v>
      </c>
      <c r="C320" s="1" t="s">
        <v>19</v>
      </c>
      <c r="D320" s="1" t="s">
        <v>30</v>
      </c>
      <c r="E320" s="2" t="s">
        <v>30</v>
      </c>
      <c r="F320" s="2" t="s">
        <v>30</v>
      </c>
      <c r="G320" s="2" t="s">
        <v>30</v>
      </c>
      <c r="H320" s="2" t="s">
        <v>30</v>
      </c>
      <c r="I320" s="2" t="s">
        <v>30</v>
      </c>
      <c r="J320" s="2" t="s">
        <v>30</v>
      </c>
      <c r="K320" s="2"/>
      <c r="L320" s="11" t="s">
        <v>524</v>
      </c>
      <c r="M320" s="7" t="s">
        <v>181</v>
      </c>
      <c r="N320" s="2" t="s">
        <v>22</v>
      </c>
      <c r="O320" s="7" t="s">
        <v>719</v>
      </c>
      <c r="P320" s="14"/>
      <c r="Q320" s="14"/>
      <c r="S320" s="1" t="s">
        <v>1189</v>
      </c>
      <c r="T320" s="2" t="s">
        <v>525</v>
      </c>
      <c r="W320" s="2" t="s">
        <v>183</v>
      </c>
      <c r="X320" s="1" t="str">
        <f t="shared" si="10"/>
        <v>*/GoodsShipment[0]/GoodsShipmentItem[0]/SupportingDocument[0]/amount</v>
      </c>
    </row>
    <row r="321" spans="1:24" ht="12" customHeight="1" outlineLevel="3" x14ac:dyDescent="0.35">
      <c r="A321" s="3" t="str">
        <f t="shared" si="11"/>
        <v>CC413B</v>
      </c>
      <c r="B321" s="4">
        <v>3</v>
      </c>
      <c r="C321" s="3" t="s">
        <v>24</v>
      </c>
      <c r="D321" s="3" t="s">
        <v>193</v>
      </c>
      <c r="E321" s="3" t="s">
        <v>193</v>
      </c>
      <c r="F321" s="3" t="s">
        <v>193</v>
      </c>
      <c r="G321" s="3" t="s">
        <v>193</v>
      </c>
      <c r="H321" s="3" t="s">
        <v>193</v>
      </c>
      <c r="I321" s="3" t="s">
        <v>193</v>
      </c>
      <c r="J321" s="3" t="s">
        <v>193</v>
      </c>
      <c r="K321" s="3"/>
      <c r="L321" s="10" t="s">
        <v>583</v>
      </c>
      <c r="M321" s="4"/>
      <c r="N321" s="3" t="s">
        <v>22</v>
      </c>
      <c r="O321" s="16" t="s">
        <v>489</v>
      </c>
      <c r="P321" s="15"/>
      <c r="Q321" s="15"/>
      <c r="R321" s="4"/>
      <c r="S321" s="4" t="s">
        <v>1138</v>
      </c>
      <c r="T321" s="3" t="s">
        <v>584</v>
      </c>
      <c r="U321" s="4"/>
      <c r="V321" s="4"/>
      <c r="W321" s="3" t="s">
        <v>585</v>
      </c>
      <c r="X321" s="1" t="str">
        <f t="shared" si="10"/>
        <v>*/GoodsShipment[0]/GoodsShipmentItem[0]/TransportDocument[0]</v>
      </c>
    </row>
    <row r="322" spans="1:24" ht="12" customHeight="1" outlineLevel="4" x14ac:dyDescent="0.35">
      <c r="A322" s="2" t="str">
        <f t="shared" si="11"/>
        <v>CC413B</v>
      </c>
      <c r="B322" s="1">
        <v>4</v>
      </c>
      <c r="C322" s="1" t="s">
        <v>19</v>
      </c>
      <c r="D322" s="1" t="s">
        <v>25</v>
      </c>
      <c r="E322" s="2" t="s">
        <v>25</v>
      </c>
      <c r="F322" s="2" t="s">
        <v>25</v>
      </c>
      <c r="G322" s="2" t="s">
        <v>25</v>
      </c>
      <c r="H322" s="2" t="s">
        <v>25</v>
      </c>
      <c r="I322" s="2" t="s">
        <v>25</v>
      </c>
      <c r="J322" s="2" t="s">
        <v>25</v>
      </c>
      <c r="K322" s="2"/>
      <c r="L322" s="11" t="s">
        <v>56</v>
      </c>
      <c r="M322" s="7" t="s">
        <v>57</v>
      </c>
      <c r="N322" s="2" t="s">
        <v>27</v>
      </c>
      <c r="O322" s="7" t="s">
        <v>393</v>
      </c>
      <c r="P322" s="14"/>
      <c r="Q322" s="14"/>
      <c r="T322" s="2" t="s">
        <v>58</v>
      </c>
      <c r="W322" s="2" t="s">
        <v>59</v>
      </c>
      <c r="X322" s="1" t="str">
        <f t="shared" si="10"/>
        <v>*/GoodsShipment[0]/GoodsShipmentItem[0]/TransportDocument[0]/sequenceNumber</v>
      </c>
    </row>
    <row r="323" spans="1:24" ht="12" customHeight="1" outlineLevel="4" x14ac:dyDescent="0.35">
      <c r="A323" s="2" t="str">
        <f t="shared" si="11"/>
        <v>CC413B</v>
      </c>
      <c r="B323" s="1">
        <v>4</v>
      </c>
      <c r="C323" s="1" t="s">
        <v>19</v>
      </c>
      <c r="D323" s="1" t="s">
        <v>25</v>
      </c>
      <c r="E323" s="2" t="s">
        <v>25</v>
      </c>
      <c r="F323" s="2" t="s">
        <v>25</v>
      </c>
      <c r="G323" s="2" t="s">
        <v>25</v>
      </c>
      <c r="H323" s="2" t="s">
        <v>25</v>
      </c>
      <c r="I323" s="2" t="s">
        <v>25</v>
      </c>
      <c r="J323" s="2" t="s">
        <v>25</v>
      </c>
      <c r="K323" s="2"/>
      <c r="L323" s="11" t="s">
        <v>2</v>
      </c>
      <c r="M323" s="7" t="s">
        <v>306</v>
      </c>
      <c r="N323" s="2" t="s">
        <v>27</v>
      </c>
      <c r="O323" s="14"/>
      <c r="P323" s="14"/>
      <c r="Q323" s="7" t="s">
        <v>586</v>
      </c>
      <c r="S323" s="1" t="s">
        <v>1139</v>
      </c>
      <c r="T323" s="2" t="s">
        <v>61</v>
      </c>
      <c r="W323" s="2" t="s">
        <v>307</v>
      </c>
      <c r="X323" s="1" t="str">
        <f t="shared" ref="X323:X346" si="12">IF($B323=0,$T323,_xlfn.TEXTBEFORE(X322,"/",$B323,,,X322)&amp;"/"&amp;$T323)&amp;IF(_xlfn.TEXTAFTER($E323,"..",,,,1)&lt;&gt;"1","[0]","")</f>
        <v>*/GoodsShipment[0]/GoodsShipmentItem[0]/TransportDocument[0]/type</v>
      </c>
    </row>
    <row r="324" spans="1:24" ht="12" customHeight="1" outlineLevel="4" x14ac:dyDescent="0.35">
      <c r="A324" s="2" t="str">
        <f t="shared" si="11"/>
        <v>CC413B</v>
      </c>
      <c r="B324" s="1">
        <v>4</v>
      </c>
      <c r="C324" s="1" t="s">
        <v>19</v>
      </c>
      <c r="D324" s="1" t="s">
        <v>25</v>
      </c>
      <c r="E324" s="2" t="s">
        <v>25</v>
      </c>
      <c r="F324" s="2" t="s">
        <v>25</v>
      </c>
      <c r="G324" s="2" t="s">
        <v>25</v>
      </c>
      <c r="H324" s="2" t="s">
        <v>25</v>
      </c>
      <c r="I324" s="2" t="s">
        <v>25</v>
      </c>
      <c r="J324" s="2" t="s">
        <v>25</v>
      </c>
      <c r="K324" s="2"/>
      <c r="L324" s="11" t="s">
        <v>63</v>
      </c>
      <c r="M324" s="7" t="s">
        <v>83</v>
      </c>
      <c r="N324" s="2" t="s">
        <v>27</v>
      </c>
      <c r="O324" s="7" t="s">
        <v>494</v>
      </c>
      <c r="P324" s="14"/>
      <c r="Q324" s="14"/>
      <c r="S324" s="1" t="s">
        <v>1140</v>
      </c>
      <c r="T324" s="2" t="s">
        <v>65</v>
      </c>
      <c r="W324" s="2" t="s">
        <v>308</v>
      </c>
      <c r="X324" s="1" t="str">
        <f t="shared" si="12"/>
        <v>*/GoodsShipment[0]/GoodsShipmentItem[0]/TransportDocument[0]/referenceNumber</v>
      </c>
    </row>
    <row r="325" spans="1:24" ht="12" customHeight="1" outlineLevel="3" x14ac:dyDescent="0.35">
      <c r="A325" s="3" t="str">
        <f t="shared" si="11"/>
        <v>CC413B</v>
      </c>
      <c r="B325" s="4">
        <v>3</v>
      </c>
      <c r="C325" s="3" t="s">
        <v>24</v>
      </c>
      <c r="D325" s="3" t="s">
        <v>193</v>
      </c>
      <c r="E325" s="3" t="s">
        <v>193</v>
      </c>
      <c r="F325" s="3" t="s">
        <v>193</v>
      </c>
      <c r="G325" s="3" t="s">
        <v>193</v>
      </c>
      <c r="H325" s="3" t="s">
        <v>193</v>
      </c>
      <c r="I325" s="3" t="s">
        <v>193</v>
      </c>
      <c r="J325" s="3" t="s">
        <v>193</v>
      </c>
      <c r="K325" s="3"/>
      <c r="L325" s="10" t="s">
        <v>508</v>
      </c>
      <c r="M325" s="4"/>
      <c r="N325" s="3" t="s">
        <v>22</v>
      </c>
      <c r="O325" s="16" t="s">
        <v>749</v>
      </c>
      <c r="P325" s="15"/>
      <c r="Q325" s="15"/>
      <c r="R325" s="4"/>
      <c r="S325" s="4" t="s">
        <v>1092</v>
      </c>
      <c r="T325" s="3" t="s">
        <v>509</v>
      </c>
      <c r="U325" s="4"/>
      <c r="V325" s="4"/>
      <c r="W325" s="3" t="s">
        <v>510</v>
      </c>
      <c r="X325" s="1" t="str">
        <f t="shared" si="12"/>
        <v>*/GoodsShipment[0]/GoodsShipmentItem[0]/AdditionalReference[0]</v>
      </c>
    </row>
    <row r="326" spans="1:24" ht="12" customHeight="1" outlineLevel="4" x14ac:dyDescent="0.35">
      <c r="A326" s="2" t="str">
        <f t="shared" si="11"/>
        <v>CC413B</v>
      </c>
      <c r="B326" s="1">
        <v>4</v>
      </c>
      <c r="C326" s="1" t="s">
        <v>19</v>
      </c>
      <c r="D326" s="1" t="s">
        <v>25</v>
      </c>
      <c r="E326" s="2" t="s">
        <v>25</v>
      </c>
      <c r="F326" s="2" t="s">
        <v>25</v>
      </c>
      <c r="G326" s="2" t="s">
        <v>25</v>
      </c>
      <c r="H326" s="2" t="s">
        <v>25</v>
      </c>
      <c r="I326" s="2" t="s">
        <v>25</v>
      </c>
      <c r="J326" s="2" t="s">
        <v>25</v>
      </c>
      <c r="K326" s="2"/>
      <c r="L326" s="11" t="s">
        <v>56</v>
      </c>
      <c r="M326" s="7" t="s">
        <v>57</v>
      </c>
      <c r="N326" s="2" t="s">
        <v>27</v>
      </c>
      <c r="O326" s="7" t="s">
        <v>393</v>
      </c>
      <c r="P326" s="14"/>
      <c r="Q326" s="14"/>
      <c r="T326" s="2" t="s">
        <v>58</v>
      </c>
      <c r="W326" s="2" t="s">
        <v>59</v>
      </c>
      <c r="X326" s="1" t="str">
        <f t="shared" si="12"/>
        <v>*/GoodsShipment[0]/GoodsShipmentItem[0]/AdditionalReference[0]/sequenceNumber</v>
      </c>
    </row>
    <row r="327" spans="1:24" ht="12" customHeight="1" outlineLevel="4" x14ac:dyDescent="0.35">
      <c r="A327" s="2" t="str">
        <f t="shared" si="11"/>
        <v>CC413B</v>
      </c>
      <c r="B327" s="1">
        <v>4</v>
      </c>
      <c r="C327" s="1" t="s">
        <v>19</v>
      </c>
      <c r="D327" s="1" t="s">
        <v>25</v>
      </c>
      <c r="E327" s="2" t="s">
        <v>25</v>
      </c>
      <c r="F327" s="2" t="s">
        <v>25</v>
      </c>
      <c r="G327" s="2" t="s">
        <v>25</v>
      </c>
      <c r="H327" s="2" t="s">
        <v>25</v>
      </c>
      <c r="I327" s="2" t="s">
        <v>25</v>
      </c>
      <c r="J327" s="2" t="s">
        <v>25</v>
      </c>
      <c r="K327" s="2"/>
      <c r="L327" s="11" t="s">
        <v>2</v>
      </c>
      <c r="M327" s="7" t="s">
        <v>306</v>
      </c>
      <c r="N327" s="2" t="s">
        <v>27</v>
      </c>
      <c r="O327" s="14"/>
      <c r="P327" s="14"/>
      <c r="Q327" s="7" t="s">
        <v>511</v>
      </c>
      <c r="S327" s="1" t="s">
        <v>1093</v>
      </c>
      <c r="T327" s="2" t="s">
        <v>61</v>
      </c>
      <c r="W327" s="2" t="s">
        <v>307</v>
      </c>
      <c r="X327" s="1" t="str">
        <f t="shared" si="12"/>
        <v>*/GoodsShipment[0]/GoodsShipmentItem[0]/AdditionalReference[0]/type</v>
      </c>
    </row>
    <row r="328" spans="1:24" ht="12" customHeight="1" outlineLevel="4" x14ac:dyDescent="0.35">
      <c r="A328" s="2" t="str">
        <f t="shared" si="11"/>
        <v>CC413B</v>
      </c>
      <c r="B328" s="1">
        <v>4</v>
      </c>
      <c r="C328" s="1" t="s">
        <v>19</v>
      </c>
      <c r="D328" s="1" t="s">
        <v>30</v>
      </c>
      <c r="E328" s="2" t="s">
        <v>30</v>
      </c>
      <c r="F328" s="2" t="s">
        <v>30</v>
      </c>
      <c r="G328" s="2" t="s">
        <v>30</v>
      </c>
      <c r="H328" s="2" t="s">
        <v>30</v>
      </c>
      <c r="I328" s="2" t="s">
        <v>30</v>
      </c>
      <c r="J328" s="2" t="s">
        <v>30</v>
      </c>
      <c r="K328" s="2"/>
      <c r="L328" s="11" t="s">
        <v>142</v>
      </c>
      <c r="M328" s="7" t="s">
        <v>50</v>
      </c>
      <c r="N328" s="2" t="s">
        <v>396</v>
      </c>
      <c r="O328" s="7" t="s">
        <v>748</v>
      </c>
      <c r="P328" s="7" t="s">
        <v>493</v>
      </c>
      <c r="Q328" s="7" t="s">
        <v>416</v>
      </c>
      <c r="T328" s="2" t="s">
        <v>143</v>
      </c>
      <c r="W328" s="2" t="s">
        <v>52</v>
      </c>
      <c r="X328" s="1" t="str">
        <f t="shared" si="12"/>
        <v>*/GoodsShipment[0]/GoodsShipmentItem[0]/AdditionalReference[0]/ccQualifier</v>
      </c>
    </row>
    <row r="329" spans="1:24" ht="12" customHeight="1" outlineLevel="4" x14ac:dyDescent="0.35">
      <c r="A329" s="2" t="str">
        <f t="shared" si="11"/>
        <v>CC413B</v>
      </c>
      <c r="B329" s="1">
        <v>4</v>
      </c>
      <c r="C329" s="1" t="s">
        <v>19</v>
      </c>
      <c r="D329" s="1" t="s">
        <v>30</v>
      </c>
      <c r="E329" s="2" t="s">
        <v>30</v>
      </c>
      <c r="F329" s="2" t="s">
        <v>30</v>
      </c>
      <c r="G329" s="2" t="s">
        <v>30</v>
      </c>
      <c r="H329" s="2" t="s">
        <v>30</v>
      </c>
      <c r="I329" s="2" t="s">
        <v>30</v>
      </c>
      <c r="J329" s="2" t="s">
        <v>30</v>
      </c>
      <c r="K329" s="2"/>
      <c r="L329" s="11" t="s">
        <v>63</v>
      </c>
      <c r="M329" s="7" t="s">
        <v>83</v>
      </c>
      <c r="N329" s="2" t="s">
        <v>22</v>
      </c>
      <c r="O329" s="7" t="s">
        <v>494</v>
      </c>
      <c r="P329" s="14"/>
      <c r="Q329" s="14"/>
      <c r="S329" s="1" t="s">
        <v>1094</v>
      </c>
      <c r="T329" s="2" t="s">
        <v>65</v>
      </c>
      <c r="W329" s="2" t="s">
        <v>308</v>
      </c>
      <c r="X329" s="1" t="str">
        <f t="shared" si="12"/>
        <v>*/GoodsShipment[0]/GoodsShipmentItem[0]/AdditionalReference[0]/referenceNumber</v>
      </c>
    </row>
    <row r="330" spans="1:24" ht="12" customHeight="1" outlineLevel="3" x14ac:dyDescent="0.35">
      <c r="A330" s="3" t="str">
        <f t="shared" si="11"/>
        <v>CC413B</v>
      </c>
      <c r="B330" s="4">
        <v>3</v>
      </c>
      <c r="C330" s="3" t="s">
        <v>24</v>
      </c>
      <c r="D330" s="3" t="s">
        <v>193</v>
      </c>
      <c r="E330" s="3" t="s">
        <v>193</v>
      </c>
      <c r="F330" s="3" t="s">
        <v>193</v>
      </c>
      <c r="G330" s="3" t="s">
        <v>193</v>
      </c>
      <c r="H330" s="3" t="s">
        <v>193</v>
      </c>
      <c r="I330" s="3" t="s">
        <v>193</v>
      </c>
      <c r="J330" s="3" t="s">
        <v>193</v>
      </c>
      <c r="K330" s="3"/>
      <c r="L330" s="10" t="s">
        <v>219</v>
      </c>
      <c r="M330" s="4"/>
      <c r="N330" s="3" t="s">
        <v>22</v>
      </c>
      <c r="O330" s="16" t="s">
        <v>489</v>
      </c>
      <c r="P330" s="15"/>
      <c r="Q330" s="15"/>
      <c r="R330" s="4"/>
      <c r="S330" s="4" t="s">
        <v>1095</v>
      </c>
      <c r="T330" s="3" t="s">
        <v>220</v>
      </c>
      <c r="U330" s="4"/>
      <c r="V330" s="4"/>
      <c r="W330" s="3" t="s">
        <v>221</v>
      </c>
      <c r="X330" s="1" t="str">
        <f t="shared" si="12"/>
        <v>*/GoodsShipment[0]/GoodsShipmentItem[0]/AdditionalInformation[0]</v>
      </c>
    </row>
    <row r="331" spans="1:24" ht="12" customHeight="1" outlineLevel="4" x14ac:dyDescent="0.35">
      <c r="A331" s="2" t="str">
        <f t="shared" si="11"/>
        <v>CC413B</v>
      </c>
      <c r="B331" s="1">
        <v>4</v>
      </c>
      <c r="C331" s="1" t="s">
        <v>19</v>
      </c>
      <c r="D331" s="1" t="s">
        <v>25</v>
      </c>
      <c r="E331" s="2" t="s">
        <v>25</v>
      </c>
      <c r="F331" s="2" t="s">
        <v>25</v>
      </c>
      <c r="G331" s="2" t="s">
        <v>25</v>
      </c>
      <c r="H331" s="2" t="s">
        <v>25</v>
      </c>
      <c r="I331" s="2" t="s">
        <v>25</v>
      </c>
      <c r="J331" s="2" t="s">
        <v>25</v>
      </c>
      <c r="K331" s="2"/>
      <c r="L331" s="11" t="s">
        <v>56</v>
      </c>
      <c r="M331" s="7" t="s">
        <v>57</v>
      </c>
      <c r="N331" s="2" t="s">
        <v>27</v>
      </c>
      <c r="O331" s="7" t="s">
        <v>393</v>
      </c>
      <c r="P331" s="14"/>
      <c r="Q331" s="14"/>
      <c r="T331" s="2" t="s">
        <v>58</v>
      </c>
      <c r="W331" s="2" t="s">
        <v>59</v>
      </c>
      <c r="X331" s="1" t="str">
        <f t="shared" si="12"/>
        <v>*/GoodsShipment[0]/GoodsShipmentItem[0]/AdditionalInformation[0]/sequenceNumber</v>
      </c>
    </row>
    <row r="332" spans="1:24" ht="12" customHeight="1" outlineLevel="4" x14ac:dyDescent="0.35">
      <c r="A332" s="2" t="str">
        <f t="shared" si="11"/>
        <v>CC413B</v>
      </c>
      <c r="B332" s="1">
        <v>4</v>
      </c>
      <c r="C332" s="1" t="s">
        <v>19</v>
      </c>
      <c r="D332" s="1" t="s">
        <v>25</v>
      </c>
      <c r="E332" s="2" t="s">
        <v>25</v>
      </c>
      <c r="F332" s="2" t="s">
        <v>25</v>
      </c>
      <c r="G332" s="2" t="s">
        <v>25</v>
      </c>
      <c r="H332" s="2" t="s">
        <v>25</v>
      </c>
      <c r="I332" s="2" t="s">
        <v>25</v>
      </c>
      <c r="J332" s="2" t="s">
        <v>25</v>
      </c>
      <c r="K332" s="2"/>
      <c r="L332" s="11" t="s">
        <v>222</v>
      </c>
      <c r="M332" s="7" t="s">
        <v>223</v>
      </c>
      <c r="N332" s="2" t="s">
        <v>27</v>
      </c>
      <c r="O332" s="7" t="s">
        <v>477</v>
      </c>
      <c r="P332" s="14"/>
      <c r="Q332" s="7" t="s">
        <v>513</v>
      </c>
      <c r="S332" s="1" t="s">
        <v>1096</v>
      </c>
      <c r="T332" s="2" t="s">
        <v>224</v>
      </c>
      <c r="W332" s="2" t="s">
        <v>225</v>
      </c>
      <c r="X332" s="1" t="str">
        <f t="shared" si="12"/>
        <v>*/GoodsShipment[0]/GoodsShipmentItem[0]/AdditionalInformation[0]/code</v>
      </c>
    </row>
    <row r="333" spans="1:24" ht="12" customHeight="1" outlineLevel="4" x14ac:dyDescent="0.35">
      <c r="A333" s="2" t="str">
        <f t="shared" si="11"/>
        <v>CC413B</v>
      </c>
      <c r="B333" s="1">
        <v>4</v>
      </c>
      <c r="C333" s="1" t="s">
        <v>19</v>
      </c>
      <c r="D333" s="1" t="s">
        <v>30</v>
      </c>
      <c r="E333" s="2" t="s">
        <v>30</v>
      </c>
      <c r="F333" s="2" t="s">
        <v>30</v>
      </c>
      <c r="G333" s="2" t="s">
        <v>30</v>
      </c>
      <c r="H333" s="2" t="s">
        <v>30</v>
      </c>
      <c r="I333" s="2" t="s">
        <v>30</v>
      </c>
      <c r="J333" s="2" t="s">
        <v>30</v>
      </c>
      <c r="K333" s="2"/>
      <c r="L333" s="11" t="s">
        <v>142</v>
      </c>
      <c r="M333" s="7" t="s">
        <v>50</v>
      </c>
      <c r="N333" s="2" t="s">
        <v>396</v>
      </c>
      <c r="O333" s="7" t="s">
        <v>748</v>
      </c>
      <c r="P333" s="7" t="s">
        <v>493</v>
      </c>
      <c r="Q333" s="7" t="s">
        <v>416</v>
      </c>
      <c r="T333" s="2" t="s">
        <v>143</v>
      </c>
      <c r="W333" s="2" t="s">
        <v>52</v>
      </c>
      <c r="X333" s="1" t="str">
        <f t="shared" si="12"/>
        <v>*/GoodsShipment[0]/GoodsShipmentItem[0]/AdditionalInformation[0]/ccQualifier</v>
      </c>
    </row>
    <row r="334" spans="1:24" ht="12" customHeight="1" outlineLevel="4" x14ac:dyDescent="0.35">
      <c r="A334" s="2" t="str">
        <f t="shared" si="11"/>
        <v>CC413B</v>
      </c>
      <c r="B334" s="1">
        <v>4</v>
      </c>
      <c r="C334" s="1" t="s">
        <v>19</v>
      </c>
      <c r="D334" s="1" t="s">
        <v>30</v>
      </c>
      <c r="E334" s="2" t="s">
        <v>30</v>
      </c>
      <c r="F334" s="2" t="s">
        <v>30</v>
      </c>
      <c r="G334" s="2" t="s">
        <v>30</v>
      </c>
      <c r="H334" s="2" t="s">
        <v>30</v>
      </c>
      <c r="I334" s="2" t="s">
        <v>30</v>
      </c>
      <c r="J334" s="2" t="s">
        <v>30</v>
      </c>
      <c r="K334" s="2"/>
      <c r="L334" s="11" t="s">
        <v>226</v>
      </c>
      <c r="M334" s="7" t="s">
        <v>216</v>
      </c>
      <c r="N334" s="2" t="s">
        <v>22</v>
      </c>
      <c r="O334" s="14"/>
      <c r="P334" s="14"/>
      <c r="Q334" s="14"/>
      <c r="S334" s="1" t="s">
        <v>1097</v>
      </c>
      <c r="T334" s="2" t="s">
        <v>227</v>
      </c>
      <c r="W334" s="2" t="s">
        <v>218</v>
      </c>
      <c r="X334" s="1" t="str">
        <f t="shared" si="12"/>
        <v>*/GoodsShipment[0]/GoodsShipmentItem[0]/AdditionalInformation[0]/text</v>
      </c>
    </row>
    <row r="335" spans="1:24" ht="12" customHeight="1" outlineLevel="3" x14ac:dyDescent="0.35">
      <c r="A335" s="3" t="str">
        <f t="shared" si="11"/>
        <v>CC413B</v>
      </c>
      <c r="B335" s="4">
        <v>3</v>
      </c>
      <c r="C335" s="3" t="s">
        <v>24</v>
      </c>
      <c r="D335" s="3" t="s">
        <v>30</v>
      </c>
      <c r="E335" s="3" t="s">
        <v>30</v>
      </c>
      <c r="F335" s="3"/>
      <c r="G335" s="3" t="s">
        <v>30</v>
      </c>
      <c r="H335" s="3" t="s">
        <v>30</v>
      </c>
      <c r="I335" s="3" t="s">
        <v>30</v>
      </c>
      <c r="J335" s="3"/>
      <c r="K335" s="3"/>
      <c r="L335" s="10" t="s">
        <v>720</v>
      </c>
      <c r="M335" s="4"/>
      <c r="N335" s="3" t="s">
        <v>396</v>
      </c>
      <c r="O335" s="15"/>
      <c r="P335" s="16" t="s">
        <v>721</v>
      </c>
      <c r="Q335" s="15"/>
      <c r="R335" s="4"/>
      <c r="S335" s="4" t="s">
        <v>1190</v>
      </c>
      <c r="T335" s="3" t="s">
        <v>722</v>
      </c>
      <c r="U335" s="4"/>
      <c r="V335" s="4"/>
      <c r="W335" s="3" t="s">
        <v>723</v>
      </c>
      <c r="X335" s="1" t="str">
        <f t="shared" si="12"/>
        <v>*/GoodsShipment[0]/GoodsShipmentItem[0]/CustomsValuation</v>
      </c>
    </row>
    <row r="336" spans="1:24" ht="12" customHeight="1" outlineLevel="4" x14ac:dyDescent="0.35">
      <c r="A336" s="2" t="str">
        <f t="shared" si="11"/>
        <v>CC413B</v>
      </c>
      <c r="B336" s="1">
        <v>4</v>
      </c>
      <c r="C336" s="1" t="s">
        <v>19</v>
      </c>
      <c r="D336" s="1" t="s">
        <v>25</v>
      </c>
      <c r="E336" s="2" t="s">
        <v>25</v>
      </c>
      <c r="F336" s="2"/>
      <c r="G336" s="2" t="s">
        <v>25</v>
      </c>
      <c r="H336" s="2" t="s">
        <v>25</v>
      </c>
      <c r="I336" s="2" t="s">
        <v>25</v>
      </c>
      <c r="J336" s="2"/>
      <c r="K336" s="2"/>
      <c r="L336" s="11" t="s">
        <v>724</v>
      </c>
      <c r="M336" s="7" t="s">
        <v>123</v>
      </c>
      <c r="N336" s="2" t="s">
        <v>27</v>
      </c>
      <c r="O336" s="14"/>
      <c r="P336" s="14"/>
      <c r="Q336" s="7" t="s">
        <v>725</v>
      </c>
      <c r="S336" s="1" t="s">
        <v>1191</v>
      </c>
      <c r="T336" s="2" t="s">
        <v>726</v>
      </c>
      <c r="W336" s="2" t="s">
        <v>727</v>
      </c>
      <c r="X336" s="1" t="str">
        <f t="shared" si="12"/>
        <v>*/GoodsShipment[0]/GoodsShipmentItem[0]/CustomsValuation/valuationMethod</v>
      </c>
    </row>
    <row r="337" spans="1:24" ht="12" customHeight="1" outlineLevel="4" x14ac:dyDescent="0.35">
      <c r="A337" s="3" t="str">
        <f t="shared" si="11"/>
        <v>CC413B</v>
      </c>
      <c r="B337" s="4">
        <v>4</v>
      </c>
      <c r="C337" s="3" t="s">
        <v>24</v>
      </c>
      <c r="D337" s="3" t="s">
        <v>193</v>
      </c>
      <c r="E337" s="3" t="s">
        <v>193</v>
      </c>
      <c r="F337" s="3"/>
      <c r="G337" s="3" t="s">
        <v>193</v>
      </c>
      <c r="H337" s="3" t="s">
        <v>193</v>
      </c>
      <c r="I337" s="3" t="s">
        <v>193</v>
      </c>
      <c r="J337" s="3"/>
      <c r="K337" s="3"/>
      <c r="L337" s="12" t="s">
        <v>514</v>
      </c>
      <c r="M337" s="4"/>
      <c r="N337" s="3" t="s">
        <v>396</v>
      </c>
      <c r="O337" s="16" t="s">
        <v>771</v>
      </c>
      <c r="P337" s="16" t="s">
        <v>728</v>
      </c>
      <c r="Q337" s="15"/>
      <c r="R337" s="4"/>
      <c r="S337" s="4" t="s">
        <v>1098</v>
      </c>
      <c r="T337" s="3" t="s">
        <v>516</v>
      </c>
      <c r="U337" s="4"/>
      <c r="V337" s="4"/>
      <c r="W337" s="3" t="s">
        <v>729</v>
      </c>
      <c r="X337" s="1" t="str">
        <f t="shared" si="12"/>
        <v>*/GoodsShipment[0]/GoodsShipmentItem[0]/CustomsValuation/AdditionsAndDeductions[0]</v>
      </c>
    </row>
    <row r="338" spans="1:24" ht="12" customHeight="1" outlineLevel="5" x14ac:dyDescent="0.35">
      <c r="A338" s="2" t="str">
        <f t="shared" si="11"/>
        <v>CC413B</v>
      </c>
      <c r="B338" s="1">
        <v>5</v>
      </c>
      <c r="C338" s="1" t="s">
        <v>19</v>
      </c>
      <c r="D338" s="1" t="s">
        <v>25</v>
      </c>
      <c r="E338" s="2" t="s">
        <v>25</v>
      </c>
      <c r="F338" s="2"/>
      <c r="G338" s="2" t="s">
        <v>25</v>
      </c>
      <c r="H338" s="2" t="s">
        <v>25</v>
      </c>
      <c r="I338" s="2" t="s">
        <v>25</v>
      </c>
      <c r="J338" s="2"/>
      <c r="K338" s="2"/>
      <c r="L338" s="13" t="s">
        <v>56</v>
      </c>
      <c r="M338" s="7" t="s">
        <v>57</v>
      </c>
      <c r="N338" s="2" t="s">
        <v>27</v>
      </c>
      <c r="O338" s="7" t="s">
        <v>393</v>
      </c>
      <c r="P338" s="14"/>
      <c r="Q338" s="14"/>
      <c r="T338" s="2" t="s">
        <v>58</v>
      </c>
      <c r="W338" s="2" t="s">
        <v>59</v>
      </c>
      <c r="X338" s="1" t="str">
        <f t="shared" si="12"/>
        <v>*/GoodsShipment[0]/GoodsShipmentItem[0]/CustomsValuation/AdditionsAndDeductions[0]/sequenceNumber</v>
      </c>
    </row>
    <row r="339" spans="1:24" ht="12" customHeight="1" outlineLevel="5" x14ac:dyDescent="0.35">
      <c r="A339" s="2" t="str">
        <f t="shared" si="11"/>
        <v>CC413B</v>
      </c>
      <c r="B339" s="1">
        <v>5</v>
      </c>
      <c r="C339" s="1" t="s">
        <v>19</v>
      </c>
      <c r="D339" s="1" t="s">
        <v>25</v>
      </c>
      <c r="E339" s="2" t="s">
        <v>25</v>
      </c>
      <c r="F339" s="2"/>
      <c r="G339" s="2" t="s">
        <v>25</v>
      </c>
      <c r="H339" s="2" t="s">
        <v>25</v>
      </c>
      <c r="I339" s="2" t="s">
        <v>25</v>
      </c>
      <c r="J339" s="2"/>
      <c r="K339" s="2"/>
      <c r="L339" s="13" t="s">
        <v>222</v>
      </c>
      <c r="M339" s="7" t="s">
        <v>518</v>
      </c>
      <c r="N339" s="2" t="s">
        <v>27</v>
      </c>
      <c r="O339" s="14"/>
      <c r="P339" s="14"/>
      <c r="Q339" s="7" t="s">
        <v>519</v>
      </c>
      <c r="S339" s="1" t="s">
        <v>1099</v>
      </c>
      <c r="T339" s="2" t="s">
        <v>224</v>
      </c>
      <c r="W339" s="2" t="s">
        <v>520</v>
      </c>
      <c r="X339" s="1" t="str">
        <f t="shared" si="12"/>
        <v>*/GoodsShipment[0]/GoodsShipmentItem[0]/CustomsValuation/AdditionsAndDeductions[0]/code</v>
      </c>
    </row>
    <row r="340" spans="1:24" ht="12" customHeight="1" outlineLevel="5" x14ac:dyDescent="0.35">
      <c r="A340" s="2" t="str">
        <f t="shared" si="11"/>
        <v>CC413B</v>
      </c>
      <c r="B340" s="1">
        <v>5</v>
      </c>
      <c r="C340" s="1" t="s">
        <v>19</v>
      </c>
      <c r="D340" s="1" t="s">
        <v>25</v>
      </c>
      <c r="E340" s="2" t="s">
        <v>25</v>
      </c>
      <c r="F340" s="2"/>
      <c r="G340" s="2" t="s">
        <v>25</v>
      </c>
      <c r="H340" s="2" t="s">
        <v>25</v>
      </c>
      <c r="I340" s="2" t="s">
        <v>25</v>
      </c>
      <c r="J340" s="2"/>
      <c r="K340" s="2"/>
      <c r="L340" s="13" t="s">
        <v>524</v>
      </c>
      <c r="M340" s="7" t="s">
        <v>181</v>
      </c>
      <c r="N340" s="2" t="s">
        <v>27</v>
      </c>
      <c r="O340" s="14"/>
      <c r="P340" s="14"/>
      <c r="Q340" s="14"/>
      <c r="S340" s="1" t="s">
        <v>1100</v>
      </c>
      <c r="T340" s="2" t="s">
        <v>525</v>
      </c>
      <c r="W340" s="2" t="s">
        <v>154</v>
      </c>
      <c r="X340" s="1" t="str">
        <f t="shared" si="12"/>
        <v>*/GoodsShipment[0]/GoodsShipmentItem[0]/CustomsValuation/AdditionsAndDeductions[0]/amount</v>
      </c>
    </row>
    <row r="341" spans="1:24" ht="12" customHeight="1" outlineLevel="3" x14ac:dyDescent="0.35">
      <c r="A341" s="3" t="str">
        <f t="shared" si="11"/>
        <v>CC413B</v>
      </c>
      <c r="B341" s="4">
        <v>3</v>
      </c>
      <c r="C341" s="3" t="s">
        <v>24</v>
      </c>
      <c r="D341" s="3" t="s">
        <v>30</v>
      </c>
      <c r="E341" s="3" t="s">
        <v>30</v>
      </c>
      <c r="F341" s="3"/>
      <c r="G341" s="3"/>
      <c r="H341" s="3" t="s">
        <v>30</v>
      </c>
      <c r="I341" s="3" t="s">
        <v>30</v>
      </c>
      <c r="J341" s="3"/>
      <c r="K341" s="3"/>
      <c r="L341" s="10" t="s">
        <v>730</v>
      </c>
      <c r="M341" s="4"/>
      <c r="N341" s="3" t="s">
        <v>396</v>
      </c>
      <c r="O341" s="16" t="s">
        <v>772</v>
      </c>
      <c r="P341" s="16" t="s">
        <v>731</v>
      </c>
      <c r="Q341" s="15"/>
      <c r="R341" s="4"/>
      <c r="S341" s="4" t="s">
        <v>1192</v>
      </c>
      <c r="T341" s="3" t="s">
        <v>732</v>
      </c>
      <c r="U341" s="4"/>
      <c r="V341" s="4"/>
      <c r="W341" s="3" t="s">
        <v>733</v>
      </c>
      <c r="X341" s="1" t="str">
        <f t="shared" si="12"/>
        <v>*/GoodsShipment[0]/GoodsShipmentItem[0]/ValuationAdjustment</v>
      </c>
    </row>
    <row r="342" spans="1:24" ht="12" customHeight="1" outlineLevel="4" x14ac:dyDescent="0.35">
      <c r="A342" s="2" t="str">
        <f t="shared" si="11"/>
        <v>CC413B</v>
      </c>
      <c r="B342" s="1">
        <v>4</v>
      </c>
      <c r="C342" s="1" t="s">
        <v>19</v>
      </c>
      <c r="D342" s="1" t="s">
        <v>25</v>
      </c>
      <c r="E342" s="2" t="s">
        <v>25</v>
      </c>
      <c r="F342" s="2"/>
      <c r="G342" s="2"/>
      <c r="H342" s="2" t="s">
        <v>25</v>
      </c>
      <c r="I342" s="2" t="s">
        <v>25</v>
      </c>
      <c r="J342" s="2"/>
      <c r="K342" s="2"/>
      <c r="L342" s="11" t="s">
        <v>734</v>
      </c>
      <c r="M342" s="7" t="s">
        <v>735</v>
      </c>
      <c r="N342" s="2" t="s">
        <v>27</v>
      </c>
      <c r="O342" s="7" t="s">
        <v>736</v>
      </c>
      <c r="P342" s="14"/>
      <c r="Q342" s="14"/>
      <c r="S342" s="1" t="s">
        <v>1193</v>
      </c>
      <c r="T342" s="2" t="s">
        <v>737</v>
      </c>
      <c r="W342" s="2" t="s">
        <v>738</v>
      </c>
      <c r="X342" s="1" t="str">
        <f t="shared" si="12"/>
        <v>*/GoodsShipment[0]/GoodsShipmentItem[0]/ValuationAdjustment/valuationIndicators</v>
      </c>
    </row>
    <row r="343" spans="1:24" ht="12" customHeight="1" outlineLevel="3" x14ac:dyDescent="0.35">
      <c r="A343" s="3" t="str">
        <f t="shared" si="11"/>
        <v>CC413B</v>
      </c>
      <c r="B343" s="4">
        <v>3</v>
      </c>
      <c r="C343" s="3" t="s">
        <v>24</v>
      </c>
      <c r="D343" s="3" t="s">
        <v>193</v>
      </c>
      <c r="E343" s="3" t="s">
        <v>193</v>
      </c>
      <c r="F343" s="3"/>
      <c r="G343" s="3"/>
      <c r="H343" s="3"/>
      <c r="I343" s="3"/>
      <c r="J343" s="3" t="s">
        <v>193</v>
      </c>
      <c r="K343" s="3"/>
      <c r="L343" s="10" t="s">
        <v>528</v>
      </c>
      <c r="M343" s="4"/>
      <c r="N343" s="3" t="s">
        <v>396</v>
      </c>
      <c r="O343" s="16" t="s">
        <v>773</v>
      </c>
      <c r="P343" s="16" t="s">
        <v>529</v>
      </c>
      <c r="Q343" s="15"/>
      <c r="R343" s="4"/>
      <c r="S343" s="4" t="s">
        <v>1101</v>
      </c>
      <c r="T343" s="3" t="s">
        <v>530</v>
      </c>
      <c r="U343" s="4"/>
      <c r="V343" s="4"/>
      <c r="W343" s="3" t="s">
        <v>531</v>
      </c>
      <c r="X343" s="1" t="str">
        <f t="shared" si="12"/>
        <v>*/GoodsShipment[0]/GoodsShipmentItem[0]/AdditionalFiscalReference[0]</v>
      </c>
    </row>
    <row r="344" spans="1:24" ht="12" customHeight="1" outlineLevel="4" x14ac:dyDescent="0.35">
      <c r="A344" s="2" t="str">
        <f t="shared" si="11"/>
        <v>CC413B</v>
      </c>
      <c r="B344" s="1">
        <v>4</v>
      </c>
      <c r="C344" s="1" t="s">
        <v>19</v>
      </c>
      <c r="D344" s="1" t="s">
        <v>25</v>
      </c>
      <c r="E344" s="2" t="s">
        <v>25</v>
      </c>
      <c r="F344" s="2"/>
      <c r="G344" s="2"/>
      <c r="H344" s="2"/>
      <c r="I344" s="2"/>
      <c r="J344" s="2" t="s">
        <v>25</v>
      </c>
      <c r="K344" s="2"/>
      <c r="L344" s="11" t="s">
        <v>56</v>
      </c>
      <c r="M344" s="7" t="s">
        <v>57</v>
      </c>
      <c r="N344" s="2" t="s">
        <v>27</v>
      </c>
      <c r="O344" s="7" t="s">
        <v>393</v>
      </c>
      <c r="P344" s="14"/>
      <c r="Q344" s="14"/>
      <c r="T344" s="2" t="s">
        <v>58</v>
      </c>
      <c r="W344" s="2" t="s">
        <v>59</v>
      </c>
      <c r="X344" s="1" t="str">
        <f t="shared" si="12"/>
        <v>*/GoodsShipment[0]/GoodsShipmentItem[0]/AdditionalFiscalReference[0]/sequenceNumber</v>
      </c>
    </row>
    <row r="345" spans="1:24" ht="12" customHeight="1" outlineLevel="4" x14ac:dyDescent="0.35">
      <c r="A345" s="2" t="str">
        <f t="shared" si="11"/>
        <v>CC413B</v>
      </c>
      <c r="B345" s="1">
        <v>4</v>
      </c>
      <c r="C345" s="1" t="s">
        <v>19</v>
      </c>
      <c r="D345" s="1" t="s">
        <v>25</v>
      </c>
      <c r="E345" s="2" t="s">
        <v>25</v>
      </c>
      <c r="F345" s="2"/>
      <c r="G345" s="2"/>
      <c r="H345" s="2"/>
      <c r="I345" s="2"/>
      <c r="J345" s="2" t="s">
        <v>25</v>
      </c>
      <c r="K345" s="2"/>
      <c r="L345" s="11" t="s">
        <v>197</v>
      </c>
      <c r="M345" s="7" t="s">
        <v>333</v>
      </c>
      <c r="N345" s="2" t="s">
        <v>27</v>
      </c>
      <c r="O345" s="14"/>
      <c r="P345" s="14"/>
      <c r="Q345" s="7" t="s">
        <v>532</v>
      </c>
      <c r="S345" s="1" t="s">
        <v>1102</v>
      </c>
      <c r="T345" s="2" t="s">
        <v>199</v>
      </c>
      <c r="W345" s="2" t="s">
        <v>533</v>
      </c>
      <c r="X345" s="1" t="str">
        <f t="shared" si="12"/>
        <v>*/GoodsShipment[0]/GoodsShipmentItem[0]/AdditionalFiscalReference[0]/role</v>
      </c>
    </row>
    <row r="346" spans="1:24" ht="12" customHeight="1" outlineLevel="4" x14ac:dyDescent="0.35">
      <c r="A346" s="2" t="str">
        <f t="shared" si="11"/>
        <v>CC413B</v>
      </c>
      <c r="B346" s="1">
        <v>4</v>
      </c>
      <c r="C346" s="1" t="s">
        <v>19</v>
      </c>
      <c r="D346" s="1" t="s">
        <v>25</v>
      </c>
      <c r="E346" s="2" t="s">
        <v>25</v>
      </c>
      <c r="F346" s="2"/>
      <c r="G346" s="2"/>
      <c r="H346" s="2"/>
      <c r="I346" s="2"/>
      <c r="J346" s="2" t="s">
        <v>25</v>
      </c>
      <c r="K346" s="2"/>
      <c r="L346" s="11" t="s">
        <v>534</v>
      </c>
      <c r="M346" s="7" t="s">
        <v>103</v>
      </c>
      <c r="N346" s="2" t="s">
        <v>27</v>
      </c>
      <c r="O346" s="14"/>
      <c r="P346" s="14"/>
      <c r="Q346" s="14"/>
      <c r="S346" s="1" t="s">
        <v>1103</v>
      </c>
      <c r="T346" s="2" t="s">
        <v>535</v>
      </c>
      <c r="W346" s="2" t="s">
        <v>536</v>
      </c>
      <c r="X346" s="1" t="str">
        <f t="shared" si="12"/>
        <v>*/GoodsShipment[0]/GoodsShipmentItem[0]/AdditionalFiscalReference[0]/VATIdentificationNumber</v>
      </c>
    </row>
    <row r="347" spans="1:24" ht="12" customHeight="1" x14ac:dyDescent="0.35"/>
    <row r="349" spans="1:24" x14ac:dyDescent="0.35">
      <c r="D349" s="1" t="s">
        <v>0</v>
      </c>
      <c r="E349" s="1" t="s">
        <v>2003</v>
      </c>
      <c r="F349" s="1" t="s">
        <v>208</v>
      </c>
      <c r="W349" s="1" t="s">
        <v>14</v>
      </c>
    </row>
    <row r="350" spans="1:24" x14ac:dyDescent="0.35">
      <c r="D350" s="1" t="s">
        <v>2009</v>
      </c>
    </row>
    <row r="351" spans="1:24" x14ac:dyDescent="0.35">
      <c r="E351" s="1" t="s">
        <v>2004</v>
      </c>
      <c r="F351" s="1" t="s">
        <v>1970</v>
      </c>
      <c r="W351" s="1" t="s">
        <v>48</v>
      </c>
    </row>
    <row r="352" spans="1:24" x14ac:dyDescent="0.35">
      <c r="E352" s="1" t="s">
        <v>2005</v>
      </c>
      <c r="F352" s="1" t="s">
        <v>1971</v>
      </c>
      <c r="W352" s="1" t="s">
        <v>70</v>
      </c>
    </row>
    <row r="353" spans="5:23" x14ac:dyDescent="0.35">
      <c r="E353" s="1" t="s">
        <v>2004</v>
      </c>
      <c r="F353" s="1" t="s">
        <v>1972</v>
      </c>
      <c r="W353" s="1" t="s">
        <v>104</v>
      </c>
    </row>
    <row r="354" spans="5:23" x14ac:dyDescent="0.35">
      <c r="E354" s="1" t="s">
        <v>2004</v>
      </c>
      <c r="F354" s="1" t="s">
        <v>1973</v>
      </c>
      <c r="W354" s="1" t="s">
        <v>104</v>
      </c>
    </row>
    <row r="355" spans="5:23" x14ac:dyDescent="0.35">
      <c r="E355" s="1" t="s">
        <v>2004</v>
      </c>
      <c r="F355" s="1" t="s">
        <v>1974</v>
      </c>
      <c r="W355" s="1" t="s">
        <v>133</v>
      </c>
    </row>
    <row r="356" spans="5:23" x14ac:dyDescent="0.35">
      <c r="E356" s="1" t="s">
        <v>2004</v>
      </c>
      <c r="F356" s="1" t="s">
        <v>1975</v>
      </c>
      <c r="W356" s="1" t="s">
        <v>207</v>
      </c>
    </row>
    <row r="357" spans="5:23" x14ac:dyDescent="0.35">
      <c r="E357" s="1" t="s">
        <v>2004</v>
      </c>
      <c r="F357" s="1" t="s">
        <v>1976</v>
      </c>
      <c r="W357" s="1" t="s">
        <v>463</v>
      </c>
    </row>
    <row r="358" spans="5:23" x14ac:dyDescent="0.35">
      <c r="E358" s="1" t="s">
        <v>2005</v>
      </c>
      <c r="F358" s="1" t="s">
        <v>1977</v>
      </c>
      <c r="W358" s="1" t="s">
        <v>308</v>
      </c>
    </row>
    <row r="359" spans="5:23" x14ac:dyDescent="0.35">
      <c r="E359" s="1" t="s">
        <v>2004</v>
      </c>
      <c r="F359" s="1" t="s">
        <v>1978</v>
      </c>
      <c r="W359" s="1" t="s">
        <v>150</v>
      </c>
    </row>
    <row r="360" spans="5:23" x14ac:dyDescent="0.35">
      <c r="E360" s="1" t="s">
        <v>2004</v>
      </c>
      <c r="F360" s="1" t="s">
        <v>1979</v>
      </c>
      <c r="W360" s="1" t="s">
        <v>523</v>
      </c>
    </row>
    <row r="361" spans="5:23" x14ac:dyDescent="0.35">
      <c r="E361" s="1" t="s">
        <v>2005</v>
      </c>
      <c r="F361" s="1" t="s">
        <v>1980</v>
      </c>
      <c r="W361" s="1" t="s">
        <v>183</v>
      </c>
    </row>
    <row r="362" spans="5:23" x14ac:dyDescent="0.35">
      <c r="E362" s="1" t="s">
        <v>2004</v>
      </c>
      <c r="F362" s="1" t="s">
        <v>1981</v>
      </c>
      <c r="W362" s="1" t="s">
        <v>526</v>
      </c>
    </row>
    <row r="363" spans="5:23" x14ac:dyDescent="0.35">
      <c r="E363" s="1" t="s">
        <v>2004</v>
      </c>
      <c r="F363" s="1" t="s">
        <v>1982</v>
      </c>
      <c r="W363" s="1" t="s">
        <v>523</v>
      </c>
    </row>
    <row r="364" spans="5:23" x14ac:dyDescent="0.35">
      <c r="E364" s="1" t="s">
        <v>2004</v>
      </c>
      <c r="F364" s="1" t="s">
        <v>1983</v>
      </c>
      <c r="W364" s="1" t="s">
        <v>527</v>
      </c>
    </row>
    <row r="365" spans="5:23" x14ac:dyDescent="0.35">
      <c r="E365" s="1" t="s">
        <v>2004</v>
      </c>
      <c r="F365" s="1" t="s">
        <v>1984</v>
      </c>
      <c r="W365" s="1" t="s">
        <v>527</v>
      </c>
    </row>
    <row r="366" spans="5:23" x14ac:dyDescent="0.35">
      <c r="E366" s="1" t="s">
        <v>2005</v>
      </c>
      <c r="F366" s="1" t="s">
        <v>1985</v>
      </c>
      <c r="W366" s="1" t="s">
        <v>367</v>
      </c>
    </row>
    <row r="367" spans="5:23" x14ac:dyDescent="0.35">
      <c r="E367" s="1" t="s">
        <v>2006</v>
      </c>
      <c r="F367" s="1" t="s">
        <v>1986</v>
      </c>
      <c r="W367" s="1" t="s">
        <v>246</v>
      </c>
    </row>
    <row r="368" spans="5:23" x14ac:dyDescent="0.35">
      <c r="E368" s="1" t="s">
        <v>2006</v>
      </c>
      <c r="F368" s="1" t="s">
        <v>1987</v>
      </c>
      <c r="W368" s="1" t="s">
        <v>252</v>
      </c>
    </row>
    <row r="369" spans="5:23" x14ac:dyDescent="0.35">
      <c r="E369" s="1" t="s">
        <v>2005</v>
      </c>
      <c r="F369" s="1" t="s">
        <v>1988</v>
      </c>
      <c r="W369" s="1" t="s">
        <v>327</v>
      </c>
    </row>
    <row r="370" spans="5:23" x14ac:dyDescent="0.35">
      <c r="E370" s="1" t="s">
        <v>2005</v>
      </c>
      <c r="F370" s="1" t="s">
        <v>1989</v>
      </c>
      <c r="W370" s="1" t="s">
        <v>327</v>
      </c>
    </row>
    <row r="371" spans="5:23" x14ac:dyDescent="0.35">
      <c r="E371" s="1" t="s">
        <v>2004</v>
      </c>
      <c r="F371" s="1" t="s">
        <v>1990</v>
      </c>
      <c r="W371" s="1" t="s">
        <v>207</v>
      </c>
    </row>
    <row r="372" spans="5:23" x14ac:dyDescent="0.35">
      <c r="E372" s="1" t="s">
        <v>2004</v>
      </c>
      <c r="F372" s="1" t="s">
        <v>1991</v>
      </c>
      <c r="W372" s="1" t="s">
        <v>527</v>
      </c>
    </row>
    <row r="373" spans="5:23" x14ac:dyDescent="0.35">
      <c r="E373" s="1" t="s">
        <v>2004</v>
      </c>
      <c r="F373" s="1" t="s">
        <v>1992</v>
      </c>
      <c r="W373" s="1" t="s">
        <v>527</v>
      </c>
    </row>
    <row r="374" spans="5:23" x14ac:dyDescent="0.35">
      <c r="E374" s="1" t="s">
        <v>2004</v>
      </c>
      <c r="F374" s="1" t="s">
        <v>1993</v>
      </c>
      <c r="W374" s="1" t="s">
        <v>653</v>
      </c>
    </row>
    <row r="375" spans="5:23" x14ac:dyDescent="0.35">
      <c r="E375" s="1" t="s">
        <v>2005</v>
      </c>
      <c r="F375" s="1" t="s">
        <v>1994</v>
      </c>
      <c r="W375" s="1" t="s">
        <v>654</v>
      </c>
    </row>
    <row r="376" spans="5:23" x14ac:dyDescent="0.35">
      <c r="E376" s="1" t="s">
        <v>2004</v>
      </c>
      <c r="F376" s="1" t="s">
        <v>1995</v>
      </c>
      <c r="W376" s="1" t="s">
        <v>150</v>
      </c>
    </row>
    <row r="377" spans="5:23" x14ac:dyDescent="0.35">
      <c r="E377" s="1" t="s">
        <v>2005</v>
      </c>
      <c r="F377" s="1" t="s">
        <v>1996</v>
      </c>
      <c r="W377" s="1" t="s">
        <v>59</v>
      </c>
    </row>
    <row r="378" spans="5:23" x14ac:dyDescent="0.35">
      <c r="E378" s="1" t="s">
        <v>2005</v>
      </c>
      <c r="F378" s="1" t="s">
        <v>1997</v>
      </c>
      <c r="W378" s="1" t="s">
        <v>347</v>
      </c>
    </row>
    <row r="379" spans="5:23" x14ac:dyDescent="0.35">
      <c r="E379" s="1" t="s">
        <v>2005</v>
      </c>
      <c r="F379" s="1" t="s">
        <v>1998</v>
      </c>
      <c r="W379" s="1" t="s">
        <v>308</v>
      </c>
    </row>
    <row r="380" spans="5:23" x14ac:dyDescent="0.35">
      <c r="E380" s="1" t="s">
        <v>2004</v>
      </c>
      <c r="F380" s="1" t="s">
        <v>1999</v>
      </c>
      <c r="W380" s="1" t="s">
        <v>150</v>
      </c>
    </row>
    <row r="381" spans="5:23" x14ac:dyDescent="0.35">
      <c r="E381" s="1" t="s">
        <v>2004</v>
      </c>
      <c r="F381" s="1" t="s">
        <v>2000</v>
      </c>
      <c r="W381" s="1" t="s">
        <v>526</v>
      </c>
    </row>
    <row r="382" spans="5:23" x14ac:dyDescent="0.35">
      <c r="E382" s="1" t="s">
        <v>2004</v>
      </c>
      <c r="F382" s="1" t="s">
        <v>2001</v>
      </c>
      <c r="W382" s="1" t="s">
        <v>523</v>
      </c>
    </row>
    <row r="383" spans="5:23" x14ac:dyDescent="0.35">
      <c r="E383" s="1" t="s">
        <v>2004</v>
      </c>
      <c r="F383" s="1" t="s">
        <v>2002</v>
      </c>
      <c r="W383" s="1" t="s">
        <v>527</v>
      </c>
    </row>
    <row r="385" spans="4:6" x14ac:dyDescent="0.35">
      <c r="D385" s="1" t="s">
        <v>2010</v>
      </c>
    </row>
    <row r="386" spans="4:6" x14ac:dyDescent="0.35">
      <c r="E386" s="1" t="s">
        <v>2005</v>
      </c>
      <c r="F386" s="1" t="s">
        <v>1971</v>
      </c>
    </row>
    <row r="387" spans="4:6" x14ac:dyDescent="0.35">
      <c r="E387" s="1" t="s">
        <v>2004</v>
      </c>
      <c r="F387" s="1" t="s">
        <v>1972</v>
      </c>
    </row>
    <row r="388" spans="4:6" x14ac:dyDescent="0.35">
      <c r="E388" s="1" t="s">
        <v>2004</v>
      </c>
      <c r="F388" s="1" t="s">
        <v>1973</v>
      </c>
    </row>
    <row r="389" spans="4:6" x14ac:dyDescent="0.35">
      <c r="E389" s="1" t="s">
        <v>2004</v>
      </c>
      <c r="F389" s="1" t="s">
        <v>2011</v>
      </c>
    </row>
    <row r="391" spans="4:6" x14ac:dyDescent="0.35">
      <c r="D391" s="1" t="s">
        <v>2012</v>
      </c>
    </row>
    <row r="392" spans="4:6" x14ac:dyDescent="0.35">
      <c r="E392" s="1" t="s">
        <v>2004</v>
      </c>
      <c r="F392" s="1" t="s">
        <v>2007</v>
      </c>
    </row>
    <row r="393" spans="4:6" x14ac:dyDescent="0.35">
      <c r="E393" s="1" t="s">
        <v>2005</v>
      </c>
      <c r="F393" s="1" t="s">
        <v>1971</v>
      </c>
    </row>
    <row r="394" spans="4:6" x14ac:dyDescent="0.35">
      <c r="E394" s="1" t="s">
        <v>2004</v>
      </c>
      <c r="F394" s="1" t="s">
        <v>1972</v>
      </c>
    </row>
    <row r="395" spans="4:6" x14ac:dyDescent="0.35">
      <c r="E395" s="1" t="s">
        <v>2004</v>
      </c>
      <c r="F395" s="1" t="s">
        <v>1973</v>
      </c>
    </row>
    <row r="397" spans="4:6" x14ac:dyDescent="0.35">
      <c r="D397" s="1" t="s">
        <v>2008</v>
      </c>
    </row>
    <row r="398" spans="4:6" x14ac:dyDescent="0.35">
      <c r="E398" s="1" t="s">
        <v>2004</v>
      </c>
      <c r="F398" s="1" t="s">
        <v>2007</v>
      </c>
    </row>
    <row r="400" spans="4:6" x14ac:dyDescent="0.35">
      <c r="D400" s="1" t="s">
        <v>2017</v>
      </c>
    </row>
    <row r="401" spans="4:6" x14ac:dyDescent="0.35">
      <c r="E401" s="1" t="s">
        <v>2015</v>
      </c>
      <c r="F401" s="1" t="s">
        <v>2013</v>
      </c>
    </row>
    <row r="402" spans="4:6" x14ac:dyDescent="0.35">
      <c r="E402" s="1" t="s">
        <v>2015</v>
      </c>
      <c r="F402" s="1" t="s">
        <v>2014</v>
      </c>
    </row>
    <row r="404" spans="4:6" x14ac:dyDescent="0.35">
      <c r="D404" s="1" t="s">
        <v>2018</v>
      </c>
    </row>
    <row r="405" spans="4:6" x14ac:dyDescent="0.35">
      <c r="E405" s="1" t="s">
        <v>2015</v>
      </c>
      <c r="F405" s="1" t="s">
        <v>2013</v>
      </c>
    </row>
    <row r="406" spans="4:6" x14ac:dyDescent="0.35">
      <c r="E406" s="1" t="s">
        <v>2015</v>
      </c>
      <c r="F406" s="1" t="s">
        <v>2014</v>
      </c>
    </row>
    <row r="407" spans="4:6" x14ac:dyDescent="0.35">
      <c r="E407" s="1" t="s">
        <v>2015</v>
      </c>
      <c r="F407" s="1" t="s">
        <v>2019</v>
      </c>
    </row>
    <row r="409" spans="4:6" x14ac:dyDescent="0.35">
      <c r="D409" s="1" t="s">
        <v>2020</v>
      </c>
    </row>
    <row r="410" spans="4:6" x14ac:dyDescent="0.35">
      <c r="E410" s="1" t="s">
        <v>2015</v>
      </c>
      <c r="F410" s="1" t="s">
        <v>2013</v>
      </c>
    </row>
    <row r="411" spans="4:6" x14ac:dyDescent="0.35">
      <c r="E411" s="1" t="s">
        <v>2015</v>
      </c>
      <c r="F411" s="1" t="s">
        <v>2014</v>
      </c>
    </row>
    <row r="413" spans="4:6" x14ac:dyDescent="0.35">
      <c r="D413" s="1" t="s">
        <v>2021</v>
      </c>
    </row>
    <row r="414" spans="4:6" x14ac:dyDescent="0.35">
      <c r="E414" s="1" t="s">
        <v>2015</v>
      </c>
      <c r="F414" s="1" t="s">
        <v>2013</v>
      </c>
    </row>
    <row r="415" spans="4:6" x14ac:dyDescent="0.35">
      <c r="E415" s="1" t="s">
        <v>2015</v>
      </c>
      <c r="F415" s="1" t="s">
        <v>2014</v>
      </c>
    </row>
    <row r="417" spans="4:6" x14ac:dyDescent="0.35">
      <c r="D417" s="1" t="s">
        <v>2022</v>
      </c>
    </row>
    <row r="418" spans="4:6" x14ac:dyDescent="0.35">
      <c r="E418" s="1" t="s">
        <v>2015</v>
      </c>
      <c r="F418" s="1" t="s">
        <v>2013</v>
      </c>
    </row>
    <row r="419" spans="4:6" x14ac:dyDescent="0.35">
      <c r="E419" s="1" t="s">
        <v>2016</v>
      </c>
      <c r="F419" s="1" t="s">
        <v>2023</v>
      </c>
    </row>
    <row r="420" spans="4:6" x14ac:dyDescent="0.35">
      <c r="E420" s="1" t="s">
        <v>2016</v>
      </c>
      <c r="F420" s="1" t="s">
        <v>2024</v>
      </c>
    </row>
    <row r="421" spans="4:6" x14ac:dyDescent="0.35">
      <c r="E421" s="1" t="s">
        <v>2027</v>
      </c>
      <c r="F421" s="1" t="s">
        <v>2025</v>
      </c>
    </row>
    <row r="422" spans="4:6" x14ac:dyDescent="0.35">
      <c r="E422" s="1" t="s">
        <v>2027</v>
      </c>
      <c r="F422" s="1" t="s">
        <v>2026</v>
      </c>
    </row>
    <row r="424" spans="4:6" x14ac:dyDescent="0.35">
      <c r="D424" s="1" t="s">
        <v>2028</v>
      </c>
    </row>
    <row r="425" spans="4:6" x14ac:dyDescent="0.35">
      <c r="E425" s="1" t="s">
        <v>2015</v>
      </c>
      <c r="F425" s="1" t="s">
        <v>2013</v>
      </c>
    </row>
    <row r="426" spans="4:6" x14ac:dyDescent="0.35">
      <c r="E426" s="1" t="s">
        <v>2015</v>
      </c>
      <c r="F426" s="1" t="s">
        <v>2014</v>
      </c>
    </row>
    <row r="428" spans="4:6" x14ac:dyDescent="0.35">
      <c r="D428" s="1" t="s">
        <v>2029</v>
      </c>
    </row>
    <row r="429" spans="4:6" x14ac:dyDescent="0.35">
      <c r="E429" s="1" t="s">
        <v>2015</v>
      </c>
      <c r="F429" s="1" t="s">
        <v>2013</v>
      </c>
    </row>
    <row r="430" spans="4:6" x14ac:dyDescent="0.35">
      <c r="E430" s="1" t="s">
        <v>2015</v>
      </c>
      <c r="F430" s="1" t="s">
        <v>2014</v>
      </c>
    </row>
    <row r="432" spans="4:6" x14ac:dyDescent="0.35">
      <c r="D432" s="1" t="s">
        <v>2030</v>
      </c>
    </row>
    <row r="433" spans="4:6" x14ac:dyDescent="0.35">
      <c r="E433" s="1" t="s">
        <v>2015</v>
      </c>
      <c r="F433" s="1" t="s">
        <v>2013</v>
      </c>
    </row>
    <row r="434" spans="4:6" x14ac:dyDescent="0.35">
      <c r="E434" s="1" t="s">
        <v>2015</v>
      </c>
      <c r="F434" s="1" t="s">
        <v>2014</v>
      </c>
    </row>
    <row r="436" spans="4:6" x14ac:dyDescent="0.35">
      <c r="D436" s="1" t="s">
        <v>2031</v>
      </c>
    </row>
    <row r="437" spans="4:6" x14ac:dyDescent="0.35">
      <c r="E437" s="1" t="s">
        <v>2015</v>
      </c>
      <c r="F437" s="1" t="s">
        <v>2013</v>
      </c>
    </row>
    <row r="438" spans="4:6" x14ac:dyDescent="0.35">
      <c r="E438" s="1" t="s">
        <v>2015</v>
      </c>
      <c r="F438" s="1" t="s">
        <v>2014</v>
      </c>
    </row>
    <row r="440" spans="4:6" x14ac:dyDescent="0.35">
      <c r="D440" s="1" t="s">
        <v>2032</v>
      </c>
    </row>
    <row r="441" spans="4:6" x14ac:dyDescent="0.35">
      <c r="E441" s="1" t="s">
        <v>2015</v>
      </c>
      <c r="F441" s="1" t="s">
        <v>2013</v>
      </c>
    </row>
    <row r="442" spans="4:6" x14ac:dyDescent="0.35">
      <c r="E442" s="1" t="s">
        <v>2016</v>
      </c>
      <c r="F442" s="1" t="s">
        <v>2023</v>
      </c>
    </row>
    <row r="443" spans="4:6" x14ac:dyDescent="0.35">
      <c r="E443" s="1" t="s">
        <v>2016</v>
      </c>
      <c r="F443" s="1" t="s">
        <v>2024</v>
      </c>
    </row>
    <row r="444" spans="4:6" x14ac:dyDescent="0.35">
      <c r="E444" s="1" t="s">
        <v>2027</v>
      </c>
      <c r="F444" s="1" t="s">
        <v>2025</v>
      </c>
    </row>
    <row r="445" spans="4:6" x14ac:dyDescent="0.35">
      <c r="E445" s="1" t="s">
        <v>2027</v>
      </c>
      <c r="F445" s="1" t="s">
        <v>2026</v>
      </c>
    </row>
    <row r="447" spans="4:6" x14ac:dyDescent="0.35">
      <c r="D447" s="1" t="s">
        <v>2033</v>
      </c>
    </row>
    <row r="448" spans="4:6" x14ac:dyDescent="0.35">
      <c r="E448" s="1" t="s">
        <v>2015</v>
      </c>
      <c r="F448" s="1" t="s">
        <v>2013</v>
      </c>
    </row>
    <row r="449" spans="4:6" x14ac:dyDescent="0.35">
      <c r="E449" s="1" t="s">
        <v>2015</v>
      </c>
      <c r="F449" s="1" t="s">
        <v>2014</v>
      </c>
    </row>
    <row r="450" spans="4:6" x14ac:dyDescent="0.35">
      <c r="E450" s="1" t="s">
        <v>2035</v>
      </c>
      <c r="F450" s="1" t="s">
        <v>2034</v>
      </c>
    </row>
    <row r="452" spans="4:6" x14ac:dyDescent="0.35">
      <c r="D452" s="1" t="s">
        <v>2036</v>
      </c>
    </row>
    <row r="453" spans="4:6" x14ac:dyDescent="0.35">
      <c r="E453" s="1" t="s">
        <v>2015</v>
      </c>
      <c r="F453" s="1" t="s">
        <v>2013</v>
      </c>
    </row>
    <row r="455" spans="4:6" x14ac:dyDescent="0.35">
      <c r="D455" s="1" t="s">
        <v>2037</v>
      </c>
    </row>
    <row r="456" spans="4:6" x14ac:dyDescent="0.35">
      <c r="E456" s="1" t="s">
        <v>2015</v>
      </c>
      <c r="F456" s="1" t="s">
        <v>2013</v>
      </c>
    </row>
    <row r="457" spans="4:6" x14ac:dyDescent="0.35">
      <c r="E457" s="1" t="s">
        <v>2015</v>
      </c>
      <c r="F457" s="1" t="s">
        <v>2014</v>
      </c>
    </row>
    <row r="459" spans="4:6" x14ac:dyDescent="0.35">
      <c r="D459" s="1" t="s">
        <v>2038</v>
      </c>
    </row>
    <row r="460" spans="4:6" x14ac:dyDescent="0.35">
      <c r="E460" s="1" t="s">
        <v>2015</v>
      </c>
      <c r="F460" s="1" t="s">
        <v>2013</v>
      </c>
    </row>
    <row r="461" spans="4:6" x14ac:dyDescent="0.35">
      <c r="E461" s="1" t="s">
        <v>2015</v>
      </c>
      <c r="F461" s="1" t="s">
        <v>2014</v>
      </c>
    </row>
  </sheetData>
  <conditionalFormatting sqref="A1:D347">
    <cfRule type="cellIs" priority="1" stopIfTrue="1" operator="equal">
      <formula>INDIRECT(ADDRESS(ROW(),COLUMN(),1,1,"compare"))</formula>
    </cfRule>
    <cfRule type="expression" dxfId="61" priority="6" stopIfTrue="1">
      <formula>INDIRECT(ADDRESS(ROW(),COLUMN(),1,1,"compare"))=""</formula>
    </cfRule>
  </conditionalFormatting>
  <conditionalFormatting sqref="A1:W347">
    <cfRule type="cellIs" dxfId="60" priority="4" stopIfTrue="1" operator="equal">
      <formula>""</formula>
    </cfRule>
    <cfRule type="cellIs" dxfId="59" priority="9" stopIfTrue="1" operator="notEqual">
      <formula>""</formula>
    </cfRule>
  </conditionalFormatting>
  <conditionalFormatting sqref="E1:K347">
    <cfRule type="cellIs" priority="2" stopIfTrue="1" operator="equal">
      <formula>INDIRECT(ADDRESS(ROW(),4,1,1,"compare"))</formula>
    </cfRule>
    <cfRule type="expression" dxfId="58" priority="7" stopIfTrue="1">
      <formula>INDIRECT(ADDRESS(ROW(),4,1,1,"compare"))=""</formula>
    </cfRule>
  </conditionalFormatting>
  <conditionalFormatting sqref="L1:W347">
    <cfRule type="cellIs" priority="3" stopIfTrue="1" operator="equal">
      <formula>INDIRECT(ADDRESS(ROW(),COLUMN()-7,1,1,"compare"))</formula>
    </cfRule>
    <cfRule type="expression" dxfId="57" priority="8" stopIfTrue="1">
      <formula>INDIRECT(ADDRESS(ROW(),COLUMN()-7,1,1,"compare"))=""</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43F34-1FF8-49A9-9FD7-54C11A869D53}">
  <sheetPr codeName="Ark2"/>
  <dimension ref="A1:C231"/>
  <sheetViews>
    <sheetView workbookViewId="0">
      <pane ySplit="1" topLeftCell="A2" activePane="bottomLeft" state="frozen"/>
      <selection pane="bottomLeft" activeCell="A2" sqref="A2"/>
    </sheetView>
  </sheetViews>
  <sheetFormatPr defaultRowHeight="14.5" x14ac:dyDescent="0.35"/>
  <cols>
    <col min="1" max="1" width="10" style="26" customWidth="1"/>
    <col min="2" max="2" width="115.7265625" style="26" customWidth="1"/>
    <col min="3" max="3" width="20.453125" style="26" customWidth="1"/>
    <col min="4" max="256" width="8.7265625" style="26"/>
    <col min="257" max="257" width="10" style="26" customWidth="1"/>
    <col min="258" max="258" width="115.7265625" style="26" customWidth="1"/>
    <col min="259" max="259" width="16.7265625" style="26" customWidth="1"/>
    <col min="260" max="512" width="8.7265625" style="26"/>
    <col min="513" max="513" width="10" style="26" customWidth="1"/>
    <col min="514" max="514" width="115.7265625" style="26" customWidth="1"/>
    <col min="515" max="515" width="16.7265625" style="26" customWidth="1"/>
    <col min="516" max="768" width="8.7265625" style="26"/>
    <col min="769" max="769" width="10" style="26" customWidth="1"/>
    <col min="770" max="770" width="115.7265625" style="26" customWidth="1"/>
    <col min="771" max="771" width="16.7265625" style="26" customWidth="1"/>
    <col min="772" max="1024" width="8.7265625" style="26"/>
    <col min="1025" max="1025" width="10" style="26" customWidth="1"/>
    <col min="1026" max="1026" width="115.7265625" style="26" customWidth="1"/>
    <col min="1027" max="1027" width="16.7265625" style="26" customWidth="1"/>
    <col min="1028" max="1280" width="8.7265625" style="26"/>
    <col min="1281" max="1281" width="10" style="26" customWidth="1"/>
    <col min="1282" max="1282" width="115.7265625" style="26" customWidth="1"/>
    <col min="1283" max="1283" width="16.7265625" style="26" customWidth="1"/>
    <col min="1284" max="1536" width="8.7265625" style="26"/>
    <col min="1537" max="1537" width="10" style="26" customWidth="1"/>
    <col min="1538" max="1538" width="115.7265625" style="26" customWidth="1"/>
    <col min="1539" max="1539" width="16.7265625" style="26" customWidth="1"/>
    <col min="1540" max="1792" width="8.7265625" style="26"/>
    <col min="1793" max="1793" width="10" style="26" customWidth="1"/>
    <col min="1794" max="1794" width="115.7265625" style="26" customWidth="1"/>
    <col min="1795" max="1795" width="16.7265625" style="26" customWidth="1"/>
    <col min="1796" max="2048" width="8.7265625" style="26"/>
    <col min="2049" max="2049" width="10" style="26" customWidth="1"/>
    <col min="2050" max="2050" width="115.7265625" style="26" customWidth="1"/>
    <col min="2051" max="2051" width="16.7265625" style="26" customWidth="1"/>
    <col min="2052" max="2304" width="8.7265625" style="26"/>
    <col min="2305" max="2305" width="10" style="26" customWidth="1"/>
    <col min="2306" max="2306" width="115.7265625" style="26" customWidth="1"/>
    <col min="2307" max="2307" width="16.7265625" style="26" customWidth="1"/>
    <col min="2308" max="2560" width="8.7265625" style="26"/>
    <col min="2561" max="2561" width="10" style="26" customWidth="1"/>
    <col min="2562" max="2562" width="115.7265625" style="26" customWidth="1"/>
    <col min="2563" max="2563" width="16.7265625" style="26" customWidth="1"/>
    <col min="2564" max="2816" width="8.7265625" style="26"/>
    <col min="2817" max="2817" width="10" style="26" customWidth="1"/>
    <col min="2818" max="2818" width="115.7265625" style="26" customWidth="1"/>
    <col min="2819" max="2819" width="16.7265625" style="26" customWidth="1"/>
    <col min="2820" max="3072" width="8.7265625" style="26"/>
    <col min="3073" max="3073" width="10" style="26" customWidth="1"/>
    <col min="3074" max="3074" width="115.7265625" style="26" customWidth="1"/>
    <col min="3075" max="3075" width="16.7265625" style="26" customWidth="1"/>
    <col min="3076" max="3328" width="8.7265625" style="26"/>
    <col min="3329" max="3329" width="10" style="26" customWidth="1"/>
    <col min="3330" max="3330" width="115.7265625" style="26" customWidth="1"/>
    <col min="3331" max="3331" width="16.7265625" style="26" customWidth="1"/>
    <col min="3332" max="3584" width="8.7265625" style="26"/>
    <col min="3585" max="3585" width="10" style="26" customWidth="1"/>
    <col min="3586" max="3586" width="115.7265625" style="26" customWidth="1"/>
    <col min="3587" max="3587" width="16.7265625" style="26" customWidth="1"/>
    <col min="3588" max="3840" width="8.7265625" style="26"/>
    <col min="3841" max="3841" width="10" style="26" customWidth="1"/>
    <col min="3842" max="3842" width="115.7265625" style="26" customWidth="1"/>
    <col min="3843" max="3843" width="16.7265625" style="26" customWidth="1"/>
    <col min="3844" max="4096" width="8.7265625" style="26"/>
    <col min="4097" max="4097" width="10" style="26" customWidth="1"/>
    <col min="4098" max="4098" width="115.7265625" style="26" customWidth="1"/>
    <col min="4099" max="4099" width="16.7265625" style="26" customWidth="1"/>
    <col min="4100" max="4352" width="8.7265625" style="26"/>
    <col min="4353" max="4353" width="10" style="26" customWidth="1"/>
    <col min="4354" max="4354" width="115.7265625" style="26" customWidth="1"/>
    <col min="4355" max="4355" width="16.7265625" style="26" customWidth="1"/>
    <col min="4356" max="4608" width="8.7265625" style="26"/>
    <col min="4609" max="4609" width="10" style="26" customWidth="1"/>
    <col min="4610" max="4610" width="115.7265625" style="26" customWidth="1"/>
    <col min="4611" max="4611" width="16.7265625" style="26" customWidth="1"/>
    <col min="4612" max="4864" width="8.7265625" style="26"/>
    <col min="4865" max="4865" width="10" style="26" customWidth="1"/>
    <col min="4866" max="4866" width="115.7265625" style="26" customWidth="1"/>
    <col min="4867" max="4867" width="16.7265625" style="26" customWidth="1"/>
    <col min="4868" max="5120" width="8.7265625" style="26"/>
    <col min="5121" max="5121" width="10" style="26" customWidth="1"/>
    <col min="5122" max="5122" width="115.7265625" style="26" customWidth="1"/>
    <col min="5123" max="5123" width="16.7265625" style="26" customWidth="1"/>
    <col min="5124" max="5376" width="8.7265625" style="26"/>
    <col min="5377" max="5377" width="10" style="26" customWidth="1"/>
    <col min="5378" max="5378" width="115.7265625" style="26" customWidth="1"/>
    <col min="5379" max="5379" width="16.7265625" style="26" customWidth="1"/>
    <col min="5380" max="5632" width="8.7265625" style="26"/>
    <col min="5633" max="5633" width="10" style="26" customWidth="1"/>
    <col min="5634" max="5634" width="115.7265625" style="26" customWidth="1"/>
    <col min="5635" max="5635" width="16.7265625" style="26" customWidth="1"/>
    <col min="5636" max="5888" width="8.7265625" style="26"/>
    <col min="5889" max="5889" width="10" style="26" customWidth="1"/>
    <col min="5890" max="5890" width="115.7265625" style="26" customWidth="1"/>
    <col min="5891" max="5891" width="16.7265625" style="26" customWidth="1"/>
    <col min="5892" max="6144" width="8.7265625" style="26"/>
    <col min="6145" max="6145" width="10" style="26" customWidth="1"/>
    <col min="6146" max="6146" width="115.7265625" style="26" customWidth="1"/>
    <col min="6147" max="6147" width="16.7265625" style="26" customWidth="1"/>
    <col min="6148" max="6400" width="8.7265625" style="26"/>
    <col min="6401" max="6401" width="10" style="26" customWidth="1"/>
    <col min="6402" max="6402" width="115.7265625" style="26" customWidth="1"/>
    <col min="6403" max="6403" width="16.7265625" style="26" customWidth="1"/>
    <col min="6404" max="6656" width="8.7265625" style="26"/>
    <col min="6657" max="6657" width="10" style="26" customWidth="1"/>
    <col min="6658" max="6658" width="115.7265625" style="26" customWidth="1"/>
    <col min="6659" max="6659" width="16.7265625" style="26" customWidth="1"/>
    <col min="6660" max="6912" width="8.7265625" style="26"/>
    <col min="6913" max="6913" width="10" style="26" customWidth="1"/>
    <col min="6914" max="6914" width="115.7265625" style="26" customWidth="1"/>
    <col min="6915" max="6915" width="16.7265625" style="26" customWidth="1"/>
    <col min="6916" max="7168" width="8.7265625" style="26"/>
    <col min="7169" max="7169" width="10" style="26" customWidth="1"/>
    <col min="7170" max="7170" width="115.7265625" style="26" customWidth="1"/>
    <col min="7171" max="7171" width="16.7265625" style="26" customWidth="1"/>
    <col min="7172" max="7424" width="8.7265625" style="26"/>
    <col min="7425" max="7425" width="10" style="26" customWidth="1"/>
    <col min="7426" max="7426" width="115.7265625" style="26" customWidth="1"/>
    <col min="7427" max="7427" width="16.7265625" style="26" customWidth="1"/>
    <col min="7428" max="7680" width="8.7265625" style="26"/>
    <col min="7681" max="7681" width="10" style="26" customWidth="1"/>
    <col min="7682" max="7682" width="115.7265625" style="26" customWidth="1"/>
    <col min="7683" max="7683" width="16.7265625" style="26" customWidth="1"/>
    <col min="7684" max="7936" width="8.7265625" style="26"/>
    <col min="7937" max="7937" width="10" style="26" customWidth="1"/>
    <col min="7938" max="7938" width="115.7265625" style="26" customWidth="1"/>
    <col min="7939" max="7939" width="16.7265625" style="26" customWidth="1"/>
    <col min="7940" max="8192" width="8.7265625" style="26"/>
    <col min="8193" max="8193" width="10" style="26" customWidth="1"/>
    <col min="8194" max="8194" width="115.7265625" style="26" customWidth="1"/>
    <col min="8195" max="8195" width="16.7265625" style="26" customWidth="1"/>
    <col min="8196" max="8448" width="8.7265625" style="26"/>
    <col min="8449" max="8449" width="10" style="26" customWidth="1"/>
    <col min="8450" max="8450" width="115.7265625" style="26" customWidth="1"/>
    <col min="8451" max="8451" width="16.7265625" style="26" customWidth="1"/>
    <col min="8452" max="8704" width="8.7265625" style="26"/>
    <col min="8705" max="8705" width="10" style="26" customWidth="1"/>
    <col min="8706" max="8706" width="115.7265625" style="26" customWidth="1"/>
    <col min="8707" max="8707" width="16.7265625" style="26" customWidth="1"/>
    <col min="8708" max="8960" width="8.7265625" style="26"/>
    <col min="8961" max="8961" width="10" style="26" customWidth="1"/>
    <col min="8962" max="8962" width="115.7265625" style="26" customWidth="1"/>
    <col min="8963" max="8963" width="16.7265625" style="26" customWidth="1"/>
    <col min="8964" max="9216" width="8.7265625" style="26"/>
    <col min="9217" max="9217" width="10" style="26" customWidth="1"/>
    <col min="9218" max="9218" width="115.7265625" style="26" customWidth="1"/>
    <col min="9219" max="9219" width="16.7265625" style="26" customWidth="1"/>
    <col min="9220" max="9472" width="8.7265625" style="26"/>
    <col min="9473" max="9473" width="10" style="26" customWidth="1"/>
    <col min="9474" max="9474" width="115.7265625" style="26" customWidth="1"/>
    <col min="9475" max="9475" width="16.7265625" style="26" customWidth="1"/>
    <col min="9476" max="9728" width="8.7265625" style="26"/>
    <col min="9729" max="9729" width="10" style="26" customWidth="1"/>
    <col min="9730" max="9730" width="115.7265625" style="26" customWidth="1"/>
    <col min="9731" max="9731" width="16.7265625" style="26" customWidth="1"/>
    <col min="9732" max="9984" width="8.7265625" style="26"/>
    <col min="9985" max="9985" width="10" style="26" customWidth="1"/>
    <col min="9986" max="9986" width="115.7265625" style="26" customWidth="1"/>
    <col min="9987" max="9987" width="16.7265625" style="26" customWidth="1"/>
    <col min="9988" max="10240" width="8.7265625" style="26"/>
    <col min="10241" max="10241" width="10" style="26" customWidth="1"/>
    <col min="10242" max="10242" width="115.7265625" style="26" customWidth="1"/>
    <col min="10243" max="10243" width="16.7265625" style="26" customWidth="1"/>
    <col min="10244" max="10496" width="8.7265625" style="26"/>
    <col min="10497" max="10497" width="10" style="26" customWidth="1"/>
    <col min="10498" max="10498" width="115.7265625" style="26" customWidth="1"/>
    <col min="10499" max="10499" width="16.7265625" style="26" customWidth="1"/>
    <col min="10500" max="10752" width="8.7265625" style="26"/>
    <col min="10753" max="10753" width="10" style="26" customWidth="1"/>
    <col min="10754" max="10754" width="115.7265625" style="26" customWidth="1"/>
    <col min="10755" max="10755" width="16.7265625" style="26" customWidth="1"/>
    <col min="10756" max="11008" width="8.7265625" style="26"/>
    <col min="11009" max="11009" width="10" style="26" customWidth="1"/>
    <col min="11010" max="11010" width="115.7265625" style="26" customWidth="1"/>
    <col min="11011" max="11011" width="16.7265625" style="26" customWidth="1"/>
    <col min="11012" max="11264" width="8.7265625" style="26"/>
    <col min="11265" max="11265" width="10" style="26" customWidth="1"/>
    <col min="11266" max="11266" width="115.7265625" style="26" customWidth="1"/>
    <col min="11267" max="11267" width="16.7265625" style="26" customWidth="1"/>
    <col min="11268" max="11520" width="8.7265625" style="26"/>
    <col min="11521" max="11521" width="10" style="26" customWidth="1"/>
    <col min="11522" max="11522" width="115.7265625" style="26" customWidth="1"/>
    <col min="11523" max="11523" width="16.7265625" style="26" customWidth="1"/>
    <col min="11524" max="11776" width="8.7265625" style="26"/>
    <col min="11777" max="11777" width="10" style="26" customWidth="1"/>
    <col min="11778" max="11778" width="115.7265625" style="26" customWidth="1"/>
    <col min="11779" max="11779" width="16.7265625" style="26" customWidth="1"/>
    <col min="11780" max="12032" width="8.7265625" style="26"/>
    <col min="12033" max="12033" width="10" style="26" customWidth="1"/>
    <col min="12034" max="12034" width="115.7265625" style="26" customWidth="1"/>
    <col min="12035" max="12035" width="16.7265625" style="26" customWidth="1"/>
    <col min="12036" max="12288" width="8.7265625" style="26"/>
    <col min="12289" max="12289" width="10" style="26" customWidth="1"/>
    <col min="12290" max="12290" width="115.7265625" style="26" customWidth="1"/>
    <col min="12291" max="12291" width="16.7265625" style="26" customWidth="1"/>
    <col min="12292" max="12544" width="8.7265625" style="26"/>
    <col min="12545" max="12545" width="10" style="26" customWidth="1"/>
    <col min="12546" max="12546" width="115.7265625" style="26" customWidth="1"/>
    <col min="12547" max="12547" width="16.7265625" style="26" customWidth="1"/>
    <col min="12548" max="12800" width="8.7265625" style="26"/>
    <col min="12801" max="12801" width="10" style="26" customWidth="1"/>
    <col min="12802" max="12802" width="115.7265625" style="26" customWidth="1"/>
    <col min="12803" max="12803" width="16.7265625" style="26" customWidth="1"/>
    <col min="12804" max="13056" width="8.7265625" style="26"/>
    <col min="13057" max="13057" width="10" style="26" customWidth="1"/>
    <col min="13058" max="13058" width="115.7265625" style="26" customWidth="1"/>
    <col min="13059" max="13059" width="16.7265625" style="26" customWidth="1"/>
    <col min="13060" max="13312" width="8.7265625" style="26"/>
    <col min="13313" max="13313" width="10" style="26" customWidth="1"/>
    <col min="13314" max="13314" width="115.7265625" style="26" customWidth="1"/>
    <col min="13315" max="13315" width="16.7265625" style="26" customWidth="1"/>
    <col min="13316" max="13568" width="8.7265625" style="26"/>
    <col min="13569" max="13569" width="10" style="26" customWidth="1"/>
    <col min="13570" max="13570" width="115.7265625" style="26" customWidth="1"/>
    <col min="13571" max="13571" width="16.7265625" style="26" customWidth="1"/>
    <col min="13572" max="13824" width="8.7265625" style="26"/>
    <col min="13825" max="13825" width="10" style="26" customWidth="1"/>
    <col min="13826" max="13826" width="115.7265625" style="26" customWidth="1"/>
    <col min="13827" max="13827" width="16.7265625" style="26" customWidth="1"/>
    <col min="13828" max="14080" width="8.7265625" style="26"/>
    <col min="14081" max="14081" width="10" style="26" customWidth="1"/>
    <col min="14082" max="14082" width="115.7265625" style="26" customWidth="1"/>
    <col min="14083" max="14083" width="16.7265625" style="26" customWidth="1"/>
    <col min="14084" max="14336" width="8.7265625" style="26"/>
    <col min="14337" max="14337" width="10" style="26" customWidth="1"/>
    <col min="14338" max="14338" width="115.7265625" style="26" customWidth="1"/>
    <col min="14339" max="14339" width="16.7265625" style="26" customWidth="1"/>
    <col min="14340" max="14592" width="8.7265625" style="26"/>
    <col min="14593" max="14593" width="10" style="26" customWidth="1"/>
    <col min="14594" max="14594" width="115.7265625" style="26" customWidth="1"/>
    <col min="14595" max="14595" width="16.7265625" style="26" customWidth="1"/>
    <col min="14596" max="14848" width="8.7265625" style="26"/>
    <col min="14849" max="14849" width="10" style="26" customWidth="1"/>
    <col min="14850" max="14850" width="115.7265625" style="26" customWidth="1"/>
    <col min="14851" max="14851" width="16.7265625" style="26" customWidth="1"/>
    <col min="14852" max="15104" width="8.7265625" style="26"/>
    <col min="15105" max="15105" width="10" style="26" customWidth="1"/>
    <col min="15106" max="15106" width="115.7265625" style="26" customWidth="1"/>
    <col min="15107" max="15107" width="16.7265625" style="26" customWidth="1"/>
    <col min="15108" max="15360" width="8.7265625" style="26"/>
    <col min="15361" max="15361" width="10" style="26" customWidth="1"/>
    <col min="15362" max="15362" width="115.7265625" style="26" customWidth="1"/>
    <col min="15363" max="15363" width="16.7265625" style="26" customWidth="1"/>
    <col min="15364" max="15616" width="8.7265625" style="26"/>
    <col min="15617" max="15617" width="10" style="26" customWidth="1"/>
    <col min="15618" max="15618" width="115.7265625" style="26" customWidth="1"/>
    <col min="15619" max="15619" width="16.7265625" style="26" customWidth="1"/>
    <col min="15620" max="15872" width="8.7265625" style="26"/>
    <col min="15873" max="15873" width="10" style="26" customWidth="1"/>
    <col min="15874" max="15874" width="115.7265625" style="26" customWidth="1"/>
    <col min="15875" max="15875" width="16.7265625" style="26" customWidth="1"/>
    <col min="15876" max="16128" width="8.7265625" style="26"/>
    <col min="16129" max="16129" width="10" style="26" customWidth="1"/>
    <col min="16130" max="16130" width="115.7265625" style="26" customWidth="1"/>
    <col min="16131" max="16131" width="16.7265625" style="26" customWidth="1"/>
    <col min="16132" max="16384" width="8.7265625" style="26"/>
  </cols>
  <sheetData>
    <row r="1" spans="1:3" ht="39" x14ac:dyDescent="0.35">
      <c r="A1" s="27" t="s">
        <v>1515</v>
      </c>
      <c r="B1" s="27" t="s">
        <v>1516</v>
      </c>
      <c r="C1" s="27" t="s">
        <v>1517</v>
      </c>
    </row>
    <row r="2" spans="1:3" ht="37.5" x14ac:dyDescent="0.35">
      <c r="A2" s="28" t="s">
        <v>1518</v>
      </c>
      <c r="B2" s="28" t="s">
        <v>1519</v>
      </c>
      <c r="C2" s="28" t="s">
        <v>1520</v>
      </c>
    </row>
    <row r="3" spans="1:3" ht="37.5" x14ac:dyDescent="0.35">
      <c r="A3" s="28" t="s">
        <v>1521</v>
      </c>
      <c r="B3" s="29" t="s">
        <v>1968</v>
      </c>
      <c r="C3" s="28" t="s">
        <v>1520</v>
      </c>
    </row>
    <row r="4" spans="1:3" ht="37.5" x14ac:dyDescent="0.35">
      <c r="A4" s="28" t="s">
        <v>1522</v>
      </c>
      <c r="B4" s="28" t="s">
        <v>1523</v>
      </c>
      <c r="C4" s="28" t="s">
        <v>1520</v>
      </c>
    </row>
    <row r="5" spans="1:3" ht="37.5" x14ac:dyDescent="0.35">
      <c r="A5" s="28" t="s">
        <v>1524</v>
      </c>
      <c r="B5" s="28" t="s">
        <v>1525</v>
      </c>
      <c r="C5" s="28" t="s">
        <v>1520</v>
      </c>
    </row>
    <row r="6" spans="1:3" ht="37.5" x14ac:dyDescent="0.35">
      <c r="A6" s="28" t="s">
        <v>1526</v>
      </c>
      <c r="B6" s="28" t="s">
        <v>1527</v>
      </c>
      <c r="C6" s="28" t="s">
        <v>1520</v>
      </c>
    </row>
    <row r="7" spans="1:3" ht="262.5" x14ac:dyDescent="0.35">
      <c r="A7" s="28" t="s">
        <v>1528</v>
      </c>
      <c r="B7" s="28" t="s">
        <v>1529</v>
      </c>
      <c r="C7" s="28" t="s">
        <v>1520</v>
      </c>
    </row>
    <row r="8" spans="1:3" ht="37.5" x14ac:dyDescent="0.35">
      <c r="A8" s="28" t="s">
        <v>1530</v>
      </c>
      <c r="B8" s="28" t="s">
        <v>1531</v>
      </c>
      <c r="C8" s="28" t="s">
        <v>1520</v>
      </c>
    </row>
    <row r="9" spans="1:3" ht="200" x14ac:dyDescent="0.35">
      <c r="A9" s="28" t="s">
        <v>1532</v>
      </c>
      <c r="B9" s="28" t="s">
        <v>1533</v>
      </c>
      <c r="C9" s="28" t="s">
        <v>1520</v>
      </c>
    </row>
    <row r="10" spans="1:3" ht="75" x14ac:dyDescent="0.35">
      <c r="A10" s="28" t="s">
        <v>1534</v>
      </c>
      <c r="B10" s="28" t="s">
        <v>1535</v>
      </c>
      <c r="C10" s="28" t="s">
        <v>1520</v>
      </c>
    </row>
    <row r="11" spans="1:3" ht="200" x14ac:dyDescent="0.35">
      <c r="A11" s="28" t="s">
        <v>1536</v>
      </c>
      <c r="B11" s="28" t="s">
        <v>1537</v>
      </c>
      <c r="C11" s="28" t="s">
        <v>1520</v>
      </c>
    </row>
    <row r="12" spans="1:3" ht="37.5" x14ac:dyDescent="0.35">
      <c r="A12" s="28" t="s">
        <v>1538</v>
      </c>
      <c r="B12" s="28" t="s">
        <v>1539</v>
      </c>
      <c r="C12" s="28" t="s">
        <v>1520</v>
      </c>
    </row>
    <row r="13" spans="1:3" ht="37.5" x14ac:dyDescent="0.35">
      <c r="A13" s="28" t="s">
        <v>1540</v>
      </c>
      <c r="B13" s="28" t="s">
        <v>1541</v>
      </c>
      <c r="C13" s="28" t="s">
        <v>1520</v>
      </c>
    </row>
    <row r="14" spans="1:3" ht="37.5" x14ac:dyDescent="0.35">
      <c r="A14" s="28" t="s">
        <v>1542</v>
      </c>
      <c r="B14" s="28" t="s">
        <v>1543</v>
      </c>
      <c r="C14" s="28" t="s">
        <v>1520</v>
      </c>
    </row>
    <row r="15" spans="1:3" ht="37.5" x14ac:dyDescent="0.35">
      <c r="A15" s="28" t="s">
        <v>1544</v>
      </c>
      <c r="B15" s="28" t="s">
        <v>1545</v>
      </c>
      <c r="C15" s="28" t="s">
        <v>1520</v>
      </c>
    </row>
    <row r="16" spans="1:3" ht="37.5" x14ac:dyDescent="0.35">
      <c r="A16" s="28" t="s">
        <v>1546</v>
      </c>
      <c r="B16" s="28" t="s">
        <v>1547</v>
      </c>
      <c r="C16" s="28" t="s">
        <v>1520</v>
      </c>
    </row>
    <row r="17" spans="1:3" ht="37.5" x14ac:dyDescent="0.35">
      <c r="A17" s="28" t="s">
        <v>1548</v>
      </c>
      <c r="B17" s="28" t="s">
        <v>1549</v>
      </c>
      <c r="C17" s="28" t="s">
        <v>1520</v>
      </c>
    </row>
    <row r="18" spans="1:3" ht="37.5" x14ac:dyDescent="0.35">
      <c r="A18" s="28" t="s">
        <v>1550</v>
      </c>
      <c r="B18" s="28" t="s">
        <v>1551</v>
      </c>
      <c r="C18" s="28" t="s">
        <v>1520</v>
      </c>
    </row>
    <row r="19" spans="1:3" ht="37.5" x14ac:dyDescent="0.35">
      <c r="A19" s="28" t="s">
        <v>1552</v>
      </c>
      <c r="B19" s="28" t="s">
        <v>1553</v>
      </c>
      <c r="C19" s="28" t="s">
        <v>1520</v>
      </c>
    </row>
    <row r="20" spans="1:3" ht="37.5" x14ac:dyDescent="0.35">
      <c r="A20" s="28" t="s">
        <v>1554</v>
      </c>
      <c r="B20" s="28" t="s">
        <v>1555</v>
      </c>
      <c r="C20" s="28" t="s">
        <v>1520</v>
      </c>
    </row>
    <row r="21" spans="1:3" ht="37.5" x14ac:dyDescent="0.35">
      <c r="A21" s="28" t="s">
        <v>1556</v>
      </c>
      <c r="B21" s="28" t="s">
        <v>1557</v>
      </c>
      <c r="C21" s="28" t="s">
        <v>1520</v>
      </c>
    </row>
    <row r="22" spans="1:3" ht="37.5" x14ac:dyDescent="0.35">
      <c r="A22" s="28" t="s">
        <v>1558</v>
      </c>
      <c r="B22" s="28" t="s">
        <v>1559</v>
      </c>
      <c r="C22" s="28" t="s">
        <v>1520</v>
      </c>
    </row>
    <row r="23" spans="1:3" ht="37.5" x14ac:dyDescent="0.35">
      <c r="A23" s="28" t="s">
        <v>1560</v>
      </c>
      <c r="B23" s="28" t="s">
        <v>1561</v>
      </c>
      <c r="C23" s="28" t="s">
        <v>1520</v>
      </c>
    </row>
    <row r="24" spans="1:3" ht="37.5" x14ac:dyDescent="0.35">
      <c r="A24" s="28" t="s">
        <v>1562</v>
      </c>
      <c r="B24" s="28" t="s">
        <v>1563</v>
      </c>
      <c r="C24" s="28" t="s">
        <v>1520</v>
      </c>
    </row>
    <row r="25" spans="1:3" ht="37.5" x14ac:dyDescent="0.35">
      <c r="A25" s="28" t="s">
        <v>1564</v>
      </c>
      <c r="B25" s="28" t="s">
        <v>1565</v>
      </c>
      <c r="C25" s="28" t="s">
        <v>1520</v>
      </c>
    </row>
    <row r="26" spans="1:3" ht="37.5" x14ac:dyDescent="0.35">
      <c r="A26" s="28" t="s">
        <v>1566</v>
      </c>
      <c r="B26" s="28" t="s">
        <v>1567</v>
      </c>
      <c r="C26" s="28" t="s">
        <v>1520</v>
      </c>
    </row>
    <row r="27" spans="1:3" ht="25" x14ac:dyDescent="0.35">
      <c r="A27" s="28" t="s">
        <v>1568</v>
      </c>
      <c r="B27" s="28" t="s">
        <v>1569</v>
      </c>
      <c r="C27" s="28" t="s">
        <v>1520</v>
      </c>
    </row>
    <row r="28" spans="1:3" ht="37.5" x14ac:dyDescent="0.35">
      <c r="A28" s="28" t="s">
        <v>1570</v>
      </c>
      <c r="B28" s="28" t="s">
        <v>1571</v>
      </c>
      <c r="C28" s="28" t="s">
        <v>1520</v>
      </c>
    </row>
    <row r="29" spans="1:3" ht="37.5" x14ac:dyDescent="0.35">
      <c r="A29" s="28" t="s">
        <v>1572</v>
      </c>
      <c r="B29" s="28" t="s">
        <v>1573</v>
      </c>
      <c r="C29" s="28" t="s">
        <v>1520</v>
      </c>
    </row>
    <row r="30" spans="1:3" ht="37.5" x14ac:dyDescent="0.35">
      <c r="A30" s="28" t="s">
        <v>1574</v>
      </c>
      <c r="B30" s="28" t="s">
        <v>1575</v>
      </c>
      <c r="C30" s="28" t="s">
        <v>1520</v>
      </c>
    </row>
    <row r="31" spans="1:3" ht="37.5" x14ac:dyDescent="0.35">
      <c r="A31" s="28" t="s">
        <v>1576</v>
      </c>
      <c r="B31" s="28" t="s">
        <v>1577</v>
      </c>
      <c r="C31" s="28" t="s">
        <v>1520</v>
      </c>
    </row>
    <row r="32" spans="1:3" ht="50" x14ac:dyDescent="0.35">
      <c r="A32" s="28" t="s">
        <v>1578</v>
      </c>
      <c r="B32" s="28" t="s">
        <v>1579</v>
      </c>
      <c r="C32" s="28" t="s">
        <v>1520</v>
      </c>
    </row>
    <row r="33" spans="1:3" ht="37.5" x14ac:dyDescent="0.35">
      <c r="A33" s="28" t="s">
        <v>1580</v>
      </c>
      <c r="B33" s="28" t="s">
        <v>1581</v>
      </c>
      <c r="C33" s="28" t="s">
        <v>1520</v>
      </c>
    </row>
    <row r="34" spans="1:3" ht="25" x14ac:dyDescent="0.35">
      <c r="A34" s="28" t="s">
        <v>1582</v>
      </c>
      <c r="B34" s="28" t="s">
        <v>1583</v>
      </c>
      <c r="C34" s="28" t="s">
        <v>1520</v>
      </c>
    </row>
    <row r="35" spans="1:3" ht="37.5" x14ac:dyDescent="0.35">
      <c r="A35" s="28" t="s">
        <v>1584</v>
      </c>
      <c r="B35" s="28" t="s">
        <v>1585</v>
      </c>
      <c r="C35" s="28" t="s">
        <v>1520</v>
      </c>
    </row>
    <row r="36" spans="1:3" x14ac:dyDescent="0.35">
      <c r="A36" s="28" t="s">
        <v>1586</v>
      </c>
      <c r="B36" s="28" t="s">
        <v>1587</v>
      </c>
      <c r="C36" s="28" t="s">
        <v>1520</v>
      </c>
    </row>
    <row r="37" spans="1:3" ht="37.5" x14ac:dyDescent="0.35">
      <c r="A37" s="28" t="s">
        <v>1588</v>
      </c>
      <c r="B37" s="28" t="s">
        <v>1589</v>
      </c>
      <c r="C37" s="28" t="s">
        <v>1520</v>
      </c>
    </row>
    <row r="38" spans="1:3" ht="25" x14ac:dyDescent="0.35">
      <c r="A38" s="28" t="s">
        <v>1590</v>
      </c>
      <c r="B38" s="28" t="s">
        <v>1591</v>
      </c>
      <c r="C38" s="28" t="s">
        <v>1520</v>
      </c>
    </row>
    <row r="39" spans="1:3" ht="37.5" x14ac:dyDescent="0.35">
      <c r="A39" s="28" t="s">
        <v>1592</v>
      </c>
      <c r="B39" s="28" t="s">
        <v>1593</v>
      </c>
      <c r="C39" s="28" t="s">
        <v>1520</v>
      </c>
    </row>
    <row r="40" spans="1:3" ht="25" x14ac:dyDescent="0.35">
      <c r="A40" s="28" t="s">
        <v>1594</v>
      </c>
      <c r="B40" s="28" t="s">
        <v>1595</v>
      </c>
      <c r="C40" s="28" t="s">
        <v>1520</v>
      </c>
    </row>
    <row r="41" spans="1:3" ht="37.5" x14ac:dyDescent="0.35">
      <c r="A41" s="28" t="s">
        <v>1596</v>
      </c>
      <c r="B41" s="28" t="s">
        <v>1597</v>
      </c>
      <c r="C41" s="28" t="s">
        <v>1520</v>
      </c>
    </row>
    <row r="42" spans="1:3" ht="37.5" x14ac:dyDescent="0.35">
      <c r="A42" s="28" t="s">
        <v>1598</v>
      </c>
      <c r="B42" s="28" t="s">
        <v>1599</v>
      </c>
      <c r="C42" s="28" t="s">
        <v>1520</v>
      </c>
    </row>
    <row r="43" spans="1:3" ht="37.5" x14ac:dyDescent="0.35">
      <c r="A43" s="28" t="s">
        <v>1600</v>
      </c>
      <c r="B43" s="28" t="s">
        <v>1601</v>
      </c>
      <c r="C43" s="28" t="s">
        <v>1520</v>
      </c>
    </row>
    <row r="44" spans="1:3" ht="37.5" x14ac:dyDescent="0.35">
      <c r="A44" s="28" t="s">
        <v>1602</v>
      </c>
      <c r="B44" s="28" t="s">
        <v>1603</v>
      </c>
      <c r="C44" s="28" t="s">
        <v>1520</v>
      </c>
    </row>
    <row r="45" spans="1:3" ht="37.5" x14ac:dyDescent="0.35">
      <c r="A45" s="28" t="s">
        <v>1604</v>
      </c>
      <c r="B45" s="28" t="s">
        <v>1605</v>
      </c>
      <c r="C45" s="28" t="s">
        <v>1520</v>
      </c>
    </row>
    <row r="46" spans="1:3" ht="37.5" x14ac:dyDescent="0.35">
      <c r="A46" s="28" t="s">
        <v>1606</v>
      </c>
      <c r="B46" s="28" t="s">
        <v>1607</v>
      </c>
      <c r="C46" s="28" t="s">
        <v>1520</v>
      </c>
    </row>
    <row r="47" spans="1:3" ht="37.5" x14ac:dyDescent="0.35">
      <c r="A47" s="28" t="s">
        <v>1608</v>
      </c>
      <c r="B47" s="28" t="s">
        <v>1609</v>
      </c>
      <c r="C47" s="28" t="s">
        <v>1520</v>
      </c>
    </row>
    <row r="48" spans="1:3" ht="37.5" x14ac:dyDescent="0.35">
      <c r="A48" s="28" t="s">
        <v>1610</v>
      </c>
      <c r="B48" s="28" t="s">
        <v>1611</v>
      </c>
      <c r="C48" s="28" t="s">
        <v>1520</v>
      </c>
    </row>
    <row r="49" spans="1:3" ht="37.5" x14ac:dyDescent="0.35">
      <c r="A49" s="28" t="s">
        <v>1612</v>
      </c>
      <c r="B49" s="28" t="s">
        <v>1613</v>
      </c>
      <c r="C49" s="28" t="s">
        <v>1520</v>
      </c>
    </row>
    <row r="50" spans="1:3" ht="25" x14ac:dyDescent="0.35">
      <c r="A50" s="28" t="s">
        <v>1614</v>
      </c>
      <c r="B50" s="28" t="s">
        <v>1615</v>
      </c>
      <c r="C50" s="28" t="s">
        <v>1520</v>
      </c>
    </row>
    <row r="51" spans="1:3" ht="37.5" x14ac:dyDescent="0.35">
      <c r="A51" s="28" t="s">
        <v>1616</v>
      </c>
      <c r="B51" s="28" t="s">
        <v>1617</v>
      </c>
      <c r="C51" s="28" t="s">
        <v>1520</v>
      </c>
    </row>
    <row r="52" spans="1:3" ht="37.5" x14ac:dyDescent="0.35">
      <c r="A52" s="28" t="s">
        <v>1618</v>
      </c>
      <c r="B52" s="28" t="s">
        <v>1619</v>
      </c>
      <c r="C52" s="28" t="s">
        <v>1520</v>
      </c>
    </row>
    <row r="53" spans="1:3" ht="62.5" x14ac:dyDescent="0.35">
      <c r="A53" s="28" t="s">
        <v>1620</v>
      </c>
      <c r="B53" s="28" t="s">
        <v>1621</v>
      </c>
      <c r="C53" s="28" t="s">
        <v>1520</v>
      </c>
    </row>
    <row r="54" spans="1:3" ht="37.5" x14ac:dyDescent="0.35">
      <c r="A54" s="28" t="s">
        <v>1622</v>
      </c>
      <c r="B54" s="28" t="s">
        <v>1623</v>
      </c>
      <c r="C54" s="28" t="s">
        <v>1520</v>
      </c>
    </row>
    <row r="55" spans="1:3" ht="37.5" x14ac:dyDescent="0.35">
      <c r="A55" s="28" t="s">
        <v>1624</v>
      </c>
      <c r="B55" s="28" t="s">
        <v>1625</v>
      </c>
      <c r="C55" s="28" t="s">
        <v>1520</v>
      </c>
    </row>
    <row r="56" spans="1:3" ht="37.5" x14ac:dyDescent="0.35">
      <c r="A56" s="28" t="s">
        <v>1626</v>
      </c>
      <c r="B56" s="28" t="s">
        <v>1627</v>
      </c>
      <c r="C56" s="28" t="s">
        <v>1520</v>
      </c>
    </row>
    <row r="57" spans="1:3" ht="50" x14ac:dyDescent="0.35">
      <c r="A57" s="28" t="s">
        <v>1628</v>
      </c>
      <c r="B57" s="28" t="s">
        <v>1629</v>
      </c>
      <c r="C57" s="28" t="s">
        <v>1520</v>
      </c>
    </row>
    <row r="58" spans="1:3" ht="50" x14ac:dyDescent="0.35">
      <c r="A58" s="28" t="s">
        <v>1630</v>
      </c>
      <c r="B58" s="28" t="s">
        <v>1631</v>
      </c>
      <c r="C58" s="28" t="s">
        <v>1520</v>
      </c>
    </row>
    <row r="59" spans="1:3" ht="62.5" x14ac:dyDescent="0.35">
      <c r="A59" s="28" t="s">
        <v>1632</v>
      </c>
      <c r="B59" s="28" t="s">
        <v>1633</v>
      </c>
      <c r="C59" s="28" t="s">
        <v>1520</v>
      </c>
    </row>
    <row r="60" spans="1:3" ht="37.5" x14ac:dyDescent="0.35">
      <c r="A60" s="28" t="s">
        <v>1634</v>
      </c>
      <c r="B60" s="28" t="s">
        <v>1635</v>
      </c>
      <c r="C60" s="28" t="s">
        <v>1520</v>
      </c>
    </row>
    <row r="61" spans="1:3" ht="37.5" x14ac:dyDescent="0.35">
      <c r="A61" s="28" t="s">
        <v>1636</v>
      </c>
      <c r="B61" s="28" t="s">
        <v>1637</v>
      </c>
      <c r="C61" s="28" t="s">
        <v>1520</v>
      </c>
    </row>
    <row r="62" spans="1:3" ht="37.5" x14ac:dyDescent="0.35">
      <c r="A62" s="28" t="s">
        <v>1638</v>
      </c>
      <c r="B62" s="28" t="s">
        <v>1639</v>
      </c>
      <c r="C62" s="28" t="s">
        <v>1520</v>
      </c>
    </row>
    <row r="63" spans="1:3" ht="87.5" x14ac:dyDescent="0.35">
      <c r="A63" s="28" t="s">
        <v>1640</v>
      </c>
      <c r="B63" s="28" t="s">
        <v>1641</v>
      </c>
      <c r="C63" s="28" t="s">
        <v>1520</v>
      </c>
    </row>
    <row r="64" spans="1:3" x14ac:dyDescent="0.35">
      <c r="A64" s="28" t="s">
        <v>1643</v>
      </c>
      <c r="B64" s="28" t="s">
        <v>1644</v>
      </c>
      <c r="C64" s="28" t="s">
        <v>1642</v>
      </c>
    </row>
    <row r="65" spans="1:3" ht="137.5" x14ac:dyDescent="0.35">
      <c r="A65" s="28" t="s">
        <v>1645</v>
      </c>
      <c r="B65" s="28" t="s">
        <v>1646</v>
      </c>
      <c r="C65" s="28" t="s">
        <v>1642</v>
      </c>
    </row>
    <row r="66" spans="1:3" ht="62.5" x14ac:dyDescent="0.35">
      <c r="A66" s="28" t="s">
        <v>1647</v>
      </c>
      <c r="B66" s="28" t="s">
        <v>1648</v>
      </c>
      <c r="C66" s="28" t="s">
        <v>1642</v>
      </c>
    </row>
    <row r="67" spans="1:3" ht="125" x14ac:dyDescent="0.35">
      <c r="A67" s="28" t="s">
        <v>1649</v>
      </c>
      <c r="B67" s="28" t="s">
        <v>1650</v>
      </c>
      <c r="C67" s="28" t="s">
        <v>1642</v>
      </c>
    </row>
    <row r="68" spans="1:3" x14ac:dyDescent="0.35">
      <c r="A68" s="28" t="s">
        <v>1651</v>
      </c>
      <c r="B68" s="28" t="s">
        <v>1652</v>
      </c>
      <c r="C68" s="28" t="s">
        <v>1642</v>
      </c>
    </row>
    <row r="69" spans="1:3" ht="62.5" x14ac:dyDescent="0.35">
      <c r="A69" s="28" t="s">
        <v>1653</v>
      </c>
      <c r="B69" s="28" t="s">
        <v>1654</v>
      </c>
      <c r="C69" s="28" t="s">
        <v>1642</v>
      </c>
    </row>
    <row r="70" spans="1:3" x14ac:dyDescent="0.35">
      <c r="A70" s="28" t="s">
        <v>1655</v>
      </c>
      <c r="B70" s="28" t="s">
        <v>1656</v>
      </c>
      <c r="C70" s="28" t="s">
        <v>1642</v>
      </c>
    </row>
    <row r="71" spans="1:3" ht="25" x14ac:dyDescent="0.35">
      <c r="A71" s="28" t="s">
        <v>1657</v>
      </c>
      <c r="B71" s="28" t="s">
        <v>1658</v>
      </c>
      <c r="C71" s="28" t="s">
        <v>1642</v>
      </c>
    </row>
    <row r="72" spans="1:3" x14ac:dyDescent="0.35">
      <c r="A72" s="28" t="s">
        <v>1659</v>
      </c>
      <c r="B72" s="28" t="s">
        <v>1660</v>
      </c>
      <c r="C72" s="28" t="s">
        <v>1642</v>
      </c>
    </row>
    <row r="73" spans="1:3" ht="25" x14ac:dyDescent="0.35">
      <c r="A73" s="28" t="s">
        <v>1661</v>
      </c>
      <c r="B73" s="28" t="s">
        <v>1662</v>
      </c>
      <c r="C73" s="28" t="s">
        <v>1642</v>
      </c>
    </row>
    <row r="74" spans="1:3" x14ac:dyDescent="0.35">
      <c r="A74" s="28" t="s">
        <v>1663</v>
      </c>
      <c r="B74" s="28" t="s">
        <v>1664</v>
      </c>
      <c r="C74" s="28" t="s">
        <v>1642</v>
      </c>
    </row>
    <row r="75" spans="1:3" ht="37.5" x14ac:dyDescent="0.35">
      <c r="A75" s="28" t="s">
        <v>1665</v>
      </c>
      <c r="B75" s="28" t="s">
        <v>1666</v>
      </c>
      <c r="C75" s="28" t="s">
        <v>1642</v>
      </c>
    </row>
    <row r="76" spans="1:3" ht="37.5" x14ac:dyDescent="0.35">
      <c r="A76" s="28" t="s">
        <v>1667</v>
      </c>
      <c r="B76" s="28" t="s">
        <v>1668</v>
      </c>
      <c r="C76" s="28" t="s">
        <v>1642</v>
      </c>
    </row>
    <row r="77" spans="1:3" ht="25" x14ac:dyDescent="0.35">
      <c r="A77" s="28" t="s">
        <v>1669</v>
      </c>
      <c r="B77" s="28" t="s">
        <v>1670</v>
      </c>
      <c r="C77" s="28" t="s">
        <v>1642</v>
      </c>
    </row>
    <row r="78" spans="1:3" ht="25" x14ac:dyDescent="0.35">
      <c r="A78" s="28" t="s">
        <v>1671</v>
      </c>
      <c r="B78" s="28" t="s">
        <v>1672</v>
      </c>
      <c r="C78" s="28" t="s">
        <v>1642</v>
      </c>
    </row>
    <row r="79" spans="1:3" ht="87.5" x14ac:dyDescent="0.35">
      <c r="A79" s="28" t="s">
        <v>1673</v>
      </c>
      <c r="B79" s="28" t="s">
        <v>1674</v>
      </c>
      <c r="C79" s="28" t="s">
        <v>1642</v>
      </c>
    </row>
    <row r="80" spans="1:3" ht="37.5" x14ac:dyDescent="0.35">
      <c r="A80" s="28" t="s">
        <v>1675</v>
      </c>
      <c r="B80" s="28" t="s">
        <v>1676</v>
      </c>
      <c r="C80" s="28" t="s">
        <v>1642</v>
      </c>
    </row>
    <row r="81" spans="1:3" ht="37.5" x14ac:dyDescent="0.35">
      <c r="A81" s="28" t="s">
        <v>1677</v>
      </c>
      <c r="B81" s="28" t="s">
        <v>1678</v>
      </c>
      <c r="C81" s="28" t="s">
        <v>1642</v>
      </c>
    </row>
    <row r="82" spans="1:3" ht="25" x14ac:dyDescent="0.35">
      <c r="A82" s="28" t="s">
        <v>1679</v>
      </c>
      <c r="B82" s="28" t="s">
        <v>1680</v>
      </c>
      <c r="C82" s="28" t="s">
        <v>1642</v>
      </c>
    </row>
    <row r="83" spans="1:3" ht="37.5" x14ac:dyDescent="0.35">
      <c r="A83" s="28" t="s">
        <v>1681</v>
      </c>
      <c r="B83" s="28" t="s">
        <v>1682</v>
      </c>
      <c r="C83" s="28" t="s">
        <v>1642</v>
      </c>
    </row>
    <row r="84" spans="1:3" ht="50" x14ac:dyDescent="0.35">
      <c r="A84" s="28" t="s">
        <v>1683</v>
      </c>
      <c r="B84" s="28" t="s">
        <v>1684</v>
      </c>
      <c r="C84" s="28" t="s">
        <v>1642</v>
      </c>
    </row>
    <row r="85" spans="1:3" ht="25" x14ac:dyDescent="0.35">
      <c r="A85" s="28" t="s">
        <v>1685</v>
      </c>
      <c r="B85" s="28" t="s">
        <v>1686</v>
      </c>
      <c r="C85" s="28" t="s">
        <v>1642</v>
      </c>
    </row>
    <row r="86" spans="1:3" x14ac:dyDescent="0.35">
      <c r="A86" s="28" t="s">
        <v>1687</v>
      </c>
      <c r="B86" s="28" t="s">
        <v>1688</v>
      </c>
      <c r="C86" s="28" t="s">
        <v>1642</v>
      </c>
    </row>
    <row r="87" spans="1:3" ht="62.5" x14ac:dyDescent="0.35">
      <c r="A87" s="28" t="s">
        <v>1689</v>
      </c>
      <c r="B87" s="28" t="s">
        <v>1690</v>
      </c>
      <c r="C87" s="28" t="s">
        <v>1642</v>
      </c>
    </row>
    <row r="88" spans="1:3" ht="50" x14ac:dyDescent="0.35">
      <c r="A88" s="28" t="s">
        <v>1691</v>
      </c>
      <c r="B88" s="28" t="s">
        <v>1692</v>
      </c>
      <c r="C88" s="28" t="s">
        <v>1642</v>
      </c>
    </row>
    <row r="89" spans="1:3" ht="37.5" x14ac:dyDescent="0.35">
      <c r="A89" s="28" t="s">
        <v>1693</v>
      </c>
      <c r="B89" s="28" t="s">
        <v>1694</v>
      </c>
      <c r="C89" s="28" t="s">
        <v>1642</v>
      </c>
    </row>
    <row r="90" spans="1:3" x14ac:dyDescent="0.35">
      <c r="A90" s="28" t="s">
        <v>1695</v>
      </c>
      <c r="B90" s="28" t="s">
        <v>1696</v>
      </c>
      <c r="C90" s="28" t="s">
        <v>1642</v>
      </c>
    </row>
    <row r="91" spans="1:3" ht="37.5" x14ac:dyDescent="0.35">
      <c r="A91" s="28" t="s">
        <v>1697</v>
      </c>
      <c r="B91" s="28" t="s">
        <v>1698</v>
      </c>
      <c r="C91" s="28" t="s">
        <v>1642</v>
      </c>
    </row>
    <row r="92" spans="1:3" x14ac:dyDescent="0.35">
      <c r="A92" s="28" t="s">
        <v>1699</v>
      </c>
      <c r="B92" s="28" t="s">
        <v>1700</v>
      </c>
      <c r="C92" s="28" t="s">
        <v>1642</v>
      </c>
    </row>
    <row r="93" spans="1:3" ht="25" x14ac:dyDescent="0.35">
      <c r="A93" s="28" t="s">
        <v>1701</v>
      </c>
      <c r="B93" s="28" t="s">
        <v>1702</v>
      </c>
      <c r="C93" s="28" t="s">
        <v>1642</v>
      </c>
    </row>
    <row r="94" spans="1:3" ht="25" x14ac:dyDescent="0.35">
      <c r="A94" s="28" t="s">
        <v>1703</v>
      </c>
      <c r="B94" s="28" t="s">
        <v>1704</v>
      </c>
      <c r="C94" s="28" t="s">
        <v>1642</v>
      </c>
    </row>
    <row r="95" spans="1:3" ht="37.5" x14ac:dyDescent="0.35">
      <c r="A95" s="28" t="s">
        <v>1705</v>
      </c>
      <c r="B95" s="28" t="s">
        <v>1706</v>
      </c>
      <c r="C95" s="28" t="s">
        <v>1642</v>
      </c>
    </row>
    <row r="96" spans="1:3" ht="25" x14ac:dyDescent="0.35">
      <c r="A96" s="28" t="s">
        <v>1707</v>
      </c>
      <c r="B96" s="28" t="s">
        <v>1708</v>
      </c>
      <c r="C96" s="28" t="s">
        <v>1642</v>
      </c>
    </row>
    <row r="97" spans="1:3" ht="25" x14ac:dyDescent="0.35">
      <c r="A97" s="28" t="s">
        <v>1709</v>
      </c>
      <c r="B97" s="28" t="s">
        <v>1710</v>
      </c>
      <c r="C97" s="28" t="s">
        <v>1642</v>
      </c>
    </row>
    <row r="98" spans="1:3" ht="37.5" x14ac:dyDescent="0.35">
      <c r="A98" s="28" t="s">
        <v>1711</v>
      </c>
      <c r="B98" s="28" t="s">
        <v>1712</v>
      </c>
      <c r="C98" s="28" t="s">
        <v>1642</v>
      </c>
    </row>
    <row r="99" spans="1:3" x14ac:dyDescent="0.35">
      <c r="A99" s="28" t="s">
        <v>1713</v>
      </c>
      <c r="B99" s="28" t="s">
        <v>1714</v>
      </c>
      <c r="C99" s="28" t="s">
        <v>1642</v>
      </c>
    </row>
    <row r="100" spans="1:3" x14ac:dyDescent="0.35">
      <c r="A100" s="28" t="s">
        <v>1715</v>
      </c>
      <c r="B100" s="28" t="s">
        <v>1716</v>
      </c>
      <c r="C100" s="28" t="s">
        <v>1642</v>
      </c>
    </row>
    <row r="101" spans="1:3" ht="25" x14ac:dyDescent="0.35">
      <c r="A101" s="28" t="s">
        <v>1717</v>
      </c>
      <c r="B101" s="28" t="s">
        <v>1718</v>
      </c>
      <c r="C101" s="28" t="s">
        <v>1642</v>
      </c>
    </row>
    <row r="102" spans="1:3" x14ac:dyDescent="0.35">
      <c r="A102" s="28" t="s">
        <v>1719</v>
      </c>
      <c r="B102" s="28" t="s">
        <v>1720</v>
      </c>
      <c r="C102" s="28" t="s">
        <v>1642</v>
      </c>
    </row>
    <row r="103" spans="1:3" ht="62.5" x14ac:dyDescent="0.35">
      <c r="A103" s="28" t="s">
        <v>1721</v>
      </c>
      <c r="B103" s="28" t="s">
        <v>1722</v>
      </c>
      <c r="C103" s="28" t="s">
        <v>1642</v>
      </c>
    </row>
    <row r="104" spans="1:3" ht="50" x14ac:dyDescent="0.35">
      <c r="A104" s="28" t="s">
        <v>1723</v>
      </c>
      <c r="B104" s="28" t="s">
        <v>1724</v>
      </c>
      <c r="C104" s="28" t="s">
        <v>1642</v>
      </c>
    </row>
    <row r="105" spans="1:3" x14ac:dyDescent="0.35">
      <c r="A105" s="28" t="s">
        <v>1725</v>
      </c>
      <c r="B105" s="28" t="s">
        <v>1726</v>
      </c>
      <c r="C105" s="28" t="s">
        <v>1642</v>
      </c>
    </row>
    <row r="106" spans="1:3" ht="25" x14ac:dyDescent="0.35">
      <c r="A106" s="28" t="s">
        <v>1727</v>
      </c>
      <c r="B106" s="28" t="s">
        <v>1728</v>
      </c>
      <c r="C106" s="28" t="s">
        <v>1642</v>
      </c>
    </row>
    <row r="107" spans="1:3" x14ac:dyDescent="0.35">
      <c r="A107" s="28" t="s">
        <v>1729</v>
      </c>
      <c r="B107" s="28" t="s">
        <v>1730</v>
      </c>
      <c r="C107" s="28" t="s">
        <v>1642</v>
      </c>
    </row>
    <row r="108" spans="1:3" ht="25" x14ac:dyDescent="0.35">
      <c r="A108" s="28" t="s">
        <v>1731</v>
      </c>
      <c r="B108" s="28" t="s">
        <v>1732</v>
      </c>
      <c r="C108" s="28" t="s">
        <v>1642</v>
      </c>
    </row>
    <row r="109" spans="1:3" ht="37.5" x14ac:dyDescent="0.35">
      <c r="A109" s="28" t="s">
        <v>1733</v>
      </c>
      <c r="B109" s="29" t="s">
        <v>1814</v>
      </c>
      <c r="C109" s="28" t="s">
        <v>1734</v>
      </c>
    </row>
    <row r="110" spans="1:3" x14ac:dyDescent="0.35">
      <c r="A110" s="28" t="s">
        <v>1735</v>
      </c>
      <c r="B110" s="28" t="s">
        <v>1736</v>
      </c>
      <c r="C110" s="28" t="s">
        <v>1734</v>
      </c>
    </row>
    <row r="111" spans="1:3" ht="25" x14ac:dyDescent="0.35">
      <c r="A111" s="28" t="s">
        <v>1737</v>
      </c>
      <c r="B111" s="28" t="s">
        <v>1738</v>
      </c>
      <c r="C111" s="28" t="s">
        <v>1734</v>
      </c>
    </row>
    <row r="112" spans="1:3" ht="25" x14ac:dyDescent="0.35">
      <c r="A112" s="28" t="s">
        <v>1739</v>
      </c>
      <c r="B112" s="28" t="s">
        <v>1740</v>
      </c>
      <c r="C112" s="28" t="s">
        <v>1734</v>
      </c>
    </row>
    <row r="113" spans="1:3" x14ac:dyDescent="0.35">
      <c r="A113" s="28" t="s">
        <v>1741</v>
      </c>
      <c r="B113" s="28" t="s">
        <v>1742</v>
      </c>
      <c r="C113" s="28" t="s">
        <v>1734</v>
      </c>
    </row>
    <row r="114" spans="1:3" ht="50" x14ac:dyDescent="0.35">
      <c r="A114" s="28" t="s">
        <v>1743</v>
      </c>
      <c r="B114" s="28" t="s">
        <v>1744</v>
      </c>
      <c r="C114" s="28" t="s">
        <v>1734</v>
      </c>
    </row>
    <row r="115" spans="1:3" x14ac:dyDescent="0.35">
      <c r="A115" s="28" t="s">
        <v>1745</v>
      </c>
      <c r="B115" s="28" t="s">
        <v>1746</v>
      </c>
      <c r="C115" s="28" t="s">
        <v>1734</v>
      </c>
    </row>
    <row r="116" spans="1:3" x14ac:dyDescent="0.35">
      <c r="A116" s="28" t="s">
        <v>1747</v>
      </c>
      <c r="B116" s="28" t="s">
        <v>1748</v>
      </c>
      <c r="C116" s="28" t="s">
        <v>1734</v>
      </c>
    </row>
    <row r="117" spans="1:3" ht="100" x14ac:dyDescent="0.35">
      <c r="A117" s="28" t="s">
        <v>1749</v>
      </c>
      <c r="B117" s="28" t="s">
        <v>1750</v>
      </c>
      <c r="C117" s="28" t="s">
        <v>1734</v>
      </c>
    </row>
    <row r="118" spans="1:3" x14ac:dyDescent="0.35">
      <c r="A118" s="28" t="s">
        <v>1751</v>
      </c>
      <c r="B118" s="28" t="s">
        <v>1752</v>
      </c>
      <c r="C118" s="28" t="s">
        <v>1734</v>
      </c>
    </row>
    <row r="119" spans="1:3" x14ac:dyDescent="0.35">
      <c r="A119" s="28" t="s">
        <v>1753</v>
      </c>
      <c r="B119" s="28" t="s">
        <v>1754</v>
      </c>
      <c r="C119" s="28" t="s">
        <v>1734</v>
      </c>
    </row>
    <row r="120" spans="1:3" x14ac:dyDescent="0.35">
      <c r="A120" s="28" t="s">
        <v>1755</v>
      </c>
      <c r="B120" s="28" t="s">
        <v>1756</v>
      </c>
      <c r="C120" s="28" t="s">
        <v>1734</v>
      </c>
    </row>
    <row r="121" spans="1:3" x14ac:dyDescent="0.35">
      <c r="A121" s="28" t="s">
        <v>1757</v>
      </c>
      <c r="B121" s="28" t="s">
        <v>1758</v>
      </c>
      <c r="C121" s="28" t="s">
        <v>1734</v>
      </c>
    </row>
    <row r="122" spans="1:3" ht="100" x14ac:dyDescent="0.35">
      <c r="A122" s="28" t="s">
        <v>1759</v>
      </c>
      <c r="B122" s="28" t="s">
        <v>1760</v>
      </c>
      <c r="C122" s="28" t="s">
        <v>1734</v>
      </c>
    </row>
    <row r="123" spans="1:3" ht="37.5" x14ac:dyDescent="0.35">
      <c r="A123" s="28" t="s">
        <v>1761</v>
      </c>
      <c r="B123" s="28" t="s">
        <v>1762</v>
      </c>
      <c r="C123" s="28" t="s">
        <v>1734</v>
      </c>
    </row>
    <row r="124" spans="1:3" ht="112.5" x14ac:dyDescent="0.35">
      <c r="A124" s="28" t="s">
        <v>1763</v>
      </c>
      <c r="B124" s="28" t="s">
        <v>1764</v>
      </c>
      <c r="C124" s="28" t="s">
        <v>1734</v>
      </c>
    </row>
    <row r="125" spans="1:3" ht="25" x14ac:dyDescent="0.35">
      <c r="A125" s="28" t="s">
        <v>1765</v>
      </c>
      <c r="B125" s="28" t="s">
        <v>1766</v>
      </c>
      <c r="C125" s="28" t="s">
        <v>1734</v>
      </c>
    </row>
    <row r="126" spans="1:3" ht="25" x14ac:dyDescent="0.35">
      <c r="A126" s="28" t="s">
        <v>1767</v>
      </c>
      <c r="B126" s="28" t="s">
        <v>1768</v>
      </c>
      <c r="C126" s="28" t="s">
        <v>1734</v>
      </c>
    </row>
    <row r="127" spans="1:3" x14ac:dyDescent="0.35">
      <c r="A127" s="28" t="s">
        <v>1769</v>
      </c>
      <c r="B127" s="28" t="s">
        <v>1770</v>
      </c>
      <c r="C127" s="28" t="s">
        <v>1734</v>
      </c>
    </row>
    <row r="128" spans="1:3" x14ac:dyDescent="0.35">
      <c r="A128" s="28" t="s">
        <v>1771</v>
      </c>
      <c r="B128" s="28" t="s">
        <v>1772</v>
      </c>
      <c r="C128" s="28" t="s">
        <v>1734</v>
      </c>
    </row>
    <row r="129" spans="1:3" x14ac:dyDescent="0.35">
      <c r="A129" s="28" t="s">
        <v>1773</v>
      </c>
      <c r="B129" s="28" t="s">
        <v>1774</v>
      </c>
      <c r="C129" s="28" t="s">
        <v>1775</v>
      </c>
    </row>
    <row r="130" spans="1:3" x14ac:dyDescent="0.35">
      <c r="A130" s="28" t="s">
        <v>1776</v>
      </c>
      <c r="B130" s="28" t="s">
        <v>1777</v>
      </c>
      <c r="C130" s="28" t="s">
        <v>1775</v>
      </c>
    </row>
    <row r="131" spans="1:3" x14ac:dyDescent="0.35">
      <c r="A131" s="28" t="s">
        <v>1778</v>
      </c>
      <c r="B131" s="28" t="s">
        <v>1779</v>
      </c>
      <c r="C131" s="28" t="s">
        <v>1775</v>
      </c>
    </row>
    <row r="132" spans="1:3" x14ac:dyDescent="0.35">
      <c r="A132" s="28" t="s">
        <v>1780</v>
      </c>
      <c r="B132" s="28" t="s">
        <v>1781</v>
      </c>
      <c r="C132" s="28" t="s">
        <v>1775</v>
      </c>
    </row>
    <row r="133" spans="1:3" x14ac:dyDescent="0.35">
      <c r="A133" s="28" t="s">
        <v>1782</v>
      </c>
      <c r="B133" s="28" t="s">
        <v>1783</v>
      </c>
      <c r="C133" s="28" t="s">
        <v>1775</v>
      </c>
    </row>
    <row r="134" spans="1:3" x14ac:dyDescent="0.35">
      <c r="A134" s="28" t="s">
        <v>1784</v>
      </c>
      <c r="B134" s="29" t="s">
        <v>1785</v>
      </c>
      <c r="C134" s="28" t="s">
        <v>1775</v>
      </c>
    </row>
    <row r="135" spans="1:3" x14ac:dyDescent="0.35">
      <c r="A135" s="28" t="s">
        <v>1786</v>
      </c>
      <c r="B135" s="28" t="s">
        <v>1787</v>
      </c>
      <c r="C135" s="28" t="s">
        <v>1775</v>
      </c>
    </row>
    <row r="136" spans="1:3" x14ac:dyDescent="0.35">
      <c r="A136" s="28" t="s">
        <v>1788</v>
      </c>
      <c r="B136" s="28" t="s">
        <v>1789</v>
      </c>
      <c r="C136" s="28" t="s">
        <v>1775</v>
      </c>
    </row>
    <row r="137" spans="1:3" x14ac:dyDescent="0.35">
      <c r="A137" s="28" t="s">
        <v>1790</v>
      </c>
      <c r="B137" s="28" t="s">
        <v>1791</v>
      </c>
      <c r="C137" s="28" t="s">
        <v>1775</v>
      </c>
    </row>
    <row r="138" spans="1:3" x14ac:dyDescent="0.35">
      <c r="A138" s="28" t="s">
        <v>1792</v>
      </c>
      <c r="B138" s="28" t="s">
        <v>1793</v>
      </c>
      <c r="C138" s="28" t="s">
        <v>1775</v>
      </c>
    </row>
    <row r="139" spans="1:3" x14ac:dyDescent="0.35">
      <c r="A139" s="28" t="s">
        <v>1794</v>
      </c>
      <c r="B139" s="28" t="s">
        <v>1795</v>
      </c>
      <c r="C139" s="28" t="s">
        <v>1775</v>
      </c>
    </row>
    <row r="140" spans="1:3" x14ac:dyDescent="0.35">
      <c r="A140" s="28" t="s">
        <v>1796</v>
      </c>
      <c r="B140" s="28" t="s">
        <v>1797</v>
      </c>
      <c r="C140" s="28" t="s">
        <v>1775</v>
      </c>
    </row>
    <row r="141" spans="1:3" x14ac:dyDescent="0.35">
      <c r="A141" s="28" t="s">
        <v>1798</v>
      </c>
      <c r="B141" s="28" t="s">
        <v>1799</v>
      </c>
      <c r="C141" s="28" t="s">
        <v>1775</v>
      </c>
    </row>
    <row r="142" spans="1:3" x14ac:dyDescent="0.35">
      <c r="A142" s="28" t="s">
        <v>1800</v>
      </c>
      <c r="B142" s="28" t="s">
        <v>1801</v>
      </c>
      <c r="C142" s="28" t="s">
        <v>1775</v>
      </c>
    </row>
    <row r="143" spans="1:3" x14ac:dyDescent="0.35">
      <c r="A143" s="28" t="s">
        <v>1802</v>
      </c>
      <c r="B143" s="28" t="s">
        <v>1803</v>
      </c>
      <c r="C143" s="28" t="s">
        <v>1775</v>
      </c>
    </row>
    <row r="144" spans="1:3" x14ac:dyDescent="0.35">
      <c r="A144" s="28" t="s">
        <v>1804</v>
      </c>
      <c r="B144" s="28" t="s">
        <v>1805</v>
      </c>
      <c r="C144" s="28" t="s">
        <v>1775</v>
      </c>
    </row>
    <row r="145" spans="1:3" x14ac:dyDescent="0.35">
      <c r="A145" s="28" t="s">
        <v>1806</v>
      </c>
      <c r="B145" s="28" t="s">
        <v>1807</v>
      </c>
      <c r="C145" s="28" t="s">
        <v>1775</v>
      </c>
    </row>
    <row r="146" spans="1:3" x14ac:dyDescent="0.35">
      <c r="A146" s="28" t="s">
        <v>1808</v>
      </c>
      <c r="B146" s="28" t="s">
        <v>1809</v>
      </c>
      <c r="C146" s="28" t="s">
        <v>1775</v>
      </c>
    </row>
    <row r="147" spans="1:3" x14ac:dyDescent="0.35">
      <c r="A147" s="28" t="s">
        <v>1810</v>
      </c>
      <c r="B147" s="28" t="s">
        <v>1811</v>
      </c>
      <c r="C147" s="28" t="s">
        <v>1775</v>
      </c>
    </row>
    <row r="155" spans="1:3" x14ac:dyDescent="0.35">
      <c r="A155" s="26" t="s">
        <v>1815</v>
      </c>
      <c r="B155" s="26" t="s">
        <v>1964</v>
      </c>
    </row>
    <row r="156" spans="1:3" ht="15" customHeight="1" x14ac:dyDescent="0.35">
      <c r="A156" s="26" t="s">
        <v>1816</v>
      </c>
      <c r="B156" s="26" t="s">
        <v>1817</v>
      </c>
      <c r="C156" s="26" t="b">
        <v>1</v>
      </c>
    </row>
    <row r="157" spans="1:3" ht="15" customHeight="1" x14ac:dyDescent="0.35">
      <c r="A157" s="26" t="s">
        <v>1818</v>
      </c>
      <c r="B157" s="26" t="s">
        <v>1819</v>
      </c>
      <c r="C157" s="26" t="b">
        <v>1</v>
      </c>
    </row>
    <row r="158" spans="1:3" ht="15" customHeight="1" x14ac:dyDescent="0.35">
      <c r="A158" s="26" t="s">
        <v>1822</v>
      </c>
      <c r="B158" s="26" t="s">
        <v>1823</v>
      </c>
      <c r="C158" s="26" t="b">
        <v>1</v>
      </c>
    </row>
    <row r="159" spans="1:3" ht="15" customHeight="1" x14ac:dyDescent="0.35">
      <c r="A159" s="26" t="s">
        <v>1824</v>
      </c>
      <c r="B159" s="26" t="s">
        <v>1825</v>
      </c>
      <c r="C159" s="26" t="b">
        <v>1</v>
      </c>
    </row>
    <row r="160" spans="1:3" ht="15" customHeight="1" x14ac:dyDescent="0.35">
      <c r="A160" s="26" t="s">
        <v>1826</v>
      </c>
      <c r="B160" s="26" t="s">
        <v>1827</v>
      </c>
      <c r="C160" s="26" t="b">
        <v>1</v>
      </c>
    </row>
    <row r="161" spans="1:3" ht="15" customHeight="1" x14ac:dyDescent="0.35">
      <c r="A161" s="26" t="s">
        <v>1834</v>
      </c>
      <c r="B161" s="26" t="s">
        <v>1835</v>
      </c>
      <c r="C161" s="26" t="b">
        <v>1</v>
      </c>
    </row>
    <row r="162" spans="1:3" ht="15" customHeight="1" x14ac:dyDescent="0.35">
      <c r="A162" s="26" t="s">
        <v>1836</v>
      </c>
      <c r="B162" s="26" t="s">
        <v>1837</v>
      </c>
      <c r="C162" s="26" t="b">
        <v>1</v>
      </c>
    </row>
    <row r="163" spans="1:3" ht="15" customHeight="1" x14ac:dyDescent="0.35">
      <c r="A163" s="26" t="s">
        <v>1838</v>
      </c>
      <c r="B163" s="26" t="s">
        <v>1839</v>
      </c>
      <c r="C163" s="26" t="b">
        <v>1</v>
      </c>
    </row>
    <row r="164" spans="1:3" ht="15" customHeight="1" x14ac:dyDescent="0.35">
      <c r="A164" s="26" t="s">
        <v>1840</v>
      </c>
      <c r="B164" s="26" t="s">
        <v>1841</v>
      </c>
      <c r="C164" s="26" t="b">
        <v>1</v>
      </c>
    </row>
    <row r="165" spans="1:3" ht="15" customHeight="1" x14ac:dyDescent="0.35">
      <c r="A165" s="26" t="s">
        <v>1842</v>
      </c>
      <c r="B165" s="30" t="s">
        <v>1843</v>
      </c>
      <c r="C165" s="26" t="b">
        <v>1</v>
      </c>
    </row>
    <row r="166" spans="1:3" ht="15" customHeight="1" x14ac:dyDescent="0.35">
      <c r="A166" s="26" t="s">
        <v>1844</v>
      </c>
      <c r="B166" s="26" t="s">
        <v>1845</v>
      </c>
      <c r="C166" s="26" t="b">
        <v>1</v>
      </c>
    </row>
    <row r="167" spans="1:3" ht="15" customHeight="1" x14ac:dyDescent="0.35">
      <c r="A167" s="26" t="s">
        <v>1854</v>
      </c>
      <c r="B167" s="30" t="s">
        <v>1855</v>
      </c>
      <c r="C167" s="26" t="b">
        <v>1</v>
      </c>
    </row>
    <row r="168" spans="1:3" ht="15" customHeight="1" x14ac:dyDescent="0.35">
      <c r="A168" s="26" t="s">
        <v>1858</v>
      </c>
      <c r="B168" s="26" t="s">
        <v>1859</v>
      </c>
      <c r="C168" s="26" t="b">
        <v>1</v>
      </c>
    </row>
    <row r="169" spans="1:3" ht="15" customHeight="1" x14ac:dyDescent="0.35">
      <c r="A169" s="26" t="s">
        <v>1860</v>
      </c>
      <c r="B169" s="26" t="s">
        <v>1861</v>
      </c>
      <c r="C169" s="26" t="b">
        <v>1</v>
      </c>
    </row>
    <row r="170" spans="1:3" ht="15" customHeight="1" x14ac:dyDescent="0.35">
      <c r="A170" s="26" t="s">
        <v>1862</v>
      </c>
      <c r="B170" s="26" t="s">
        <v>1863</v>
      </c>
      <c r="C170" s="26" t="b">
        <v>1</v>
      </c>
    </row>
    <row r="171" spans="1:3" ht="15" customHeight="1" x14ac:dyDescent="0.35">
      <c r="A171" s="26" t="s">
        <v>1864</v>
      </c>
      <c r="B171" s="26" t="s">
        <v>1865</v>
      </c>
      <c r="C171" s="26" t="b">
        <v>1</v>
      </c>
    </row>
    <row r="172" spans="1:3" ht="15" customHeight="1" x14ac:dyDescent="0.35">
      <c r="A172" s="26" t="s">
        <v>1878</v>
      </c>
      <c r="B172" s="26" t="s">
        <v>1879</v>
      </c>
      <c r="C172" s="26" t="b">
        <v>1</v>
      </c>
    </row>
    <row r="173" spans="1:3" ht="15" customHeight="1" x14ac:dyDescent="0.35">
      <c r="A173" s="26" t="s">
        <v>1881</v>
      </c>
      <c r="B173" s="26" t="s">
        <v>1882</v>
      </c>
      <c r="C173" s="26" t="b">
        <v>1</v>
      </c>
    </row>
    <row r="174" spans="1:3" ht="15" customHeight="1" x14ac:dyDescent="0.35">
      <c r="A174" s="26" t="s">
        <v>1887</v>
      </c>
      <c r="B174" s="26" t="s">
        <v>1888</v>
      </c>
      <c r="C174" s="26" t="b">
        <v>1</v>
      </c>
    </row>
    <row r="175" spans="1:3" ht="15" customHeight="1" x14ac:dyDescent="0.35">
      <c r="A175" s="26" t="s">
        <v>1890</v>
      </c>
      <c r="B175" s="26" t="s">
        <v>1891</v>
      </c>
      <c r="C175" s="26" t="b">
        <v>1</v>
      </c>
    </row>
    <row r="176" spans="1:3" ht="15" customHeight="1" x14ac:dyDescent="0.35">
      <c r="A176" s="26" t="s">
        <v>1892</v>
      </c>
      <c r="B176" s="26" t="s">
        <v>1893</v>
      </c>
      <c r="C176" s="26" t="b">
        <v>1</v>
      </c>
    </row>
    <row r="177" spans="1:3" ht="15" customHeight="1" x14ac:dyDescent="0.35">
      <c r="A177" s="26" t="s">
        <v>1894</v>
      </c>
      <c r="B177" s="26" t="s">
        <v>1895</v>
      </c>
      <c r="C177" s="26" t="b">
        <v>1</v>
      </c>
    </row>
    <row r="178" spans="1:3" ht="15" customHeight="1" x14ac:dyDescent="0.35">
      <c r="A178" s="26" t="s">
        <v>1920</v>
      </c>
      <c r="B178" s="30" t="s">
        <v>1921</v>
      </c>
      <c r="C178" s="26" t="b">
        <v>1</v>
      </c>
    </row>
    <row r="179" spans="1:3" ht="15" customHeight="1" x14ac:dyDescent="0.35">
      <c r="A179" s="26" t="s">
        <v>1926</v>
      </c>
      <c r="B179" s="26" t="s">
        <v>1927</v>
      </c>
      <c r="C179" s="26" t="b">
        <v>1</v>
      </c>
    </row>
    <row r="180" spans="1:3" ht="15" customHeight="1" x14ac:dyDescent="0.35">
      <c r="A180" s="26" t="s">
        <v>1928</v>
      </c>
      <c r="B180" s="26" t="s">
        <v>1929</v>
      </c>
      <c r="C180" s="26" t="b">
        <v>1</v>
      </c>
    </row>
    <row r="181" spans="1:3" ht="15" customHeight="1" x14ac:dyDescent="0.35">
      <c r="A181" s="26" t="s">
        <v>1932</v>
      </c>
      <c r="B181" s="26" t="s">
        <v>1933</v>
      </c>
      <c r="C181" s="26" t="b">
        <v>1</v>
      </c>
    </row>
    <row r="182" spans="1:3" ht="15" customHeight="1" x14ac:dyDescent="0.35">
      <c r="A182" s="26" t="s">
        <v>1936</v>
      </c>
      <c r="B182" s="26" t="s">
        <v>1937</v>
      </c>
      <c r="C182" s="26" t="b">
        <v>1</v>
      </c>
    </row>
    <row r="183" spans="1:3" ht="15" customHeight="1" x14ac:dyDescent="0.35">
      <c r="A183" s="26" t="s">
        <v>1938</v>
      </c>
      <c r="B183" s="26" t="s">
        <v>1939</v>
      </c>
      <c r="C183" s="26" t="b">
        <v>1</v>
      </c>
    </row>
    <row r="184" spans="1:3" ht="15" customHeight="1" x14ac:dyDescent="0.35">
      <c r="A184" s="26" t="s">
        <v>1944</v>
      </c>
      <c r="B184" s="26" t="s">
        <v>1945</v>
      </c>
      <c r="C184" s="26" t="b">
        <v>1</v>
      </c>
    </row>
    <row r="185" spans="1:3" ht="15" customHeight="1" x14ac:dyDescent="0.35">
      <c r="A185" s="26" t="s">
        <v>1958</v>
      </c>
      <c r="B185" s="26" t="s">
        <v>1959</v>
      </c>
      <c r="C185" s="26" t="b">
        <v>1</v>
      </c>
    </row>
    <row r="186" spans="1:3" ht="15" customHeight="1" x14ac:dyDescent="0.35">
      <c r="A186" s="26" t="s">
        <v>1960</v>
      </c>
      <c r="B186" s="26" t="s">
        <v>1961</v>
      </c>
      <c r="C186" s="26" t="b">
        <v>1</v>
      </c>
    </row>
    <row r="187" spans="1:3" ht="15" customHeight="1" x14ac:dyDescent="0.35">
      <c r="A187" s="26" t="s">
        <v>1962</v>
      </c>
      <c r="B187" s="30" t="s">
        <v>1963</v>
      </c>
      <c r="C187" s="26" t="b">
        <v>1</v>
      </c>
    </row>
    <row r="188" spans="1:3" ht="15" customHeight="1" x14ac:dyDescent="0.35">
      <c r="B188" s="30"/>
    </row>
    <row r="189" spans="1:3" ht="15" customHeight="1" x14ac:dyDescent="0.35">
      <c r="A189" s="26" t="s">
        <v>1820</v>
      </c>
      <c r="B189" s="26" t="s">
        <v>1821</v>
      </c>
      <c r="C189" s="26" t="b">
        <v>0</v>
      </c>
    </row>
    <row r="190" spans="1:3" ht="15" customHeight="1" x14ac:dyDescent="0.35">
      <c r="A190" s="26" t="s">
        <v>1828</v>
      </c>
      <c r="B190" s="30" t="s">
        <v>1829</v>
      </c>
      <c r="C190" s="26" t="b">
        <v>0</v>
      </c>
    </row>
    <row r="191" spans="1:3" ht="15" customHeight="1" x14ac:dyDescent="0.35">
      <c r="A191" s="26" t="s">
        <v>1830</v>
      </c>
      <c r="B191" s="26" t="s">
        <v>1831</v>
      </c>
      <c r="C191" s="26" t="b">
        <v>0</v>
      </c>
    </row>
    <row r="192" spans="1:3" ht="15" customHeight="1" x14ac:dyDescent="0.35">
      <c r="A192" s="26" t="s">
        <v>1832</v>
      </c>
      <c r="B192" s="26" t="s">
        <v>1833</v>
      </c>
      <c r="C192" s="26" t="b">
        <v>0</v>
      </c>
    </row>
    <row r="193" spans="1:3" ht="15" customHeight="1" x14ac:dyDescent="0.35">
      <c r="A193" s="26" t="s">
        <v>1846</v>
      </c>
      <c r="B193" s="26" t="s">
        <v>1847</v>
      </c>
      <c r="C193" s="26" t="b">
        <v>0</v>
      </c>
    </row>
    <row r="194" spans="1:3" ht="15" customHeight="1" x14ac:dyDescent="0.35">
      <c r="A194" s="26" t="s">
        <v>1848</v>
      </c>
      <c r="B194" s="26" t="s">
        <v>1849</v>
      </c>
      <c r="C194" s="26" t="b">
        <v>0</v>
      </c>
    </row>
    <row r="195" spans="1:3" ht="15" customHeight="1" x14ac:dyDescent="0.35">
      <c r="A195" s="26" t="s">
        <v>1850</v>
      </c>
      <c r="B195" s="26" t="s">
        <v>1851</v>
      </c>
      <c r="C195" s="26" t="b">
        <v>0</v>
      </c>
    </row>
    <row r="196" spans="1:3" ht="15" customHeight="1" x14ac:dyDescent="0.35">
      <c r="A196" s="26" t="s">
        <v>1852</v>
      </c>
      <c r="B196" s="26" t="s">
        <v>1853</v>
      </c>
      <c r="C196" s="26" t="b">
        <v>0</v>
      </c>
    </row>
    <row r="197" spans="1:3" ht="15" customHeight="1" x14ac:dyDescent="0.35">
      <c r="A197" s="26" t="s">
        <v>1856</v>
      </c>
      <c r="B197" s="26" t="s">
        <v>1857</v>
      </c>
      <c r="C197" s="26" t="b">
        <v>0</v>
      </c>
    </row>
    <row r="198" spans="1:3" ht="15" customHeight="1" x14ac:dyDescent="0.35">
      <c r="A198" s="26" t="s">
        <v>1866</v>
      </c>
      <c r="B198" s="26" t="s">
        <v>1867</v>
      </c>
      <c r="C198" s="26" t="b">
        <v>0</v>
      </c>
    </row>
    <row r="199" spans="1:3" ht="15" customHeight="1" x14ac:dyDescent="0.35">
      <c r="A199" s="26" t="s">
        <v>1868</v>
      </c>
      <c r="B199" s="26" t="s">
        <v>1869</v>
      </c>
      <c r="C199" s="26" t="b">
        <v>0</v>
      </c>
    </row>
    <row r="200" spans="1:3" ht="15" customHeight="1" x14ac:dyDescent="0.35">
      <c r="A200" s="26" t="s">
        <v>1870</v>
      </c>
      <c r="B200" s="26" t="s">
        <v>1871</v>
      </c>
      <c r="C200" s="26" t="b">
        <v>0</v>
      </c>
    </row>
    <row r="201" spans="1:3" ht="15" customHeight="1" x14ac:dyDescent="0.35">
      <c r="A201" s="26" t="s">
        <v>1872</v>
      </c>
      <c r="B201" s="26" t="s">
        <v>1873</v>
      </c>
      <c r="C201" s="26" t="b">
        <v>0</v>
      </c>
    </row>
    <row r="202" spans="1:3" ht="15" customHeight="1" x14ac:dyDescent="0.35">
      <c r="A202" s="26" t="s">
        <v>1874</v>
      </c>
      <c r="B202" s="26" t="s">
        <v>1875</v>
      </c>
      <c r="C202" s="26" t="b">
        <v>0</v>
      </c>
    </row>
    <row r="203" spans="1:3" ht="15" customHeight="1" x14ac:dyDescent="0.35">
      <c r="A203" s="26" t="s">
        <v>1876</v>
      </c>
      <c r="B203" s="26" t="s">
        <v>1877</v>
      </c>
      <c r="C203" s="26" t="b">
        <v>0</v>
      </c>
    </row>
    <row r="204" spans="1:3" ht="15" customHeight="1" x14ac:dyDescent="0.35">
      <c r="A204" s="26" t="s">
        <v>1880</v>
      </c>
      <c r="B204" s="30" t="s">
        <v>1965</v>
      </c>
      <c r="C204" s="26" t="b">
        <v>0</v>
      </c>
    </row>
    <row r="205" spans="1:3" ht="15" customHeight="1" x14ac:dyDescent="0.35">
      <c r="A205" s="26" t="s">
        <v>1883</v>
      </c>
      <c r="B205" s="26" t="s">
        <v>1884</v>
      </c>
      <c r="C205" s="26" t="b">
        <v>0</v>
      </c>
    </row>
    <row r="206" spans="1:3" ht="15" customHeight="1" x14ac:dyDescent="0.35">
      <c r="A206" s="26" t="s">
        <v>1885</v>
      </c>
      <c r="B206" s="30" t="s">
        <v>1886</v>
      </c>
      <c r="C206" s="26" t="b">
        <v>0</v>
      </c>
    </row>
    <row r="207" spans="1:3" ht="15" customHeight="1" x14ac:dyDescent="0.35">
      <c r="A207" s="26" t="s">
        <v>1889</v>
      </c>
      <c r="B207" s="30" t="s">
        <v>1966</v>
      </c>
      <c r="C207" s="26" t="b">
        <v>0</v>
      </c>
    </row>
    <row r="208" spans="1:3" ht="15" customHeight="1" x14ac:dyDescent="0.35">
      <c r="A208" s="26" t="s">
        <v>1896</v>
      </c>
      <c r="B208" s="26" t="s">
        <v>1897</v>
      </c>
      <c r="C208" s="26" t="b">
        <v>0</v>
      </c>
    </row>
    <row r="209" spans="1:3" ht="15" customHeight="1" x14ac:dyDescent="0.35">
      <c r="A209" s="26" t="s">
        <v>1898</v>
      </c>
      <c r="B209" s="26" t="s">
        <v>1899</v>
      </c>
      <c r="C209" s="26" t="b">
        <v>0</v>
      </c>
    </row>
    <row r="210" spans="1:3" ht="15" customHeight="1" x14ac:dyDescent="0.35">
      <c r="A210" s="26" t="s">
        <v>1900</v>
      </c>
      <c r="B210" s="26" t="s">
        <v>1901</v>
      </c>
      <c r="C210" s="26" t="b">
        <v>0</v>
      </c>
    </row>
    <row r="211" spans="1:3" ht="15" customHeight="1" x14ac:dyDescent="0.35">
      <c r="A211" s="26" t="s">
        <v>1902</v>
      </c>
      <c r="B211" s="26" t="s">
        <v>1903</v>
      </c>
      <c r="C211" s="26" t="b">
        <v>0</v>
      </c>
    </row>
    <row r="212" spans="1:3" ht="15" customHeight="1" x14ac:dyDescent="0.35">
      <c r="A212" s="26" t="s">
        <v>1904</v>
      </c>
      <c r="B212" s="26" t="s">
        <v>1905</v>
      </c>
      <c r="C212" s="26" t="b">
        <v>0</v>
      </c>
    </row>
    <row r="213" spans="1:3" ht="15" customHeight="1" x14ac:dyDescent="0.35">
      <c r="A213" s="26" t="s">
        <v>1906</v>
      </c>
      <c r="B213" s="26" t="s">
        <v>1907</v>
      </c>
      <c r="C213" s="26" t="b">
        <v>0</v>
      </c>
    </row>
    <row r="214" spans="1:3" ht="15" customHeight="1" x14ac:dyDescent="0.35">
      <c r="A214" s="26" t="s">
        <v>1908</v>
      </c>
      <c r="B214" s="26" t="s">
        <v>1909</v>
      </c>
      <c r="C214" s="26" t="b">
        <v>0</v>
      </c>
    </row>
    <row r="215" spans="1:3" ht="15" customHeight="1" x14ac:dyDescent="0.35">
      <c r="A215" s="26" t="s">
        <v>1910</v>
      </c>
      <c r="B215" s="26" t="s">
        <v>1911</v>
      </c>
      <c r="C215" s="26" t="b">
        <v>0</v>
      </c>
    </row>
    <row r="216" spans="1:3" ht="15" customHeight="1" x14ac:dyDescent="0.35">
      <c r="A216" s="26" t="s">
        <v>1912</v>
      </c>
      <c r="B216" s="26" t="s">
        <v>1913</v>
      </c>
      <c r="C216" s="26" t="b">
        <v>0</v>
      </c>
    </row>
    <row r="217" spans="1:3" ht="15" customHeight="1" x14ac:dyDescent="0.35">
      <c r="A217" s="26" t="s">
        <v>1914</v>
      </c>
      <c r="B217" s="26" t="s">
        <v>1915</v>
      </c>
      <c r="C217" s="26" t="b">
        <v>0</v>
      </c>
    </row>
    <row r="218" spans="1:3" ht="15" customHeight="1" x14ac:dyDescent="0.35">
      <c r="A218" s="26" t="s">
        <v>1916</v>
      </c>
      <c r="B218" s="26" t="s">
        <v>1917</v>
      </c>
      <c r="C218" s="26" t="b">
        <v>0</v>
      </c>
    </row>
    <row r="219" spans="1:3" ht="15" customHeight="1" x14ac:dyDescent="0.35">
      <c r="A219" s="26" t="s">
        <v>1918</v>
      </c>
      <c r="B219" s="26" t="s">
        <v>1919</v>
      </c>
      <c r="C219" s="26" t="b">
        <v>0</v>
      </c>
    </row>
    <row r="220" spans="1:3" ht="15" customHeight="1" x14ac:dyDescent="0.35">
      <c r="A220" s="26" t="s">
        <v>1922</v>
      </c>
      <c r="B220" s="26" t="s">
        <v>1923</v>
      </c>
      <c r="C220" s="26" t="b">
        <v>0</v>
      </c>
    </row>
    <row r="221" spans="1:3" ht="15" customHeight="1" x14ac:dyDescent="0.35">
      <c r="A221" s="26" t="s">
        <v>1924</v>
      </c>
      <c r="B221" s="26" t="s">
        <v>1925</v>
      </c>
      <c r="C221" s="26" t="b">
        <v>0</v>
      </c>
    </row>
    <row r="222" spans="1:3" ht="15" customHeight="1" x14ac:dyDescent="0.35">
      <c r="A222" s="26" t="s">
        <v>1930</v>
      </c>
      <c r="B222" s="26" t="s">
        <v>1931</v>
      </c>
      <c r="C222" s="26" t="b">
        <v>0</v>
      </c>
    </row>
    <row r="223" spans="1:3" ht="15" customHeight="1" x14ac:dyDescent="0.35">
      <c r="A223" s="26" t="s">
        <v>1934</v>
      </c>
      <c r="B223" s="26" t="s">
        <v>1935</v>
      </c>
      <c r="C223" s="26" t="b">
        <v>0</v>
      </c>
    </row>
    <row r="224" spans="1:3" ht="15" customHeight="1" x14ac:dyDescent="0.35">
      <c r="A224" s="26" t="s">
        <v>1940</v>
      </c>
      <c r="B224" s="26" t="s">
        <v>1941</v>
      </c>
      <c r="C224" s="26" t="b">
        <v>0</v>
      </c>
    </row>
    <row r="225" spans="1:3" ht="15" customHeight="1" x14ac:dyDescent="0.35">
      <c r="A225" s="26" t="s">
        <v>1942</v>
      </c>
      <c r="B225" s="26" t="s">
        <v>1943</v>
      </c>
      <c r="C225" s="26" t="b">
        <v>0</v>
      </c>
    </row>
    <row r="226" spans="1:3" ht="15" customHeight="1" x14ac:dyDescent="0.35">
      <c r="A226" s="26" t="s">
        <v>1946</v>
      </c>
      <c r="B226" s="26" t="s">
        <v>1947</v>
      </c>
      <c r="C226" s="26" t="b">
        <v>0</v>
      </c>
    </row>
    <row r="227" spans="1:3" ht="15" customHeight="1" x14ac:dyDescent="0.35">
      <c r="A227" s="26" t="s">
        <v>1948</v>
      </c>
      <c r="B227" s="26" t="s">
        <v>1949</v>
      </c>
      <c r="C227" s="26" t="b">
        <v>0</v>
      </c>
    </row>
    <row r="228" spans="1:3" ht="15" customHeight="1" x14ac:dyDescent="0.35">
      <c r="A228" s="26" t="s">
        <v>1950</v>
      </c>
      <c r="B228" s="26" t="s">
        <v>1951</v>
      </c>
      <c r="C228" s="26" t="b">
        <v>0</v>
      </c>
    </row>
    <row r="229" spans="1:3" ht="15" customHeight="1" x14ac:dyDescent="0.35">
      <c r="A229" s="26" t="s">
        <v>1952</v>
      </c>
      <c r="B229" s="26" t="s">
        <v>1953</v>
      </c>
      <c r="C229" s="26" t="b">
        <v>0</v>
      </c>
    </row>
    <row r="230" spans="1:3" ht="15" customHeight="1" x14ac:dyDescent="0.35">
      <c r="A230" s="26" t="s">
        <v>1954</v>
      </c>
      <c r="B230" s="26" t="s">
        <v>1955</v>
      </c>
      <c r="C230" s="26" t="b">
        <v>0</v>
      </c>
    </row>
    <row r="231" spans="1:3" ht="15" customHeight="1" x14ac:dyDescent="0.35">
      <c r="A231" s="26" t="s">
        <v>1956</v>
      </c>
      <c r="B231" s="26" t="s">
        <v>1957</v>
      </c>
      <c r="C231" s="26" t="b">
        <v>0</v>
      </c>
    </row>
  </sheetData>
  <autoFilter ref="A1:C147" xr:uid="{9A343F34-1FF8-49A9-9FD7-54C11A869D53}"/>
  <sortState xmlns:xlrd2="http://schemas.microsoft.com/office/spreadsheetml/2017/richdata2" ref="A157:C231">
    <sortCondition descending="1" ref="C156:C231"/>
  </sortState>
  <pageMargins left="0.7" right="0.7" top="0.75" bottom="0.75" header="0.3" footer="0.3"/>
  <pageSetup paperSize="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90DEB-75FC-4731-B1D6-F37FC5ADA527}">
  <sheetPr codeName="Ark6">
    <tabColor rgb="FF00B0F0"/>
    <outlinePr summaryBelow="0" summaryRight="0"/>
  </sheetPr>
  <dimension ref="A1:R548"/>
  <sheetViews>
    <sheetView zoomScaleNormal="100" workbookViewId="0">
      <pane xSplit="1" ySplit="1" topLeftCell="D2" activePane="bottomRight" state="frozen"/>
      <selection activeCell="D2" sqref="D2"/>
      <selection pane="topRight" activeCell="D2" sqref="D2"/>
      <selection pane="bottomLeft" activeCell="D2" sqref="D2"/>
      <selection pane="bottomRight" activeCell="D2" sqref="D2"/>
    </sheetView>
  </sheetViews>
  <sheetFormatPr defaultColWidth="11.54296875" defaultRowHeight="12" outlineLevelRow="7" x14ac:dyDescent="0.35"/>
  <cols>
    <col min="1" max="3" width="0" style="1" hidden="1" customWidth="1"/>
    <col min="4" max="4" width="6.54296875" style="1" customWidth="1"/>
    <col min="5" max="5" width="70.54296875" style="1" customWidth="1"/>
    <col min="6" max="11" width="8.54296875" style="1" customWidth="1"/>
    <col min="12" max="14" width="24.54296875" style="1" customWidth="1"/>
    <col min="15" max="15" width="24.54296875" style="1" hidden="1" customWidth="1"/>
    <col min="16" max="17" width="24.54296875" style="1" customWidth="1"/>
    <col min="18" max="16384" width="11.54296875" style="1"/>
  </cols>
  <sheetData>
    <row r="1" spans="1:18" ht="12" customHeight="1" x14ac:dyDescent="0.35">
      <c r="A1" s="1" t="s">
        <v>0</v>
      </c>
      <c r="B1" s="1" t="s">
        <v>1</v>
      </c>
      <c r="C1" s="1" t="s">
        <v>2</v>
      </c>
      <c r="D1" s="1" t="s">
        <v>3</v>
      </c>
      <c r="E1" s="1" t="s">
        <v>4</v>
      </c>
      <c r="F1" s="1" t="s">
        <v>5</v>
      </c>
      <c r="G1" s="1" t="s">
        <v>6</v>
      </c>
      <c r="H1" s="14" t="s">
        <v>7</v>
      </c>
      <c r="I1" s="1" t="s">
        <v>8</v>
      </c>
      <c r="J1" s="1" t="s">
        <v>9</v>
      </c>
      <c r="K1" s="1" t="s">
        <v>10</v>
      </c>
      <c r="L1" s="1" t="s">
        <v>11</v>
      </c>
      <c r="M1" s="1" t="s">
        <v>12</v>
      </c>
      <c r="N1" s="1" t="s">
        <v>13</v>
      </c>
      <c r="P1" s="1" t="s">
        <v>14</v>
      </c>
      <c r="Q1" s="1" t="s">
        <v>208</v>
      </c>
      <c r="R1" s="1" t="s">
        <v>209</v>
      </c>
    </row>
    <row r="2" spans="1:18" ht="12" customHeight="1" x14ac:dyDescent="0.35">
      <c r="A2" s="2" t="str">
        <f t="shared" ref="A2:A11" si="0">$E$2</f>
        <v>CC415B</v>
      </c>
      <c r="B2" s="1">
        <v>0</v>
      </c>
      <c r="C2" s="2" t="s">
        <v>16</v>
      </c>
      <c r="E2" s="2" t="s">
        <v>228</v>
      </c>
      <c r="H2" s="14"/>
      <c r="M2" s="2" t="s">
        <v>17</v>
      </c>
      <c r="P2" s="2" t="s">
        <v>229</v>
      </c>
      <c r="Q2" s="1" t="str">
        <f>IF($B2=0,$M2,_xlfn.TEXTBEFORE(Q1,"/",$B2,,,Q1)&amp;"/"&amp;$M2)&amp;IF(_xlfn.TEXTAFTER($D2,"..",,,,1)&lt;&gt;"1","[0]","")</f>
        <v>*</v>
      </c>
    </row>
    <row r="3" spans="1:18" ht="12" customHeight="1" outlineLevel="1" x14ac:dyDescent="0.35">
      <c r="A3" s="3" t="str">
        <f t="shared" si="0"/>
        <v>CC415B</v>
      </c>
      <c r="B3" s="4">
        <v>1</v>
      </c>
      <c r="C3" s="3" t="s">
        <v>24</v>
      </c>
      <c r="D3" s="3" t="s">
        <v>20</v>
      </c>
      <c r="E3" s="5" t="s">
        <v>21</v>
      </c>
      <c r="F3" s="4"/>
      <c r="G3" s="3" t="s">
        <v>22</v>
      </c>
      <c r="H3" s="15"/>
      <c r="I3" s="4"/>
      <c r="J3" s="4"/>
      <c r="K3" s="4"/>
      <c r="L3" s="4"/>
      <c r="M3" s="3" t="s">
        <v>21</v>
      </c>
      <c r="N3" s="4"/>
      <c r="O3" s="4"/>
      <c r="P3" s="3" t="s">
        <v>23</v>
      </c>
      <c r="Q3" s="1" t="str">
        <f t="shared" ref="Q3:Q63" si="1">IF($B3=0,$M3,_xlfn.TEXTBEFORE(Q2,"/",$B3,,,Q2)&amp;"/"&amp;$M3)&amp;IF(_xlfn.TEXTAFTER($D3,"..",,,,1)&lt;&gt;"1","[0]","")</f>
        <v>*/Extensions[0]</v>
      </c>
    </row>
    <row r="4" spans="1:18" ht="12" customHeight="1" outlineLevel="2" x14ac:dyDescent="0.35">
      <c r="A4" s="2" t="str">
        <f t="shared" si="0"/>
        <v>CC415B</v>
      </c>
      <c r="B4" s="1">
        <v>2</v>
      </c>
      <c r="C4" s="1" t="s">
        <v>19</v>
      </c>
      <c r="D4" s="2" t="s">
        <v>25</v>
      </c>
      <c r="E4" s="6" t="s">
        <v>774</v>
      </c>
      <c r="F4" s="1" t="s">
        <v>775</v>
      </c>
      <c r="G4" s="2" t="s">
        <v>27</v>
      </c>
      <c r="H4" s="14"/>
      <c r="M4" s="2" t="s">
        <v>776</v>
      </c>
      <c r="Q4" s="1" t="str">
        <f t="shared" si="1"/>
        <v>*/Extensions[0]/SequenceNumeric</v>
      </c>
    </row>
    <row r="5" spans="1:18" ht="12" customHeight="1" outlineLevel="2" x14ac:dyDescent="0.35">
      <c r="A5" s="2" t="str">
        <f t="shared" si="0"/>
        <v>CC415B</v>
      </c>
      <c r="B5" s="1">
        <v>2</v>
      </c>
      <c r="C5" s="1" t="s">
        <v>19</v>
      </c>
      <c r="D5" s="2" t="s">
        <v>30</v>
      </c>
      <c r="E5" s="6" t="s">
        <v>777</v>
      </c>
      <c r="F5" s="1" t="s">
        <v>778</v>
      </c>
      <c r="G5" s="2" t="s">
        <v>22</v>
      </c>
      <c r="H5" s="14"/>
      <c r="M5" s="2" t="s">
        <v>779</v>
      </c>
      <c r="Q5" s="1" t="str">
        <f t="shared" si="1"/>
        <v>*/Extensions[0]/ID</v>
      </c>
    </row>
    <row r="6" spans="1:18" ht="12" customHeight="1" outlineLevel="2" x14ac:dyDescent="0.35">
      <c r="A6" s="2" t="str">
        <f t="shared" si="0"/>
        <v>CC415B</v>
      </c>
      <c r="B6" s="1">
        <v>2</v>
      </c>
      <c r="C6" s="1" t="s">
        <v>19</v>
      </c>
      <c r="D6" s="2" t="s">
        <v>25</v>
      </c>
      <c r="E6" s="6" t="s">
        <v>780</v>
      </c>
      <c r="F6" s="1" t="s">
        <v>778</v>
      </c>
      <c r="G6" s="2" t="s">
        <v>27</v>
      </c>
      <c r="H6" s="14"/>
      <c r="M6" s="2" t="s">
        <v>780</v>
      </c>
      <c r="Q6" s="1" t="str">
        <f t="shared" si="1"/>
        <v>*/Extensions[0]/Key</v>
      </c>
    </row>
    <row r="7" spans="1:18" ht="12" customHeight="1" outlineLevel="2" x14ac:dyDescent="0.35">
      <c r="A7" s="2" t="str">
        <f t="shared" si="0"/>
        <v>CC415B</v>
      </c>
      <c r="B7" s="1">
        <v>2</v>
      </c>
      <c r="C7" s="1" t="s">
        <v>19</v>
      </c>
      <c r="D7" s="2" t="s">
        <v>25</v>
      </c>
      <c r="E7" s="6" t="s">
        <v>781</v>
      </c>
      <c r="F7" s="1" t="s">
        <v>778</v>
      </c>
      <c r="G7" s="2" t="s">
        <v>27</v>
      </c>
      <c r="H7" s="14"/>
      <c r="M7" s="2" t="s">
        <v>781</v>
      </c>
      <c r="Q7" s="1" t="str">
        <f t="shared" si="1"/>
        <v>*/Extensions[0]/Value</v>
      </c>
    </row>
    <row r="8" spans="1:18" ht="12" customHeight="1" outlineLevel="2" x14ac:dyDescent="0.35">
      <c r="A8" s="2" t="str">
        <f t="shared" si="0"/>
        <v>CC415B</v>
      </c>
      <c r="B8" s="1">
        <v>2</v>
      </c>
      <c r="C8" s="1" t="s">
        <v>19</v>
      </c>
      <c r="D8" s="2" t="s">
        <v>25</v>
      </c>
      <c r="E8" s="6" t="s">
        <v>782</v>
      </c>
      <c r="F8" s="7" t="s">
        <v>783</v>
      </c>
      <c r="G8" s="2" t="s">
        <v>27</v>
      </c>
      <c r="H8" s="14"/>
      <c r="M8" s="2" t="s">
        <v>784</v>
      </c>
      <c r="Q8" s="1" t="str">
        <f t="shared" si="1"/>
        <v>*/Extensions[0]/DataType</v>
      </c>
    </row>
    <row r="9" spans="1:18" ht="12" customHeight="1" outlineLevel="2" x14ac:dyDescent="0.35">
      <c r="A9" s="21" t="str">
        <f t="shared" si="0"/>
        <v>CC415B</v>
      </c>
      <c r="B9" s="22">
        <v>2</v>
      </c>
      <c r="C9" s="22" t="s">
        <v>19</v>
      </c>
      <c r="D9" s="21" t="s">
        <v>20</v>
      </c>
      <c r="E9" s="23" t="s">
        <v>21</v>
      </c>
      <c r="F9" s="22"/>
      <c r="G9" s="21" t="s">
        <v>22</v>
      </c>
      <c r="H9" s="25"/>
      <c r="I9" s="22"/>
      <c r="J9" s="22"/>
      <c r="K9" s="22"/>
      <c r="L9" s="22"/>
      <c r="M9" s="21" t="s">
        <v>21</v>
      </c>
      <c r="N9" s="22"/>
      <c r="O9" s="22"/>
      <c r="P9" s="21" t="s">
        <v>785</v>
      </c>
      <c r="Q9" s="1" t="str">
        <f t="shared" si="1"/>
        <v>*/Extensions[0]/Extensions[0]</v>
      </c>
    </row>
    <row r="10" spans="1:18" ht="12" customHeight="1" outlineLevel="1" x14ac:dyDescent="0.35">
      <c r="A10" s="3" t="str">
        <f t="shared" si="0"/>
        <v>CC415B</v>
      </c>
      <c r="B10" s="4">
        <v>1</v>
      </c>
      <c r="C10" s="3" t="s">
        <v>24</v>
      </c>
      <c r="D10" s="3" t="s">
        <v>25</v>
      </c>
      <c r="E10" s="5" t="s">
        <v>26</v>
      </c>
      <c r="F10" s="4"/>
      <c r="G10" s="3" t="s">
        <v>27</v>
      </c>
      <c r="H10" s="15" t="s">
        <v>440</v>
      </c>
      <c r="I10" s="4"/>
      <c r="J10" s="4"/>
      <c r="K10" s="4"/>
      <c r="L10" s="4"/>
      <c r="M10" s="3" t="s">
        <v>28</v>
      </c>
      <c r="N10" s="4"/>
      <c r="O10" s="4"/>
      <c r="P10" s="3" t="s">
        <v>230</v>
      </c>
      <c r="Q10" s="1" t="str">
        <f t="shared" si="1"/>
        <v>*/ImportOperation</v>
      </c>
    </row>
    <row r="11" spans="1:18" ht="12" customHeight="1" outlineLevel="2" x14ac:dyDescent="0.35">
      <c r="A11" s="2" t="str">
        <f t="shared" si="0"/>
        <v>CC415B</v>
      </c>
      <c r="B11" s="1">
        <v>2</v>
      </c>
      <c r="C11" s="1" t="s">
        <v>19</v>
      </c>
      <c r="D11" s="2" t="s">
        <v>25</v>
      </c>
      <c r="E11" s="6" t="s">
        <v>31</v>
      </c>
      <c r="F11" s="7" t="s">
        <v>32</v>
      </c>
      <c r="G11" s="2" t="s">
        <v>27</v>
      </c>
      <c r="H11" s="14"/>
      <c r="L11" s="1" t="s">
        <v>1196</v>
      </c>
      <c r="M11" s="2" t="s">
        <v>33</v>
      </c>
      <c r="P11" s="2" t="s">
        <v>34</v>
      </c>
      <c r="Q11" s="1" t="str">
        <f t="shared" si="1"/>
        <v>*/ImportOperation/LRN</v>
      </c>
    </row>
    <row r="12" spans="1:18" ht="12" customHeight="1" outlineLevel="2" x14ac:dyDescent="0.35">
      <c r="A12" s="2"/>
      <c r="D12" s="2"/>
      <c r="E12" s="6"/>
      <c r="F12" s="7"/>
      <c r="G12" s="2"/>
      <c r="H12" s="14"/>
      <c r="M12" s="2"/>
      <c r="P12" s="2"/>
    </row>
    <row r="13" spans="1:18" ht="12" customHeight="1" outlineLevel="2" x14ac:dyDescent="0.35">
      <c r="A13" s="2" t="str">
        <f t="shared" ref="A13:A42" si="2">$E$2</f>
        <v>CC415B</v>
      </c>
      <c r="B13" s="1">
        <v>2</v>
      </c>
      <c r="C13" s="1" t="s">
        <v>19</v>
      </c>
      <c r="D13" s="2" t="s">
        <v>25</v>
      </c>
      <c r="E13" s="6" t="s">
        <v>39</v>
      </c>
      <c r="F13" s="7" t="s">
        <v>40</v>
      </c>
      <c r="G13" s="2" t="s">
        <v>27</v>
      </c>
      <c r="H13" s="7"/>
      <c r="J13" s="2" t="s">
        <v>389</v>
      </c>
      <c r="L13" s="1" t="s">
        <v>1197</v>
      </c>
      <c r="M13" s="2" t="s">
        <v>41</v>
      </c>
      <c r="P13" s="2" t="s">
        <v>42</v>
      </c>
      <c r="Q13" s="1" t="str">
        <f>IF($B13=0,$M13,_xlfn.TEXTBEFORE(Q11,"/",$B13,,,Q11)&amp;"/"&amp;$M13)&amp;IF(_xlfn.TEXTAFTER($D13,"..",,,,1)&lt;&gt;"1","[0]","")</f>
        <v>*/ImportOperation/declarationType</v>
      </c>
    </row>
    <row r="14" spans="1:18" ht="12" customHeight="1" outlineLevel="2" x14ac:dyDescent="0.35">
      <c r="A14" s="2" t="str">
        <f t="shared" si="2"/>
        <v>CC415B</v>
      </c>
      <c r="B14" s="1">
        <v>2</v>
      </c>
      <c r="C14" s="1" t="s">
        <v>19</v>
      </c>
      <c r="D14" s="2" t="s">
        <v>25</v>
      </c>
      <c r="E14" s="6" t="s">
        <v>43</v>
      </c>
      <c r="F14" s="7" t="s">
        <v>44</v>
      </c>
      <c r="G14" s="2" t="s">
        <v>27</v>
      </c>
      <c r="H14" s="14"/>
      <c r="J14" s="2" t="s">
        <v>390</v>
      </c>
      <c r="L14" s="1" t="s">
        <v>1198</v>
      </c>
      <c r="M14" s="2" t="s">
        <v>45</v>
      </c>
      <c r="P14" s="2" t="s">
        <v>46</v>
      </c>
      <c r="Q14" s="1" t="str">
        <f t="shared" si="1"/>
        <v>*/ImportOperation/additionalDeclarationType</v>
      </c>
    </row>
    <row r="15" spans="1:18" ht="12" customHeight="1" outlineLevel="2" x14ac:dyDescent="0.35">
      <c r="A15" s="2" t="str">
        <f t="shared" si="2"/>
        <v>CC415B</v>
      </c>
      <c r="B15" s="1">
        <v>2</v>
      </c>
      <c r="C15" s="1" t="s">
        <v>19</v>
      </c>
      <c r="D15" s="2" t="s">
        <v>25</v>
      </c>
      <c r="E15" s="6" t="s">
        <v>49</v>
      </c>
      <c r="F15" s="7" t="s">
        <v>50</v>
      </c>
      <c r="G15" s="2" t="s">
        <v>27</v>
      </c>
      <c r="H15" s="14" t="s">
        <v>392</v>
      </c>
      <c r="J15" s="2" t="s">
        <v>391</v>
      </c>
      <c r="M15" s="2" t="s">
        <v>51</v>
      </c>
      <c r="P15" s="2" t="s">
        <v>52</v>
      </c>
      <c r="Q15" s="1" t="e">
        <f>IF($B15=0,$M15,_xlfn.TEXTBEFORE(#REF!,"/",$B15,,,#REF!)&amp;"/"&amp;$M15)&amp;IF(_xlfn.TEXTAFTER($D15,"..",,,,1)&lt;&gt;"1","[0]","")</f>
        <v>#REF!</v>
      </c>
    </row>
    <row r="16" spans="1:18" ht="12" customHeight="1" outlineLevel="1" x14ac:dyDescent="0.35">
      <c r="A16" s="3" t="str">
        <f t="shared" si="2"/>
        <v>CC415B</v>
      </c>
      <c r="B16" s="4">
        <v>1</v>
      </c>
      <c r="C16" s="3" t="s">
        <v>24</v>
      </c>
      <c r="D16" s="3" t="s">
        <v>53</v>
      </c>
      <c r="E16" s="5" t="s">
        <v>54</v>
      </c>
      <c r="F16" s="4"/>
      <c r="G16" s="3" t="s">
        <v>22</v>
      </c>
      <c r="H16" s="16" t="s">
        <v>442</v>
      </c>
      <c r="I16" s="4"/>
      <c r="J16" s="4"/>
      <c r="K16" s="4"/>
      <c r="L16" s="4" t="s">
        <v>991</v>
      </c>
      <c r="M16" s="3" t="s">
        <v>54</v>
      </c>
      <c r="N16" s="4"/>
      <c r="O16" s="4"/>
      <c r="P16" s="3" t="s">
        <v>231</v>
      </c>
      <c r="Q16" s="1" t="e">
        <f t="shared" si="1"/>
        <v>#REF!</v>
      </c>
    </row>
    <row r="17" spans="1:17" ht="12" customHeight="1" outlineLevel="2" x14ac:dyDescent="0.35">
      <c r="A17" s="2" t="str">
        <f t="shared" si="2"/>
        <v>CC415B</v>
      </c>
      <c r="B17" s="1">
        <v>2</v>
      </c>
      <c r="C17" s="1" t="s">
        <v>19</v>
      </c>
      <c r="D17" s="2" t="s">
        <v>25</v>
      </c>
      <c r="E17" s="6" t="s">
        <v>56</v>
      </c>
      <c r="F17" s="7" t="s">
        <v>57</v>
      </c>
      <c r="G17" s="2" t="s">
        <v>27</v>
      </c>
      <c r="H17" s="7" t="s">
        <v>393</v>
      </c>
      <c r="M17" s="2" t="s">
        <v>58</v>
      </c>
      <c r="P17" s="2" t="s">
        <v>59</v>
      </c>
      <c r="Q17" s="1" t="e">
        <f t="shared" si="1"/>
        <v>#REF!</v>
      </c>
    </row>
    <row r="18" spans="1:17" ht="12" customHeight="1" outlineLevel="2" x14ac:dyDescent="0.35">
      <c r="A18" s="2" t="str">
        <f t="shared" si="2"/>
        <v>CC415B</v>
      </c>
      <c r="B18" s="1">
        <v>2</v>
      </c>
      <c r="C18" s="1" t="s">
        <v>19</v>
      </c>
      <c r="D18" s="2" t="s">
        <v>30</v>
      </c>
      <c r="E18" s="6" t="s">
        <v>2</v>
      </c>
      <c r="F18" s="7" t="s">
        <v>60</v>
      </c>
      <c r="G18" s="2" t="s">
        <v>396</v>
      </c>
      <c r="H18" s="14"/>
      <c r="I18" s="2" t="s">
        <v>395</v>
      </c>
      <c r="J18" s="2" t="s">
        <v>394</v>
      </c>
      <c r="L18" s="1" t="s">
        <v>992</v>
      </c>
      <c r="M18" s="2" t="s">
        <v>61</v>
      </c>
      <c r="P18" s="2" t="s">
        <v>62</v>
      </c>
      <c r="Q18" s="1" t="e">
        <f t="shared" si="1"/>
        <v>#REF!</v>
      </c>
    </row>
    <row r="19" spans="1:17" ht="12" customHeight="1" outlineLevel="2" x14ac:dyDescent="0.35">
      <c r="A19" s="2" t="str">
        <f t="shared" si="2"/>
        <v>CC415B</v>
      </c>
      <c r="B19" s="1">
        <v>2</v>
      </c>
      <c r="C19" s="1" t="s">
        <v>19</v>
      </c>
      <c r="D19" s="2" t="s">
        <v>25</v>
      </c>
      <c r="E19" s="6" t="s">
        <v>63</v>
      </c>
      <c r="F19" s="7" t="s">
        <v>834</v>
      </c>
      <c r="G19" s="2" t="s">
        <v>27</v>
      </c>
      <c r="H19" s="7"/>
      <c r="L19" s="1" t="s">
        <v>993</v>
      </c>
      <c r="M19" s="2" t="s">
        <v>65</v>
      </c>
      <c r="P19" s="2" t="s">
        <v>66</v>
      </c>
      <c r="Q19" s="1" t="e">
        <f t="shared" si="1"/>
        <v>#REF!</v>
      </c>
    </row>
    <row r="20" spans="1:17" ht="12" customHeight="1" outlineLevel="2" x14ac:dyDescent="0.35">
      <c r="A20" s="2" t="str">
        <f t="shared" si="2"/>
        <v>CC415B</v>
      </c>
      <c r="B20" s="1">
        <v>2</v>
      </c>
      <c r="C20" s="1" t="s">
        <v>19</v>
      </c>
      <c r="D20" s="2" t="s">
        <v>30</v>
      </c>
      <c r="E20" s="6" t="s">
        <v>67</v>
      </c>
      <c r="F20" s="7" t="s">
        <v>68</v>
      </c>
      <c r="G20" s="2" t="s">
        <v>396</v>
      </c>
      <c r="H20" s="7" t="s">
        <v>397</v>
      </c>
      <c r="I20" s="2" t="s">
        <v>398</v>
      </c>
      <c r="L20" s="1" t="s">
        <v>994</v>
      </c>
      <c r="M20" s="2" t="s">
        <v>69</v>
      </c>
      <c r="P20" s="2" t="s">
        <v>70</v>
      </c>
      <c r="Q20" s="1" t="e">
        <f t="shared" si="1"/>
        <v>#REF!</v>
      </c>
    </row>
    <row r="21" spans="1:17" ht="12" customHeight="1" outlineLevel="1" x14ac:dyDescent="0.35">
      <c r="A21" s="3" t="str">
        <f t="shared" si="2"/>
        <v>CC415B</v>
      </c>
      <c r="B21" s="4">
        <v>1</v>
      </c>
      <c r="C21" s="3" t="s">
        <v>24</v>
      </c>
      <c r="D21" s="3" t="s">
        <v>30</v>
      </c>
      <c r="E21" s="5" t="s">
        <v>71</v>
      </c>
      <c r="F21" s="4"/>
      <c r="G21" s="3" t="s">
        <v>22</v>
      </c>
      <c r="H21" s="16" t="s">
        <v>440</v>
      </c>
      <c r="I21" s="4"/>
      <c r="J21" s="4"/>
      <c r="K21" s="4"/>
      <c r="L21" s="4" t="s">
        <v>995</v>
      </c>
      <c r="M21" s="3" t="s">
        <v>72</v>
      </c>
      <c r="N21" s="4"/>
      <c r="O21" s="4"/>
      <c r="P21" s="3" t="s">
        <v>73</v>
      </c>
      <c r="Q21" s="1" t="e">
        <f t="shared" si="1"/>
        <v>#REF!</v>
      </c>
    </row>
    <row r="22" spans="1:17" ht="12" customHeight="1" outlineLevel="2" x14ac:dyDescent="0.35">
      <c r="A22" s="2" t="str">
        <f t="shared" si="2"/>
        <v>CC415B</v>
      </c>
      <c r="B22" s="1">
        <v>2</v>
      </c>
      <c r="C22" s="1" t="s">
        <v>19</v>
      </c>
      <c r="D22" s="2" t="s">
        <v>25</v>
      </c>
      <c r="E22" s="6" t="s">
        <v>63</v>
      </c>
      <c r="F22" s="7" t="s">
        <v>74</v>
      </c>
      <c r="G22" s="2" t="s">
        <v>27</v>
      </c>
      <c r="H22" s="14"/>
      <c r="J22" s="2" t="s">
        <v>399</v>
      </c>
      <c r="L22" s="1" t="s">
        <v>996</v>
      </c>
      <c r="M22" s="2" t="s">
        <v>65</v>
      </c>
      <c r="P22" s="2" t="s">
        <v>75</v>
      </c>
      <c r="Q22" s="1" t="e">
        <f t="shared" si="1"/>
        <v>#REF!</v>
      </c>
    </row>
    <row r="23" spans="1:17" ht="12" customHeight="1" outlineLevel="1" x14ac:dyDescent="0.35">
      <c r="A23" s="3" t="str">
        <f t="shared" si="2"/>
        <v>CC415B</v>
      </c>
      <c r="B23" s="4">
        <v>1</v>
      </c>
      <c r="C23" s="3" t="s">
        <v>24</v>
      </c>
      <c r="D23" s="3" t="s">
        <v>30</v>
      </c>
      <c r="E23" s="5" t="s">
        <v>76</v>
      </c>
      <c r="F23" s="4"/>
      <c r="G23" s="3" t="s">
        <v>22</v>
      </c>
      <c r="H23" s="16" t="s">
        <v>400</v>
      </c>
      <c r="I23" s="4"/>
      <c r="J23" s="4"/>
      <c r="K23" s="4"/>
      <c r="L23" s="4" t="s">
        <v>997</v>
      </c>
      <c r="M23" s="3" t="s">
        <v>77</v>
      </c>
      <c r="N23" s="4"/>
      <c r="O23" s="4"/>
      <c r="P23" s="3" t="s">
        <v>78</v>
      </c>
      <c r="Q23" s="1" t="e">
        <f t="shared" si="1"/>
        <v>#REF!</v>
      </c>
    </row>
    <row r="24" spans="1:17" ht="12" customHeight="1" outlineLevel="2" x14ac:dyDescent="0.35">
      <c r="A24" s="2" t="str">
        <f t="shared" si="2"/>
        <v>CC415B</v>
      </c>
      <c r="B24" s="1">
        <v>2</v>
      </c>
      <c r="C24" s="1" t="s">
        <v>19</v>
      </c>
      <c r="D24" s="2" t="s">
        <v>25</v>
      </c>
      <c r="E24" s="6" t="s">
        <v>63</v>
      </c>
      <c r="F24" s="7" t="s">
        <v>74</v>
      </c>
      <c r="G24" s="2" t="s">
        <v>27</v>
      </c>
      <c r="H24" s="14"/>
      <c r="J24" s="2" t="s">
        <v>399</v>
      </c>
      <c r="L24" s="1" t="s">
        <v>998</v>
      </c>
      <c r="M24" s="2" t="s">
        <v>65</v>
      </c>
      <c r="P24" s="2" t="s">
        <v>75</v>
      </c>
      <c r="Q24" s="1" t="e">
        <f t="shared" si="1"/>
        <v>#REF!</v>
      </c>
    </row>
    <row r="25" spans="1:17" ht="12" customHeight="1" outlineLevel="1" x14ac:dyDescent="0.35">
      <c r="A25" s="3" t="str">
        <f t="shared" si="2"/>
        <v>CC415B</v>
      </c>
      <c r="B25" s="4">
        <v>1</v>
      </c>
      <c r="C25" s="3" t="s">
        <v>24</v>
      </c>
      <c r="D25" s="3" t="s">
        <v>25</v>
      </c>
      <c r="E25" s="5" t="s">
        <v>79</v>
      </c>
      <c r="F25" s="4"/>
      <c r="G25" s="3" t="s">
        <v>27</v>
      </c>
      <c r="H25" s="16"/>
      <c r="I25" s="4"/>
      <c r="J25" s="4"/>
      <c r="K25" s="4"/>
      <c r="L25" s="4" t="s">
        <v>999</v>
      </c>
      <c r="M25" s="3" t="s">
        <v>79</v>
      </c>
      <c r="N25" s="4"/>
      <c r="O25" s="4"/>
      <c r="P25" s="3" t="s">
        <v>80</v>
      </c>
      <c r="Q25" s="1" t="e">
        <f t="shared" si="1"/>
        <v>#REF!</v>
      </c>
    </row>
    <row r="26" spans="1:17" ht="12" customHeight="1" outlineLevel="2" x14ac:dyDescent="0.35">
      <c r="A26" s="2" t="str">
        <f t="shared" si="2"/>
        <v>CC415B</v>
      </c>
      <c r="B26" s="1">
        <v>2</v>
      </c>
      <c r="C26" s="1" t="s">
        <v>19</v>
      </c>
      <c r="D26" s="2" t="s">
        <v>30</v>
      </c>
      <c r="E26" s="6" t="s">
        <v>81</v>
      </c>
      <c r="F26" s="7" t="s">
        <v>68</v>
      </c>
      <c r="G26" s="2" t="s">
        <v>22</v>
      </c>
      <c r="H26" s="7" t="s">
        <v>397</v>
      </c>
      <c r="L26" s="1" t="s">
        <v>1000</v>
      </c>
      <c r="M26" s="2" t="s">
        <v>82</v>
      </c>
      <c r="P26" s="2" t="s">
        <v>70</v>
      </c>
      <c r="Q26" s="1" t="e">
        <f t="shared" si="1"/>
        <v>#REF!</v>
      </c>
    </row>
    <row r="27" spans="1:17" ht="12" customHeight="1" outlineLevel="2" x14ac:dyDescent="0.35">
      <c r="A27" s="2" t="str">
        <f t="shared" si="2"/>
        <v>CC415B</v>
      </c>
      <c r="B27" s="1">
        <v>2</v>
      </c>
      <c r="C27" s="1" t="s">
        <v>19</v>
      </c>
      <c r="D27" s="2" t="s">
        <v>30</v>
      </c>
      <c r="E27" s="6" t="s">
        <v>4</v>
      </c>
      <c r="F27" s="7" t="s">
        <v>83</v>
      </c>
      <c r="G27" s="2" t="s">
        <v>396</v>
      </c>
      <c r="H27" s="14"/>
      <c r="I27" s="2" t="s">
        <v>401</v>
      </c>
      <c r="L27" s="1" t="s">
        <v>1001</v>
      </c>
      <c r="M27" s="2" t="s">
        <v>84</v>
      </c>
      <c r="P27" s="2" t="s">
        <v>85</v>
      </c>
      <c r="Q27" s="1" t="e">
        <f t="shared" si="1"/>
        <v>#REF!</v>
      </c>
    </row>
    <row r="28" spans="1:17" ht="12" customHeight="1" outlineLevel="2" x14ac:dyDescent="0.35">
      <c r="A28" s="3" t="str">
        <f t="shared" si="2"/>
        <v>CC415B</v>
      </c>
      <c r="B28" s="4">
        <v>2</v>
      </c>
      <c r="C28" s="3" t="s">
        <v>24</v>
      </c>
      <c r="D28" s="3" t="s">
        <v>30</v>
      </c>
      <c r="E28" s="8" t="s">
        <v>86</v>
      </c>
      <c r="F28" s="4"/>
      <c r="G28" s="3" t="s">
        <v>396</v>
      </c>
      <c r="H28" s="15"/>
      <c r="I28" s="3" t="s">
        <v>401</v>
      </c>
      <c r="J28" s="4"/>
      <c r="K28" s="4"/>
      <c r="L28" s="4" t="s">
        <v>1002</v>
      </c>
      <c r="M28" s="3" t="s">
        <v>86</v>
      </c>
      <c r="N28" s="4"/>
      <c r="O28" s="4"/>
      <c r="P28" s="3" t="s">
        <v>87</v>
      </c>
      <c r="Q28" s="1" t="e">
        <f t="shared" si="1"/>
        <v>#REF!</v>
      </c>
    </row>
    <row r="29" spans="1:17" ht="12" customHeight="1" outlineLevel="3" x14ac:dyDescent="0.35">
      <c r="A29" s="2" t="str">
        <f t="shared" si="2"/>
        <v>CC415B</v>
      </c>
      <c r="B29" s="1">
        <v>3</v>
      </c>
      <c r="C29" s="1" t="s">
        <v>19</v>
      </c>
      <c r="D29" s="2" t="s">
        <v>25</v>
      </c>
      <c r="E29" s="9" t="s">
        <v>88</v>
      </c>
      <c r="F29" s="7" t="s">
        <v>83</v>
      </c>
      <c r="G29" s="2" t="s">
        <v>27</v>
      </c>
      <c r="H29" s="14"/>
      <c r="L29" s="1" t="s">
        <v>1003</v>
      </c>
      <c r="M29" s="2" t="s">
        <v>89</v>
      </c>
      <c r="P29" s="2" t="s">
        <v>90</v>
      </c>
      <c r="Q29" s="1" t="e">
        <f t="shared" si="1"/>
        <v>#REF!</v>
      </c>
    </row>
    <row r="30" spans="1:17" ht="12" customHeight="1" outlineLevel="3" x14ac:dyDescent="0.35">
      <c r="A30" s="2" t="str">
        <f t="shared" si="2"/>
        <v>CC415B</v>
      </c>
      <c r="B30" s="1">
        <v>3</v>
      </c>
      <c r="C30" s="1" t="s">
        <v>19</v>
      </c>
      <c r="D30" s="2" t="s">
        <v>30</v>
      </c>
      <c r="E30" s="9" t="s">
        <v>91</v>
      </c>
      <c r="F30" s="7" t="s">
        <v>92</v>
      </c>
      <c r="G30" s="2" t="s">
        <v>396</v>
      </c>
      <c r="H30" s="14"/>
      <c r="I30" s="2" t="s">
        <v>402</v>
      </c>
      <c r="L30" s="1" t="s">
        <v>1004</v>
      </c>
      <c r="M30" s="2" t="s">
        <v>93</v>
      </c>
      <c r="P30" s="2" t="s">
        <v>94</v>
      </c>
      <c r="Q30" s="1" t="e">
        <f t="shared" si="1"/>
        <v>#REF!</v>
      </c>
    </row>
    <row r="31" spans="1:17" ht="12" customHeight="1" outlineLevel="3" x14ac:dyDescent="0.35">
      <c r="A31" s="2" t="str">
        <f t="shared" si="2"/>
        <v>CC415B</v>
      </c>
      <c r="B31" s="1">
        <v>3</v>
      </c>
      <c r="C31" s="1" t="s">
        <v>19</v>
      </c>
      <c r="D31" s="2" t="s">
        <v>25</v>
      </c>
      <c r="E31" s="9" t="s">
        <v>95</v>
      </c>
      <c r="F31" s="7" t="s">
        <v>96</v>
      </c>
      <c r="G31" s="2" t="s">
        <v>27</v>
      </c>
      <c r="H31" s="14"/>
      <c r="L31" s="1" t="s">
        <v>1005</v>
      </c>
      <c r="M31" s="2" t="s">
        <v>97</v>
      </c>
      <c r="P31" s="2" t="s">
        <v>98</v>
      </c>
      <c r="Q31" s="1" t="e">
        <f t="shared" si="1"/>
        <v>#REF!</v>
      </c>
    </row>
    <row r="32" spans="1:17" ht="12" customHeight="1" outlineLevel="3" x14ac:dyDescent="0.35">
      <c r="A32" s="2" t="str">
        <f t="shared" si="2"/>
        <v>CC415B</v>
      </c>
      <c r="B32" s="1">
        <v>3</v>
      </c>
      <c r="C32" s="1" t="s">
        <v>19</v>
      </c>
      <c r="D32" s="2" t="s">
        <v>25</v>
      </c>
      <c r="E32" s="9" t="s">
        <v>99</v>
      </c>
      <c r="F32" s="7" t="s">
        <v>50</v>
      </c>
      <c r="G32" s="2" t="s">
        <v>27</v>
      </c>
      <c r="H32" s="14"/>
      <c r="J32" s="2" t="s">
        <v>403</v>
      </c>
      <c r="L32" s="1" t="s">
        <v>1006</v>
      </c>
      <c r="M32" s="2" t="s">
        <v>100</v>
      </c>
      <c r="P32" s="2" t="s">
        <v>52</v>
      </c>
      <c r="Q32" s="1" t="e">
        <f t="shared" si="1"/>
        <v>#REF!</v>
      </c>
    </row>
    <row r="33" spans="1:17" ht="12" customHeight="1" outlineLevel="1" x14ac:dyDescent="0.35">
      <c r="A33" s="3" t="str">
        <f t="shared" si="2"/>
        <v>CC415B</v>
      </c>
      <c r="B33" s="4">
        <v>1</v>
      </c>
      <c r="C33" s="3" t="s">
        <v>24</v>
      </c>
      <c r="D33" s="3" t="s">
        <v>25</v>
      </c>
      <c r="E33" s="5" t="s">
        <v>101</v>
      </c>
      <c r="F33" s="4"/>
      <c r="G33" s="3" t="s">
        <v>27</v>
      </c>
      <c r="H33" s="16" t="s">
        <v>440</v>
      </c>
      <c r="I33" s="4"/>
      <c r="J33" s="4"/>
      <c r="K33" s="4"/>
      <c r="L33" s="4" t="s">
        <v>1007</v>
      </c>
      <c r="M33" s="3" t="s">
        <v>101</v>
      </c>
      <c r="N33" s="4"/>
      <c r="O33" s="4"/>
      <c r="P33" s="3" t="s">
        <v>102</v>
      </c>
      <c r="Q33" s="1" t="e">
        <f t="shared" si="1"/>
        <v>#REF!</v>
      </c>
    </row>
    <row r="34" spans="1:17" ht="12" customHeight="1" outlineLevel="2" x14ac:dyDescent="0.35">
      <c r="A34" s="2" t="str">
        <f t="shared" si="2"/>
        <v>CC415B</v>
      </c>
      <c r="B34" s="1">
        <v>2</v>
      </c>
      <c r="C34" s="1" t="s">
        <v>19</v>
      </c>
      <c r="D34" s="2" t="s">
        <v>30</v>
      </c>
      <c r="E34" s="6" t="s">
        <v>81</v>
      </c>
      <c r="F34" s="7" t="s">
        <v>68</v>
      </c>
      <c r="G34" s="2" t="s">
        <v>22</v>
      </c>
      <c r="H34" s="7" t="s">
        <v>397</v>
      </c>
      <c r="L34" s="1" t="s">
        <v>1008</v>
      </c>
      <c r="M34" s="2" t="s">
        <v>82</v>
      </c>
      <c r="P34" s="2" t="s">
        <v>70</v>
      </c>
      <c r="Q34" s="1" t="e">
        <f t="shared" si="1"/>
        <v>#REF!</v>
      </c>
    </row>
    <row r="35" spans="1:17" ht="12" customHeight="1" outlineLevel="2" x14ac:dyDescent="0.35">
      <c r="A35" s="2" t="str">
        <f t="shared" si="2"/>
        <v>CC415B</v>
      </c>
      <c r="B35" s="1">
        <v>2</v>
      </c>
      <c r="C35" s="1" t="s">
        <v>19</v>
      </c>
      <c r="D35" s="2" t="s">
        <v>30</v>
      </c>
      <c r="E35" s="6" t="s">
        <v>4</v>
      </c>
      <c r="F35" s="7" t="s">
        <v>83</v>
      </c>
      <c r="G35" s="2" t="s">
        <v>396</v>
      </c>
      <c r="H35" s="14"/>
      <c r="I35" s="2" t="s">
        <v>401</v>
      </c>
      <c r="L35" s="1" t="s">
        <v>1009</v>
      </c>
      <c r="M35" s="2" t="s">
        <v>84</v>
      </c>
      <c r="P35" s="2" t="s">
        <v>85</v>
      </c>
      <c r="Q35" s="1" t="e">
        <f>IF($B35=0,$M35,_xlfn.TEXTBEFORE(#REF!,"/",$B35,,,#REF!)&amp;"/"&amp;$M35)&amp;IF(_xlfn.TEXTAFTER($D35,"..",,,,1)&lt;&gt;"1","[0]","")</f>
        <v>#REF!</v>
      </c>
    </row>
    <row r="36" spans="1:17" ht="12" customHeight="1" outlineLevel="2" x14ac:dyDescent="0.35">
      <c r="A36" s="3" t="str">
        <f t="shared" si="2"/>
        <v>CC415B</v>
      </c>
      <c r="B36" s="4">
        <v>2</v>
      </c>
      <c r="C36" s="3" t="s">
        <v>24</v>
      </c>
      <c r="D36" s="3" t="s">
        <v>30</v>
      </c>
      <c r="E36" s="8" t="s">
        <v>86</v>
      </c>
      <c r="F36" s="4"/>
      <c r="G36" s="3" t="s">
        <v>396</v>
      </c>
      <c r="H36" s="15"/>
      <c r="I36" s="3" t="s">
        <v>401</v>
      </c>
      <c r="J36" s="4"/>
      <c r="K36" s="4"/>
      <c r="L36" s="4" t="s">
        <v>1010</v>
      </c>
      <c r="M36" s="3" t="s">
        <v>86</v>
      </c>
      <c r="N36" s="4"/>
      <c r="O36" s="4"/>
      <c r="P36" s="3" t="s">
        <v>87</v>
      </c>
      <c r="Q36" s="1" t="e">
        <f t="shared" si="1"/>
        <v>#REF!</v>
      </c>
    </row>
    <row r="37" spans="1:17" ht="12" customHeight="1" outlineLevel="3" x14ac:dyDescent="0.35">
      <c r="A37" s="2" t="str">
        <f t="shared" si="2"/>
        <v>CC415B</v>
      </c>
      <c r="B37" s="1">
        <v>3</v>
      </c>
      <c r="C37" s="1" t="s">
        <v>19</v>
      </c>
      <c r="D37" s="2" t="s">
        <v>25</v>
      </c>
      <c r="E37" s="9" t="s">
        <v>88</v>
      </c>
      <c r="F37" s="7" t="s">
        <v>83</v>
      </c>
      <c r="G37" s="2" t="s">
        <v>27</v>
      </c>
      <c r="H37" s="14"/>
      <c r="L37" s="1" t="s">
        <v>1011</v>
      </c>
      <c r="M37" s="2" t="s">
        <v>89</v>
      </c>
      <c r="P37" s="2" t="s">
        <v>90</v>
      </c>
      <c r="Q37" s="1" t="e">
        <f t="shared" si="1"/>
        <v>#REF!</v>
      </c>
    </row>
    <row r="38" spans="1:17" ht="12" customHeight="1" outlineLevel="3" x14ac:dyDescent="0.35">
      <c r="A38" s="2" t="str">
        <f t="shared" si="2"/>
        <v>CC415B</v>
      </c>
      <c r="B38" s="1">
        <v>3</v>
      </c>
      <c r="C38" s="1" t="s">
        <v>19</v>
      </c>
      <c r="D38" s="2" t="s">
        <v>30</v>
      </c>
      <c r="E38" s="9" t="s">
        <v>91</v>
      </c>
      <c r="F38" s="7" t="s">
        <v>92</v>
      </c>
      <c r="G38" s="2" t="s">
        <v>396</v>
      </c>
      <c r="H38" s="14"/>
      <c r="I38" s="2" t="s">
        <v>402</v>
      </c>
      <c r="L38" s="1" t="s">
        <v>1012</v>
      </c>
      <c r="M38" s="2" t="s">
        <v>93</v>
      </c>
      <c r="P38" s="2" t="s">
        <v>94</v>
      </c>
      <c r="Q38" s="1" t="e">
        <f t="shared" si="1"/>
        <v>#REF!</v>
      </c>
    </row>
    <row r="39" spans="1:17" ht="12" customHeight="1" outlineLevel="3" x14ac:dyDescent="0.35">
      <c r="A39" s="2" t="str">
        <f t="shared" si="2"/>
        <v>CC415B</v>
      </c>
      <c r="B39" s="1">
        <v>3</v>
      </c>
      <c r="C39" s="1" t="s">
        <v>19</v>
      </c>
      <c r="D39" s="2" t="s">
        <v>25</v>
      </c>
      <c r="E39" s="9" t="s">
        <v>95</v>
      </c>
      <c r="F39" s="7" t="s">
        <v>96</v>
      </c>
      <c r="G39" s="2" t="s">
        <v>27</v>
      </c>
      <c r="H39" s="14"/>
      <c r="L39" s="1" t="s">
        <v>1013</v>
      </c>
      <c r="M39" s="2" t="s">
        <v>97</v>
      </c>
      <c r="P39" s="2" t="s">
        <v>98</v>
      </c>
      <c r="Q39" s="1" t="e">
        <f t="shared" si="1"/>
        <v>#REF!</v>
      </c>
    </row>
    <row r="40" spans="1:17" ht="12" customHeight="1" outlineLevel="3" x14ac:dyDescent="0.35">
      <c r="A40" s="2" t="str">
        <f t="shared" si="2"/>
        <v>CC415B</v>
      </c>
      <c r="B40" s="1">
        <v>3</v>
      </c>
      <c r="C40" s="1" t="s">
        <v>19</v>
      </c>
      <c r="D40" s="2" t="s">
        <v>25</v>
      </c>
      <c r="E40" s="9" t="s">
        <v>99</v>
      </c>
      <c r="F40" s="7" t="s">
        <v>50</v>
      </c>
      <c r="G40" s="2" t="s">
        <v>27</v>
      </c>
      <c r="H40" s="14"/>
      <c r="J40" s="2" t="s">
        <v>403</v>
      </c>
      <c r="L40" s="1" t="s">
        <v>1014</v>
      </c>
      <c r="M40" s="2" t="s">
        <v>100</v>
      </c>
      <c r="P40" s="2" t="s">
        <v>52</v>
      </c>
      <c r="Q40" s="1" t="e">
        <f t="shared" si="1"/>
        <v>#REF!</v>
      </c>
    </row>
    <row r="41" spans="1:17" ht="12" customHeight="1" outlineLevel="2" x14ac:dyDescent="0.35">
      <c r="A41" s="3" t="str">
        <f t="shared" si="2"/>
        <v>CC415B</v>
      </c>
      <c r="B41" s="4">
        <v>2</v>
      </c>
      <c r="C41" s="3" t="s">
        <v>24</v>
      </c>
      <c r="D41" s="3" t="s">
        <v>30</v>
      </c>
      <c r="E41" s="8" t="s">
        <v>105</v>
      </c>
      <c r="F41" s="4"/>
      <c r="G41" s="3" t="s">
        <v>22</v>
      </c>
      <c r="H41" s="16" t="s">
        <v>409</v>
      </c>
      <c r="I41" s="4"/>
      <c r="J41" s="4"/>
      <c r="K41" s="4"/>
      <c r="L41" s="4" t="s">
        <v>1015</v>
      </c>
      <c r="M41" s="3" t="s">
        <v>106</v>
      </c>
      <c r="N41" s="4"/>
      <c r="O41" s="4"/>
      <c r="P41" s="3" t="s">
        <v>107</v>
      </c>
      <c r="Q41" s="1" t="e">
        <f t="shared" si="1"/>
        <v>#REF!</v>
      </c>
    </row>
    <row r="42" spans="1:17" ht="12" customHeight="1" outlineLevel="3" x14ac:dyDescent="0.35">
      <c r="A42" s="2" t="str">
        <f t="shared" si="2"/>
        <v>CC415B</v>
      </c>
      <c r="B42" s="1">
        <v>3</v>
      </c>
      <c r="C42" s="1" t="s">
        <v>19</v>
      </c>
      <c r="D42" s="2" t="s">
        <v>25</v>
      </c>
      <c r="E42" s="9" t="s">
        <v>4</v>
      </c>
      <c r="F42" s="7" t="s">
        <v>83</v>
      </c>
      <c r="G42" s="2" t="s">
        <v>27</v>
      </c>
      <c r="H42" s="14"/>
      <c r="L42" s="1" t="s">
        <v>1030</v>
      </c>
      <c r="M42" s="2" t="s">
        <v>84</v>
      </c>
      <c r="P42" s="2" t="s">
        <v>85</v>
      </c>
      <c r="Q42" s="1" t="e">
        <f t="shared" si="1"/>
        <v>#REF!</v>
      </c>
    </row>
    <row r="43" spans="1:17" ht="12" customHeight="1" outlineLevel="3" x14ac:dyDescent="0.35">
      <c r="A43" s="2" t="str">
        <f t="shared" ref="A43:A72" si="3">$E$2</f>
        <v>CC415B</v>
      </c>
      <c r="B43" s="1">
        <v>3</v>
      </c>
      <c r="C43" s="1" t="s">
        <v>19</v>
      </c>
      <c r="D43" s="2" t="s">
        <v>25</v>
      </c>
      <c r="E43" s="9" t="s">
        <v>108</v>
      </c>
      <c r="F43" s="7" t="s">
        <v>96</v>
      </c>
      <c r="G43" s="2" t="s">
        <v>27</v>
      </c>
      <c r="H43" s="14"/>
      <c r="L43" s="1" t="s">
        <v>1031</v>
      </c>
      <c r="M43" s="2" t="s">
        <v>109</v>
      </c>
      <c r="P43" s="2" t="s">
        <v>110</v>
      </c>
      <c r="Q43" s="1" t="e">
        <f t="shared" si="1"/>
        <v>#REF!</v>
      </c>
    </row>
    <row r="44" spans="1:17" ht="12" customHeight="1" outlineLevel="3" x14ac:dyDescent="0.35">
      <c r="A44" s="2" t="str">
        <f t="shared" si="3"/>
        <v>CC415B</v>
      </c>
      <c r="B44" s="1">
        <v>3</v>
      </c>
      <c r="C44" s="1" t="s">
        <v>19</v>
      </c>
      <c r="D44" s="2" t="s">
        <v>25</v>
      </c>
      <c r="E44" s="9" t="s">
        <v>111</v>
      </c>
      <c r="F44" s="7" t="s">
        <v>112</v>
      </c>
      <c r="G44" s="2" t="s">
        <v>27</v>
      </c>
      <c r="H44" s="14"/>
      <c r="L44" s="1" t="s">
        <v>1032</v>
      </c>
      <c r="M44" s="2" t="s">
        <v>113</v>
      </c>
      <c r="P44" s="2" t="s">
        <v>114</v>
      </c>
      <c r="Q44" s="1" t="e">
        <f t="shared" si="1"/>
        <v>#REF!</v>
      </c>
    </row>
    <row r="45" spans="1:17" ht="12" customHeight="1" outlineLevel="1" x14ac:dyDescent="0.35">
      <c r="A45" s="3" t="str">
        <f t="shared" si="3"/>
        <v>CC415B</v>
      </c>
      <c r="B45" s="4">
        <v>1</v>
      </c>
      <c r="C45" s="3" t="s">
        <v>24</v>
      </c>
      <c r="D45" s="3" t="s">
        <v>30</v>
      </c>
      <c r="E45" s="5" t="s">
        <v>115</v>
      </c>
      <c r="F45" s="4"/>
      <c r="G45" s="3" t="s">
        <v>396</v>
      </c>
      <c r="H45" s="16" t="s">
        <v>397</v>
      </c>
      <c r="I45" s="3" t="s">
        <v>404</v>
      </c>
      <c r="J45" s="4"/>
      <c r="K45" s="4"/>
      <c r="L45" s="4" t="s">
        <v>1016</v>
      </c>
      <c r="M45" s="3" t="s">
        <v>116</v>
      </c>
      <c r="N45" s="4"/>
      <c r="O45" s="4"/>
      <c r="P45" s="3" t="s">
        <v>117</v>
      </c>
      <c r="Q45" s="1" t="e">
        <f t="shared" si="1"/>
        <v>#REF!</v>
      </c>
    </row>
    <row r="46" spans="1:17" ht="12" customHeight="1" outlineLevel="2" x14ac:dyDescent="0.35">
      <c r="A46" s="2" t="str">
        <f t="shared" si="3"/>
        <v>CC415B</v>
      </c>
      <c r="B46" s="1">
        <v>2</v>
      </c>
      <c r="C46" s="1" t="s">
        <v>19</v>
      </c>
      <c r="D46" s="2" t="s">
        <v>25</v>
      </c>
      <c r="E46" s="6" t="s">
        <v>81</v>
      </c>
      <c r="F46" s="7" t="s">
        <v>68</v>
      </c>
      <c r="G46" s="2" t="s">
        <v>27</v>
      </c>
      <c r="H46" s="14"/>
      <c r="L46" s="1" t="s">
        <v>1017</v>
      </c>
      <c r="M46" s="2" t="s">
        <v>82</v>
      </c>
      <c r="P46" s="2" t="s">
        <v>70</v>
      </c>
      <c r="Q46" s="1" t="e">
        <f t="shared" si="1"/>
        <v>#REF!</v>
      </c>
    </row>
    <row r="47" spans="1:17" ht="12" customHeight="1" outlineLevel="1" x14ac:dyDescent="0.35">
      <c r="A47" s="3" t="str">
        <f t="shared" si="3"/>
        <v>CC415B</v>
      </c>
      <c r="B47" s="4">
        <v>1</v>
      </c>
      <c r="C47" s="3" t="s">
        <v>24</v>
      </c>
      <c r="D47" s="3" t="s">
        <v>30</v>
      </c>
      <c r="E47" s="5" t="s">
        <v>118</v>
      </c>
      <c r="F47" s="4"/>
      <c r="G47" s="3" t="s">
        <v>396</v>
      </c>
      <c r="H47" s="16" t="s">
        <v>397</v>
      </c>
      <c r="I47" s="3" t="s">
        <v>405</v>
      </c>
      <c r="J47" s="4"/>
      <c r="K47" s="4"/>
      <c r="L47" s="4" t="s">
        <v>1201</v>
      </c>
      <c r="M47" s="3" t="s">
        <v>119</v>
      </c>
      <c r="N47" s="4"/>
      <c r="O47" s="4"/>
      <c r="P47" s="3" t="s">
        <v>120</v>
      </c>
      <c r="Q47" s="1" t="e">
        <f t="shared" si="1"/>
        <v>#REF!</v>
      </c>
    </row>
    <row r="48" spans="1:17" ht="12" customHeight="1" outlineLevel="2" x14ac:dyDescent="0.35">
      <c r="A48" s="2" t="str">
        <f t="shared" si="3"/>
        <v>CC415B</v>
      </c>
      <c r="B48" s="1">
        <v>2</v>
      </c>
      <c r="C48" s="1" t="s">
        <v>19</v>
      </c>
      <c r="D48" s="2" t="s">
        <v>25</v>
      </c>
      <c r="E48" s="6" t="s">
        <v>81</v>
      </c>
      <c r="F48" s="7" t="s">
        <v>68</v>
      </c>
      <c r="G48" s="2" t="s">
        <v>27</v>
      </c>
      <c r="H48" s="14"/>
      <c r="L48" s="1" t="s">
        <v>1202</v>
      </c>
      <c r="M48" s="2" t="s">
        <v>82</v>
      </c>
      <c r="P48" s="2" t="s">
        <v>70</v>
      </c>
      <c r="Q48" s="1" t="e">
        <f t="shared" si="1"/>
        <v>#REF!</v>
      </c>
    </row>
    <row r="49" spans="1:17" ht="12" customHeight="1" outlineLevel="1" x14ac:dyDescent="0.35">
      <c r="A49" s="3" t="str">
        <f t="shared" si="3"/>
        <v>CC415B</v>
      </c>
      <c r="B49" s="4">
        <v>1</v>
      </c>
      <c r="C49" s="3" t="s">
        <v>24</v>
      </c>
      <c r="D49" s="3" t="s">
        <v>30</v>
      </c>
      <c r="E49" s="5" t="s">
        <v>121</v>
      </c>
      <c r="F49" s="4"/>
      <c r="G49" s="3" t="s">
        <v>22</v>
      </c>
      <c r="H49" s="15" t="s">
        <v>440</v>
      </c>
      <c r="I49" s="4"/>
      <c r="J49" s="4"/>
      <c r="K49" s="4"/>
      <c r="L49" s="4" t="s">
        <v>1018</v>
      </c>
      <c r="M49" s="3" t="s">
        <v>121</v>
      </c>
      <c r="N49" s="4"/>
      <c r="O49" s="4"/>
      <c r="P49" s="3" t="s">
        <v>122</v>
      </c>
      <c r="Q49" s="1" t="e">
        <f t="shared" si="1"/>
        <v>#REF!</v>
      </c>
    </row>
    <row r="50" spans="1:17" ht="12" customHeight="1" outlineLevel="2" x14ac:dyDescent="0.35">
      <c r="A50" s="2" t="str">
        <f t="shared" si="3"/>
        <v>CC415B</v>
      </c>
      <c r="B50" s="1">
        <v>2</v>
      </c>
      <c r="C50" s="1" t="s">
        <v>19</v>
      </c>
      <c r="D50" s="2" t="s">
        <v>25</v>
      </c>
      <c r="E50" s="6" t="s">
        <v>81</v>
      </c>
      <c r="F50" s="7" t="s">
        <v>68</v>
      </c>
      <c r="G50" s="2" t="s">
        <v>27</v>
      </c>
      <c r="H50" s="7" t="s">
        <v>406</v>
      </c>
      <c r="L50" s="1" t="s">
        <v>1019</v>
      </c>
      <c r="M50" s="2" t="s">
        <v>82</v>
      </c>
      <c r="P50" s="2" t="s">
        <v>70</v>
      </c>
      <c r="Q50" s="1" t="e">
        <f t="shared" si="1"/>
        <v>#REF!</v>
      </c>
    </row>
    <row r="51" spans="1:17" ht="12" customHeight="1" outlineLevel="2" x14ac:dyDescent="0.35">
      <c r="A51" s="2" t="str">
        <f t="shared" si="3"/>
        <v>CC415B</v>
      </c>
      <c r="B51" s="1">
        <v>2</v>
      </c>
      <c r="C51" s="1" t="s">
        <v>19</v>
      </c>
      <c r="D51" s="2" t="s">
        <v>25</v>
      </c>
      <c r="E51" s="6" t="s">
        <v>6</v>
      </c>
      <c r="F51" s="7" t="s">
        <v>123</v>
      </c>
      <c r="G51" s="2" t="s">
        <v>27</v>
      </c>
      <c r="H51" s="7" t="s">
        <v>407</v>
      </c>
      <c r="J51" s="2" t="s">
        <v>408</v>
      </c>
      <c r="L51" s="1" t="s">
        <v>1020</v>
      </c>
      <c r="M51" s="2" t="s">
        <v>124</v>
      </c>
      <c r="P51" s="2" t="s">
        <v>125</v>
      </c>
      <c r="Q51" s="1" t="e">
        <f>IF($B51=0,$M51,_xlfn.TEXTBEFORE(#REF!,"/",$B51,,,#REF!)&amp;"/"&amp;$M51)&amp;IF(_xlfn.TEXTAFTER($D51,"..",,,,1)&lt;&gt;"1","[0]","")</f>
        <v>#REF!</v>
      </c>
    </row>
    <row r="52" spans="1:17" ht="12" customHeight="1" outlineLevel="2" x14ac:dyDescent="0.35">
      <c r="A52" s="3" t="str">
        <f t="shared" si="3"/>
        <v>CC415B</v>
      </c>
      <c r="B52" s="4">
        <v>2</v>
      </c>
      <c r="C52" s="3" t="s">
        <v>24</v>
      </c>
      <c r="D52" s="3" t="s">
        <v>30</v>
      </c>
      <c r="E52" s="8" t="s">
        <v>105</v>
      </c>
      <c r="F52" s="4"/>
      <c r="G52" s="3" t="s">
        <v>22</v>
      </c>
      <c r="H52" s="16" t="s">
        <v>409</v>
      </c>
      <c r="I52" s="4"/>
      <c r="J52" s="4"/>
      <c r="K52" s="4"/>
      <c r="L52" s="4" t="s">
        <v>1021</v>
      </c>
      <c r="M52" s="3" t="s">
        <v>106</v>
      </c>
      <c r="N52" s="4"/>
      <c r="O52" s="4"/>
      <c r="P52" s="3" t="s">
        <v>107</v>
      </c>
      <c r="Q52" s="1" t="e">
        <f t="shared" si="1"/>
        <v>#REF!</v>
      </c>
    </row>
    <row r="53" spans="1:17" ht="12" customHeight="1" outlineLevel="3" x14ac:dyDescent="0.35">
      <c r="A53" s="2" t="str">
        <f t="shared" si="3"/>
        <v>CC415B</v>
      </c>
      <c r="B53" s="1">
        <v>3</v>
      </c>
      <c r="C53" s="1" t="s">
        <v>19</v>
      </c>
      <c r="D53" s="2" t="s">
        <v>25</v>
      </c>
      <c r="E53" s="9" t="s">
        <v>4</v>
      </c>
      <c r="F53" s="7" t="s">
        <v>83</v>
      </c>
      <c r="G53" s="2" t="s">
        <v>27</v>
      </c>
      <c r="H53" s="14"/>
      <c r="L53" s="1" t="s">
        <v>1033</v>
      </c>
      <c r="M53" s="2" t="s">
        <v>84</v>
      </c>
      <c r="P53" s="2" t="s">
        <v>85</v>
      </c>
      <c r="Q53" s="1" t="e">
        <f t="shared" si="1"/>
        <v>#REF!</v>
      </c>
    </row>
    <row r="54" spans="1:17" ht="12" customHeight="1" outlineLevel="3" x14ac:dyDescent="0.35">
      <c r="A54" s="2" t="str">
        <f t="shared" si="3"/>
        <v>CC415B</v>
      </c>
      <c r="B54" s="1">
        <v>3</v>
      </c>
      <c r="C54" s="1" t="s">
        <v>19</v>
      </c>
      <c r="D54" s="2" t="s">
        <v>25</v>
      </c>
      <c r="E54" s="9" t="s">
        <v>108</v>
      </c>
      <c r="F54" s="7" t="s">
        <v>96</v>
      </c>
      <c r="G54" s="2" t="s">
        <v>27</v>
      </c>
      <c r="H54" s="14"/>
      <c r="L54" s="1" t="s">
        <v>1034</v>
      </c>
      <c r="M54" s="2" t="s">
        <v>109</v>
      </c>
      <c r="P54" s="2" t="s">
        <v>110</v>
      </c>
      <c r="Q54" s="1" t="e">
        <f t="shared" si="1"/>
        <v>#REF!</v>
      </c>
    </row>
    <row r="55" spans="1:17" ht="12" customHeight="1" outlineLevel="3" x14ac:dyDescent="0.35">
      <c r="A55" s="2" t="str">
        <f t="shared" si="3"/>
        <v>CC415B</v>
      </c>
      <c r="B55" s="1">
        <v>3</v>
      </c>
      <c r="C55" s="1" t="s">
        <v>19</v>
      </c>
      <c r="D55" s="2" t="s">
        <v>25</v>
      </c>
      <c r="E55" s="9" t="s">
        <v>111</v>
      </c>
      <c r="F55" s="7" t="s">
        <v>112</v>
      </c>
      <c r="G55" s="2" t="s">
        <v>27</v>
      </c>
      <c r="H55" s="14"/>
      <c r="L55" s="1" t="s">
        <v>1035</v>
      </c>
      <c r="M55" s="2" t="s">
        <v>113</v>
      </c>
      <c r="P55" s="2" t="s">
        <v>114</v>
      </c>
      <c r="Q55" s="1" t="e">
        <f t="shared" si="1"/>
        <v>#REF!</v>
      </c>
    </row>
    <row r="56" spans="1:17" ht="12" customHeight="1" outlineLevel="1" x14ac:dyDescent="0.35">
      <c r="A56" s="3" t="str">
        <f t="shared" si="3"/>
        <v>CC415B</v>
      </c>
      <c r="B56" s="4">
        <v>1</v>
      </c>
      <c r="C56" s="3" t="s">
        <v>24</v>
      </c>
      <c r="D56" s="3" t="s">
        <v>53</v>
      </c>
      <c r="E56" s="5" t="s">
        <v>126</v>
      </c>
      <c r="F56" s="4"/>
      <c r="G56" s="3" t="s">
        <v>396</v>
      </c>
      <c r="H56" s="16" t="s">
        <v>410</v>
      </c>
      <c r="I56" s="16" t="s">
        <v>411</v>
      </c>
      <c r="J56" s="4"/>
      <c r="K56" s="4"/>
      <c r="L56" s="4"/>
      <c r="M56" s="3" t="s">
        <v>126</v>
      </c>
      <c r="N56" s="4"/>
      <c r="O56" s="4"/>
      <c r="P56" s="3" t="s">
        <v>127</v>
      </c>
      <c r="Q56" s="1" t="e">
        <f t="shared" si="1"/>
        <v>#REF!</v>
      </c>
    </row>
    <row r="57" spans="1:17" ht="12" customHeight="1" outlineLevel="2" x14ac:dyDescent="0.35">
      <c r="A57" s="2" t="str">
        <f t="shared" si="3"/>
        <v>CC415B</v>
      </c>
      <c r="B57" s="1">
        <v>2</v>
      </c>
      <c r="C57" s="1" t="s">
        <v>19</v>
      </c>
      <c r="D57" s="2" t="s">
        <v>25</v>
      </c>
      <c r="E57" s="6" t="s">
        <v>56</v>
      </c>
      <c r="F57" s="7" t="s">
        <v>57</v>
      </c>
      <c r="G57" s="2" t="s">
        <v>27</v>
      </c>
      <c r="H57" s="7" t="s">
        <v>393</v>
      </c>
      <c r="M57" s="2" t="s">
        <v>58</v>
      </c>
      <c r="P57" s="2" t="s">
        <v>59</v>
      </c>
      <c r="Q57" s="1" t="e">
        <f t="shared" si="1"/>
        <v>#REF!</v>
      </c>
    </row>
    <row r="58" spans="1:17" ht="12" customHeight="1" outlineLevel="2" x14ac:dyDescent="0.35">
      <c r="A58" s="2" t="str">
        <f t="shared" si="3"/>
        <v>CC415B</v>
      </c>
      <c r="B58" s="1">
        <v>2</v>
      </c>
      <c r="C58" s="1" t="s">
        <v>19</v>
      </c>
      <c r="D58" s="2" t="s">
        <v>25</v>
      </c>
      <c r="E58" s="6" t="s">
        <v>128</v>
      </c>
      <c r="F58" s="7" t="s">
        <v>129</v>
      </c>
      <c r="G58" s="2" t="s">
        <v>27</v>
      </c>
      <c r="H58" s="14"/>
      <c r="J58" s="2" t="s">
        <v>412</v>
      </c>
      <c r="L58" s="1" t="s">
        <v>1022</v>
      </c>
      <c r="M58" s="2" t="s">
        <v>130</v>
      </c>
      <c r="P58" s="2" t="s">
        <v>131</v>
      </c>
      <c r="Q58" s="1" t="e">
        <f t="shared" si="1"/>
        <v>#REF!</v>
      </c>
    </row>
    <row r="59" spans="1:17" ht="12" customHeight="1" outlineLevel="2" x14ac:dyDescent="0.35">
      <c r="A59" s="3" t="str">
        <f t="shared" si="3"/>
        <v>CC415B</v>
      </c>
      <c r="B59" s="4">
        <v>2</v>
      </c>
      <c r="C59" s="3" t="s">
        <v>24</v>
      </c>
      <c r="D59" s="3" t="s">
        <v>134</v>
      </c>
      <c r="E59" s="8" t="s">
        <v>135</v>
      </c>
      <c r="F59" s="4"/>
      <c r="G59" s="3" t="s">
        <v>27</v>
      </c>
      <c r="H59" s="15"/>
      <c r="I59" s="4"/>
      <c r="J59" s="4"/>
      <c r="K59" s="4"/>
      <c r="L59" s="4" t="s">
        <v>1203</v>
      </c>
      <c r="M59" s="3" t="s">
        <v>136</v>
      </c>
      <c r="N59" s="4"/>
      <c r="O59" s="4"/>
      <c r="P59" s="3" t="s">
        <v>137</v>
      </c>
      <c r="Q59" s="1" t="e">
        <f>IF($B59=0,$M59,_xlfn.TEXTBEFORE(#REF!,"/",$B59,,,#REF!)&amp;"/"&amp;$M59)&amp;IF(_xlfn.TEXTAFTER($D59,"..",,,,1)&lt;&gt;"1","[0]","")</f>
        <v>#REF!</v>
      </c>
    </row>
    <row r="60" spans="1:17" ht="12" customHeight="1" outlineLevel="3" x14ac:dyDescent="0.35">
      <c r="A60" s="2" t="str">
        <f t="shared" si="3"/>
        <v>CC415B</v>
      </c>
      <c r="B60" s="1">
        <v>3</v>
      </c>
      <c r="C60" s="1" t="s">
        <v>19</v>
      </c>
      <c r="D60" s="2" t="s">
        <v>25</v>
      </c>
      <c r="E60" s="9" t="s">
        <v>56</v>
      </c>
      <c r="F60" s="7" t="s">
        <v>57</v>
      </c>
      <c r="G60" s="2" t="s">
        <v>27</v>
      </c>
      <c r="H60" s="7" t="s">
        <v>393</v>
      </c>
      <c r="M60" s="2" t="s">
        <v>58</v>
      </c>
      <c r="P60" s="2" t="s">
        <v>59</v>
      </c>
      <c r="Q60" s="1" t="e">
        <f t="shared" si="1"/>
        <v>#REF!</v>
      </c>
    </row>
    <row r="61" spans="1:17" ht="12" customHeight="1" outlineLevel="3" x14ac:dyDescent="0.35">
      <c r="A61" s="2" t="str">
        <f t="shared" si="3"/>
        <v>CC415B</v>
      </c>
      <c r="B61" s="1">
        <v>3</v>
      </c>
      <c r="C61" s="1" t="s">
        <v>19</v>
      </c>
      <c r="D61" s="2" t="s">
        <v>30</v>
      </c>
      <c r="E61" s="9" t="s">
        <v>138</v>
      </c>
      <c r="F61" s="7" t="s">
        <v>139</v>
      </c>
      <c r="G61" s="2" t="s">
        <v>396</v>
      </c>
      <c r="H61" s="14"/>
      <c r="I61" s="2" t="s">
        <v>413</v>
      </c>
      <c r="L61" s="1" t="s">
        <v>1023</v>
      </c>
      <c r="M61" s="2" t="s">
        <v>140</v>
      </c>
      <c r="P61" s="2" t="s">
        <v>141</v>
      </c>
      <c r="Q61" s="1" t="e">
        <f t="shared" si="1"/>
        <v>#REF!</v>
      </c>
    </row>
    <row r="62" spans="1:17" ht="12" customHeight="1" outlineLevel="3" x14ac:dyDescent="0.35">
      <c r="A62" s="2" t="str">
        <f t="shared" si="3"/>
        <v>CC415B</v>
      </c>
      <c r="B62" s="1">
        <v>3</v>
      </c>
      <c r="C62" s="1" t="s">
        <v>19</v>
      </c>
      <c r="D62" s="2" t="s">
        <v>30</v>
      </c>
      <c r="E62" s="9" t="s">
        <v>142</v>
      </c>
      <c r="F62" s="7" t="s">
        <v>50</v>
      </c>
      <c r="G62" s="2" t="s">
        <v>396</v>
      </c>
      <c r="H62" s="7" t="s">
        <v>414</v>
      </c>
      <c r="I62" s="2" t="s">
        <v>415</v>
      </c>
      <c r="J62" s="2" t="s">
        <v>416</v>
      </c>
      <c r="M62" s="2" t="s">
        <v>143</v>
      </c>
      <c r="P62" s="2" t="s">
        <v>52</v>
      </c>
      <c r="Q62" s="1" t="e">
        <f t="shared" si="1"/>
        <v>#REF!</v>
      </c>
    </row>
    <row r="63" spans="1:17" ht="12" customHeight="1" outlineLevel="3" x14ac:dyDescent="0.35">
      <c r="A63" s="2" t="str">
        <f t="shared" si="3"/>
        <v>CC415B</v>
      </c>
      <c r="B63" s="1">
        <v>3</v>
      </c>
      <c r="C63" s="1" t="s">
        <v>19</v>
      </c>
      <c r="D63" s="2" t="s">
        <v>30</v>
      </c>
      <c r="E63" s="9" t="s">
        <v>144</v>
      </c>
      <c r="F63" s="7" t="s">
        <v>60</v>
      </c>
      <c r="G63" s="2" t="s">
        <v>22</v>
      </c>
      <c r="H63" s="7" t="s">
        <v>417</v>
      </c>
      <c r="L63" s="1" t="s">
        <v>1024</v>
      </c>
      <c r="M63" s="2" t="s">
        <v>145</v>
      </c>
      <c r="P63" s="2" t="s">
        <v>146</v>
      </c>
      <c r="Q63" s="1" t="e">
        <f t="shared" si="1"/>
        <v>#REF!</v>
      </c>
    </row>
    <row r="64" spans="1:17" ht="12" customHeight="1" outlineLevel="3" x14ac:dyDescent="0.35">
      <c r="A64" s="2" t="str">
        <f t="shared" si="3"/>
        <v>CC415B</v>
      </c>
      <c r="B64" s="1">
        <v>3</v>
      </c>
      <c r="C64" s="1" t="s">
        <v>19</v>
      </c>
      <c r="D64" s="2" t="s">
        <v>25</v>
      </c>
      <c r="E64" s="9" t="s">
        <v>147</v>
      </c>
      <c r="F64" s="7" t="s">
        <v>148</v>
      </c>
      <c r="G64" s="2" t="s">
        <v>27</v>
      </c>
      <c r="H64" s="14"/>
      <c r="J64" s="2" t="s">
        <v>418</v>
      </c>
      <c r="L64" s="1" t="s">
        <v>1036</v>
      </c>
      <c r="M64" s="2" t="s">
        <v>149</v>
      </c>
      <c r="P64" s="2" t="s">
        <v>150</v>
      </c>
      <c r="Q64" s="1" t="e">
        <f t="shared" ref="Q64:Q118" si="4">IF($B64=0,$M64,_xlfn.TEXTBEFORE(Q63,"/",$B64,,,Q63)&amp;"/"&amp;$M64)&amp;IF(_xlfn.TEXTAFTER($D64,"..",,,,1)&lt;&gt;"1","[0]","")</f>
        <v>#REF!</v>
      </c>
    </row>
    <row r="65" spans="1:17" ht="12" customHeight="1" outlineLevel="3" x14ac:dyDescent="0.35">
      <c r="A65" s="2" t="str">
        <f t="shared" si="3"/>
        <v>CC415B</v>
      </c>
      <c r="B65" s="1">
        <v>3</v>
      </c>
      <c r="C65" s="1" t="s">
        <v>19</v>
      </c>
      <c r="D65" s="2" t="s">
        <v>25</v>
      </c>
      <c r="E65" s="9" t="s">
        <v>151</v>
      </c>
      <c r="F65" s="7" t="s">
        <v>152</v>
      </c>
      <c r="G65" s="2" t="s">
        <v>27</v>
      </c>
      <c r="H65" s="7" t="s">
        <v>419</v>
      </c>
      <c r="L65" s="1" t="s">
        <v>1025</v>
      </c>
      <c r="M65" s="2" t="s">
        <v>153</v>
      </c>
      <c r="P65" s="2" t="s">
        <v>154</v>
      </c>
      <c r="Q65" s="1" t="e">
        <f t="shared" si="4"/>
        <v>#REF!</v>
      </c>
    </row>
    <row r="66" spans="1:17" ht="12" customHeight="1" outlineLevel="3" x14ac:dyDescent="0.35">
      <c r="A66" s="2" t="str">
        <f t="shared" si="3"/>
        <v>CC415B</v>
      </c>
      <c r="B66" s="1">
        <v>3</v>
      </c>
      <c r="C66" s="1" t="s">
        <v>19</v>
      </c>
      <c r="D66" s="2" t="s">
        <v>30</v>
      </c>
      <c r="E66" s="9" t="s">
        <v>155</v>
      </c>
      <c r="F66" s="7" t="s">
        <v>156</v>
      </c>
      <c r="G66" s="2" t="s">
        <v>396</v>
      </c>
      <c r="H66" s="14"/>
      <c r="I66" s="2" t="s">
        <v>415</v>
      </c>
      <c r="L66" s="1" t="s">
        <v>1028</v>
      </c>
      <c r="M66" s="2" t="s">
        <v>157</v>
      </c>
      <c r="P66" s="2" t="s">
        <v>158</v>
      </c>
      <c r="Q66" s="1" t="e">
        <f t="shared" si="4"/>
        <v>#REF!</v>
      </c>
    </row>
    <row r="67" spans="1:17" ht="12" customHeight="1" outlineLevel="3" x14ac:dyDescent="0.35">
      <c r="A67" s="3" t="str">
        <f t="shared" si="3"/>
        <v>CC415B</v>
      </c>
      <c r="B67" s="4">
        <v>3</v>
      </c>
      <c r="C67" s="3" t="s">
        <v>24</v>
      </c>
      <c r="D67" s="3" t="s">
        <v>30</v>
      </c>
      <c r="E67" s="10" t="s">
        <v>159</v>
      </c>
      <c r="F67" s="4"/>
      <c r="G67" s="3" t="s">
        <v>396</v>
      </c>
      <c r="H67" s="15"/>
      <c r="I67" s="3" t="s">
        <v>420</v>
      </c>
      <c r="J67" s="4"/>
      <c r="K67" s="4"/>
      <c r="L67" s="4" t="s">
        <v>1029</v>
      </c>
      <c r="M67" s="3" t="s">
        <v>160</v>
      </c>
      <c r="N67" s="4"/>
      <c r="O67" s="4"/>
      <c r="P67" s="3" t="s">
        <v>161</v>
      </c>
      <c r="Q67" s="1" t="e">
        <f t="shared" si="4"/>
        <v>#REF!</v>
      </c>
    </row>
    <row r="68" spans="1:17" ht="12" customHeight="1" outlineLevel="4" x14ac:dyDescent="0.35">
      <c r="A68" s="2" t="str">
        <f t="shared" si="3"/>
        <v>CC415B</v>
      </c>
      <c r="B68" s="1">
        <v>4</v>
      </c>
      <c r="C68" s="1" t="s">
        <v>19</v>
      </c>
      <c r="D68" s="2" t="s">
        <v>25</v>
      </c>
      <c r="E68" s="11" t="s">
        <v>63</v>
      </c>
      <c r="F68" s="7" t="s">
        <v>74</v>
      </c>
      <c r="G68" s="2" t="s">
        <v>27</v>
      </c>
      <c r="H68" s="14"/>
      <c r="J68" s="2" t="s">
        <v>399</v>
      </c>
      <c r="L68" s="1" t="s">
        <v>1029</v>
      </c>
      <c r="M68" s="2" t="s">
        <v>65</v>
      </c>
      <c r="P68" s="2" t="s">
        <v>75</v>
      </c>
      <c r="Q68" s="1" t="e">
        <f t="shared" si="4"/>
        <v>#REF!</v>
      </c>
    </row>
    <row r="69" spans="1:17" ht="12" customHeight="1" outlineLevel="1" x14ac:dyDescent="0.35">
      <c r="A69" s="3" t="str">
        <f t="shared" si="3"/>
        <v>CC415B</v>
      </c>
      <c r="B69" s="4">
        <v>1</v>
      </c>
      <c r="C69" s="3" t="s">
        <v>24</v>
      </c>
      <c r="D69" s="3" t="s">
        <v>30</v>
      </c>
      <c r="E69" s="5" t="s">
        <v>162</v>
      </c>
      <c r="F69" s="4"/>
      <c r="G69" s="3" t="s">
        <v>22</v>
      </c>
      <c r="H69" s="16" t="s">
        <v>444</v>
      </c>
      <c r="I69" s="4"/>
      <c r="J69" s="4"/>
      <c r="K69" s="4"/>
      <c r="L69" s="4" t="s">
        <v>1037</v>
      </c>
      <c r="M69" s="3" t="s">
        <v>163</v>
      </c>
      <c r="N69" s="4"/>
      <c r="O69" s="4"/>
      <c r="P69" s="3" t="s">
        <v>164</v>
      </c>
      <c r="Q69" s="1" t="e">
        <f t="shared" si="4"/>
        <v>#REF!</v>
      </c>
    </row>
    <row r="70" spans="1:17" ht="12" customHeight="1" outlineLevel="2" x14ac:dyDescent="0.35">
      <c r="A70" s="2" t="str">
        <f t="shared" si="3"/>
        <v>CC415B</v>
      </c>
      <c r="B70" s="1">
        <v>2</v>
      </c>
      <c r="C70" s="1" t="s">
        <v>19</v>
      </c>
      <c r="D70" s="2" t="s">
        <v>30</v>
      </c>
      <c r="E70" s="6" t="s">
        <v>165</v>
      </c>
      <c r="F70" s="7" t="s">
        <v>148</v>
      </c>
      <c r="G70" s="2" t="s">
        <v>396</v>
      </c>
      <c r="H70" s="7" t="s">
        <v>445</v>
      </c>
      <c r="I70" s="7" t="s">
        <v>446</v>
      </c>
      <c r="J70" s="2" t="s">
        <v>418</v>
      </c>
      <c r="L70" s="1" t="s">
        <v>1038</v>
      </c>
      <c r="M70" s="2" t="s">
        <v>166</v>
      </c>
      <c r="P70" s="2" t="s">
        <v>150</v>
      </c>
      <c r="Q70" s="1" t="e">
        <f t="shared" si="4"/>
        <v>#REF!</v>
      </c>
    </row>
    <row r="71" spans="1:17" ht="12" customHeight="1" outlineLevel="1" x14ac:dyDescent="0.35">
      <c r="A71" s="3" t="str">
        <f t="shared" si="3"/>
        <v>CC415B</v>
      </c>
      <c r="B71" s="4">
        <v>1</v>
      </c>
      <c r="C71" s="3" t="s">
        <v>24</v>
      </c>
      <c r="D71" s="3" t="s">
        <v>53</v>
      </c>
      <c r="E71" s="5" t="s">
        <v>167</v>
      </c>
      <c r="F71" s="4"/>
      <c r="G71" s="3" t="s">
        <v>396</v>
      </c>
      <c r="H71" s="15"/>
      <c r="I71" s="3" t="s">
        <v>421</v>
      </c>
      <c r="J71" s="4"/>
      <c r="K71" s="4"/>
      <c r="L71" s="4" t="s">
        <v>1026</v>
      </c>
      <c r="M71" s="3" t="s">
        <v>168</v>
      </c>
      <c r="N71" s="4"/>
      <c r="O71" s="4"/>
      <c r="P71" s="3" t="s">
        <v>169</v>
      </c>
      <c r="Q71" s="1" t="e">
        <f t="shared" si="4"/>
        <v>#REF!</v>
      </c>
    </row>
    <row r="72" spans="1:17" ht="12" customHeight="1" outlineLevel="2" x14ac:dyDescent="0.35">
      <c r="A72" s="2" t="str">
        <f t="shared" si="3"/>
        <v>CC415B</v>
      </c>
      <c r="B72" s="1">
        <v>2</v>
      </c>
      <c r="C72" s="1" t="s">
        <v>19</v>
      </c>
      <c r="D72" s="2" t="s">
        <v>25</v>
      </c>
      <c r="E72" s="6" t="s">
        <v>56</v>
      </c>
      <c r="F72" s="7" t="s">
        <v>57</v>
      </c>
      <c r="G72" s="2" t="s">
        <v>27</v>
      </c>
      <c r="H72" s="7" t="s">
        <v>393</v>
      </c>
      <c r="M72" s="2" t="s">
        <v>58</v>
      </c>
      <c r="P72" s="2" t="s">
        <v>59</v>
      </c>
      <c r="Q72" s="1" t="e">
        <f t="shared" si="4"/>
        <v>#REF!</v>
      </c>
    </row>
    <row r="73" spans="1:17" ht="12" customHeight="1" outlineLevel="2" x14ac:dyDescent="0.35">
      <c r="A73" s="2" t="str">
        <f t="shared" ref="A73:A104" si="5">$E$2</f>
        <v>CC415B</v>
      </c>
      <c r="B73" s="1">
        <v>2</v>
      </c>
      <c r="C73" s="1" t="s">
        <v>19</v>
      </c>
      <c r="D73" s="2" t="s">
        <v>25</v>
      </c>
      <c r="E73" s="6" t="s">
        <v>167</v>
      </c>
      <c r="F73" s="7" t="s">
        <v>156</v>
      </c>
      <c r="G73" s="2" t="s">
        <v>27</v>
      </c>
      <c r="H73" s="14"/>
      <c r="L73" s="1" t="s">
        <v>1027</v>
      </c>
      <c r="M73" s="2" t="s">
        <v>170</v>
      </c>
      <c r="P73" s="2" t="s">
        <v>171</v>
      </c>
      <c r="Q73" s="1" t="e">
        <f t="shared" si="4"/>
        <v>#REF!</v>
      </c>
    </row>
    <row r="74" spans="1:17" ht="12" customHeight="1" outlineLevel="2" x14ac:dyDescent="0.35">
      <c r="A74" s="2" t="str">
        <f t="shared" si="5"/>
        <v>CC415B</v>
      </c>
      <c r="B74" s="1">
        <v>2</v>
      </c>
      <c r="C74" s="1" t="s">
        <v>19</v>
      </c>
      <c r="D74" s="2" t="s">
        <v>30</v>
      </c>
      <c r="E74" s="6" t="s">
        <v>142</v>
      </c>
      <c r="F74" s="7" t="s">
        <v>50</v>
      </c>
      <c r="G74" s="2" t="s">
        <v>22</v>
      </c>
      <c r="H74" s="7" t="s">
        <v>414</v>
      </c>
      <c r="J74" s="2" t="s">
        <v>416</v>
      </c>
      <c r="M74" s="2" t="s">
        <v>143</v>
      </c>
      <c r="P74" s="2" t="s">
        <v>52</v>
      </c>
      <c r="Q74" s="1" t="e">
        <f t="shared" si="4"/>
        <v>#REF!</v>
      </c>
    </row>
    <row r="75" spans="1:17" ht="12" customHeight="1" outlineLevel="1" x14ac:dyDescent="0.35">
      <c r="A75" s="3" t="str">
        <f t="shared" si="5"/>
        <v>CC415B</v>
      </c>
      <c r="B75" s="4">
        <v>1</v>
      </c>
      <c r="C75" s="3" t="s">
        <v>24</v>
      </c>
      <c r="D75" s="3" t="s">
        <v>172</v>
      </c>
      <c r="E75" s="5" t="s">
        <v>173</v>
      </c>
      <c r="F75" s="4"/>
      <c r="G75" s="3" t="s">
        <v>27</v>
      </c>
      <c r="H75" s="16" t="s">
        <v>422</v>
      </c>
      <c r="I75" s="4"/>
      <c r="J75" s="4"/>
      <c r="K75" s="4"/>
      <c r="L75" s="4"/>
      <c r="M75" s="3" t="s">
        <v>174</v>
      </c>
      <c r="N75" s="4"/>
      <c r="O75" s="4"/>
      <c r="P75" s="3" t="s">
        <v>232</v>
      </c>
      <c r="Q75" s="1" t="e">
        <f t="shared" si="4"/>
        <v>#REF!</v>
      </c>
    </row>
    <row r="76" spans="1:17" ht="12" customHeight="1" outlineLevel="2" x14ac:dyDescent="0.35">
      <c r="A76" s="2" t="str">
        <f t="shared" si="5"/>
        <v>CC415B</v>
      </c>
      <c r="B76" s="1">
        <v>2</v>
      </c>
      <c r="C76" s="1" t="s">
        <v>19</v>
      </c>
      <c r="D76" s="2" t="s">
        <v>25</v>
      </c>
      <c r="E76" s="6" t="s">
        <v>56</v>
      </c>
      <c r="F76" s="7" t="s">
        <v>57</v>
      </c>
      <c r="G76" s="2" t="s">
        <v>27</v>
      </c>
      <c r="H76" s="7" t="s">
        <v>393</v>
      </c>
      <c r="M76" s="2" t="s">
        <v>58</v>
      </c>
      <c r="P76" s="2" t="s">
        <v>59</v>
      </c>
      <c r="Q76" s="1" t="e">
        <f t="shared" si="4"/>
        <v>#REF!</v>
      </c>
    </row>
    <row r="77" spans="1:17" ht="12" customHeight="1" outlineLevel="2" x14ac:dyDescent="0.35">
      <c r="A77" s="2" t="str">
        <f t="shared" si="5"/>
        <v>CC415B</v>
      </c>
      <c r="B77" s="1">
        <v>2</v>
      </c>
      <c r="C77" s="1" t="s">
        <v>19</v>
      </c>
      <c r="D77" s="2" t="s">
        <v>30</v>
      </c>
      <c r="E77" s="6" t="s">
        <v>176</v>
      </c>
      <c r="F77" s="7" t="s">
        <v>177</v>
      </c>
      <c r="G77" s="2" t="s">
        <v>396</v>
      </c>
      <c r="H77" s="7" t="s">
        <v>423</v>
      </c>
      <c r="I77" s="7" t="s">
        <v>424</v>
      </c>
      <c r="J77" s="2" t="s">
        <v>425</v>
      </c>
      <c r="L77" s="1" t="s">
        <v>1039</v>
      </c>
      <c r="M77" s="2" t="s">
        <v>178</v>
      </c>
      <c r="P77" s="2" t="s">
        <v>179</v>
      </c>
      <c r="Q77" s="1" t="e">
        <f t="shared" si="4"/>
        <v>#REF!</v>
      </c>
    </row>
    <row r="78" spans="1:17" ht="12" customHeight="1" outlineLevel="2" x14ac:dyDescent="0.35">
      <c r="A78" s="2" t="str">
        <f t="shared" si="5"/>
        <v>CC415B</v>
      </c>
      <c r="B78" s="1">
        <v>2</v>
      </c>
      <c r="C78" s="1" t="s">
        <v>19</v>
      </c>
      <c r="D78" s="2" t="s">
        <v>30</v>
      </c>
      <c r="E78" s="6" t="s">
        <v>180</v>
      </c>
      <c r="F78" s="7" t="s">
        <v>181</v>
      </c>
      <c r="G78" s="2" t="s">
        <v>396</v>
      </c>
      <c r="H78" s="14"/>
      <c r="I78" s="2" t="s">
        <v>426</v>
      </c>
      <c r="L78" s="1" t="s">
        <v>1040</v>
      </c>
      <c r="M78" s="2" t="s">
        <v>182</v>
      </c>
      <c r="P78" s="2" t="s">
        <v>183</v>
      </c>
      <c r="Q78" s="1" t="e">
        <f t="shared" si="4"/>
        <v>#REF!</v>
      </c>
    </row>
    <row r="79" spans="1:17" ht="12" customHeight="1" outlineLevel="2" x14ac:dyDescent="0.35">
      <c r="A79" s="2" t="str">
        <f t="shared" si="5"/>
        <v>CC415B</v>
      </c>
      <c r="B79" s="1">
        <v>2</v>
      </c>
      <c r="C79" s="1" t="s">
        <v>19</v>
      </c>
      <c r="D79" s="2" t="s">
        <v>30</v>
      </c>
      <c r="E79" s="6" t="s">
        <v>184</v>
      </c>
      <c r="F79" s="7" t="s">
        <v>148</v>
      </c>
      <c r="G79" s="2" t="s">
        <v>396</v>
      </c>
      <c r="H79" s="7" t="s">
        <v>447</v>
      </c>
      <c r="I79" s="2" t="s">
        <v>428</v>
      </c>
      <c r="J79" s="2" t="s">
        <v>429</v>
      </c>
      <c r="L79" s="1" t="s">
        <v>1041</v>
      </c>
      <c r="M79" s="2" t="s">
        <v>185</v>
      </c>
      <c r="P79" s="2" t="s">
        <v>150</v>
      </c>
      <c r="Q79" s="1" t="e">
        <f t="shared" si="4"/>
        <v>#REF!</v>
      </c>
    </row>
    <row r="80" spans="1:17" ht="12" customHeight="1" outlineLevel="2" x14ac:dyDescent="0.35">
      <c r="A80" s="2" t="str">
        <f t="shared" si="5"/>
        <v>CC415B</v>
      </c>
      <c r="B80" s="1">
        <v>2</v>
      </c>
      <c r="C80" s="1" t="s">
        <v>19</v>
      </c>
      <c r="D80" s="2" t="s">
        <v>30</v>
      </c>
      <c r="E80" s="6" t="s">
        <v>186</v>
      </c>
      <c r="F80" s="2" t="s">
        <v>47</v>
      </c>
      <c r="G80" s="2" t="s">
        <v>396</v>
      </c>
      <c r="H80" s="7" t="s">
        <v>430</v>
      </c>
      <c r="I80" s="2" t="s">
        <v>431</v>
      </c>
      <c r="L80" s="1" t="s">
        <v>1042</v>
      </c>
      <c r="M80" s="2" t="s">
        <v>187</v>
      </c>
      <c r="P80" s="2" t="s">
        <v>188</v>
      </c>
      <c r="Q80" s="1" t="e">
        <f t="shared" si="4"/>
        <v>#REF!</v>
      </c>
    </row>
    <row r="81" spans="1:17" ht="12" customHeight="1" outlineLevel="2" x14ac:dyDescent="0.35">
      <c r="A81" s="2" t="str">
        <f t="shared" si="5"/>
        <v>CC415B</v>
      </c>
      <c r="B81" s="1">
        <v>2</v>
      </c>
      <c r="C81" s="1" t="s">
        <v>19</v>
      </c>
      <c r="D81" s="2" t="s">
        <v>30</v>
      </c>
      <c r="E81" s="6" t="s">
        <v>189</v>
      </c>
      <c r="F81" s="7" t="s">
        <v>190</v>
      </c>
      <c r="G81" s="2" t="s">
        <v>22</v>
      </c>
      <c r="H81" s="7" t="s">
        <v>448</v>
      </c>
      <c r="M81" s="2" t="s">
        <v>191</v>
      </c>
      <c r="P81" s="2" t="s">
        <v>192</v>
      </c>
      <c r="Q81" s="1" t="e">
        <f t="shared" si="4"/>
        <v>#REF!</v>
      </c>
    </row>
    <row r="82" spans="1:17" ht="12" customHeight="1" outlineLevel="2" x14ac:dyDescent="0.35">
      <c r="A82" s="3" t="str">
        <f t="shared" si="5"/>
        <v>CC415B</v>
      </c>
      <c r="B82" s="4">
        <v>2</v>
      </c>
      <c r="C82" s="3" t="s">
        <v>24</v>
      </c>
      <c r="D82" s="3" t="s">
        <v>193</v>
      </c>
      <c r="E82" s="8" t="s">
        <v>194</v>
      </c>
      <c r="F82" s="4"/>
      <c r="G82" s="3" t="s">
        <v>22</v>
      </c>
      <c r="H82" s="16" t="s">
        <v>432</v>
      </c>
      <c r="I82" s="4"/>
      <c r="J82" s="4"/>
      <c r="K82" s="4"/>
      <c r="L82" s="4" t="s">
        <v>1043</v>
      </c>
      <c r="M82" s="3" t="s">
        <v>195</v>
      </c>
      <c r="N82" s="4"/>
      <c r="O82" s="4"/>
      <c r="P82" s="3" t="s">
        <v>196</v>
      </c>
      <c r="Q82" s="1" t="e">
        <f t="shared" si="4"/>
        <v>#REF!</v>
      </c>
    </row>
    <row r="83" spans="1:17" ht="12" customHeight="1" outlineLevel="3" x14ac:dyDescent="0.35">
      <c r="A83" s="2" t="str">
        <f t="shared" si="5"/>
        <v>CC415B</v>
      </c>
      <c r="B83" s="1">
        <v>3</v>
      </c>
      <c r="C83" s="1" t="s">
        <v>19</v>
      </c>
      <c r="D83" s="2" t="s">
        <v>25</v>
      </c>
      <c r="E83" s="9" t="s">
        <v>56</v>
      </c>
      <c r="F83" s="7" t="s">
        <v>57</v>
      </c>
      <c r="G83" s="2" t="s">
        <v>27</v>
      </c>
      <c r="H83" s="7" t="s">
        <v>393</v>
      </c>
      <c r="M83" s="2" t="s">
        <v>58</v>
      </c>
      <c r="P83" s="2" t="s">
        <v>59</v>
      </c>
      <c r="Q83" s="1" t="e">
        <f t="shared" si="4"/>
        <v>#REF!</v>
      </c>
    </row>
    <row r="84" spans="1:17" ht="12" customHeight="1" outlineLevel="3" x14ac:dyDescent="0.35">
      <c r="A84" s="2" t="str">
        <f t="shared" si="5"/>
        <v>CC415B</v>
      </c>
      <c r="B84" s="1">
        <v>3</v>
      </c>
      <c r="C84" s="1" t="s">
        <v>19</v>
      </c>
      <c r="D84" s="2" t="s">
        <v>25</v>
      </c>
      <c r="E84" s="9" t="s">
        <v>197</v>
      </c>
      <c r="F84" s="7" t="s">
        <v>198</v>
      </c>
      <c r="G84" s="2" t="s">
        <v>27</v>
      </c>
      <c r="H84" s="14"/>
      <c r="J84" s="2" t="s">
        <v>433</v>
      </c>
      <c r="L84" s="1" t="s">
        <v>1044</v>
      </c>
      <c r="M84" s="2" t="s">
        <v>199</v>
      </c>
      <c r="P84" s="2" t="s">
        <v>200</v>
      </c>
      <c r="Q84" s="1" t="e">
        <f t="shared" si="4"/>
        <v>#REF!</v>
      </c>
    </row>
    <row r="85" spans="1:17" ht="12" customHeight="1" outlineLevel="3" x14ac:dyDescent="0.35">
      <c r="A85" s="2" t="str">
        <f t="shared" si="5"/>
        <v>CC415B</v>
      </c>
      <c r="B85" s="1">
        <v>3</v>
      </c>
      <c r="C85" s="1" t="s">
        <v>19</v>
      </c>
      <c r="D85" s="2" t="s">
        <v>25</v>
      </c>
      <c r="E85" s="9" t="s">
        <v>81</v>
      </c>
      <c r="F85" s="7" t="s">
        <v>68</v>
      </c>
      <c r="G85" s="2" t="s">
        <v>27</v>
      </c>
      <c r="H85" s="7" t="s">
        <v>434</v>
      </c>
      <c r="L85" s="1" t="s">
        <v>1045</v>
      </c>
      <c r="M85" s="2" t="s">
        <v>82</v>
      </c>
      <c r="P85" s="2" t="s">
        <v>70</v>
      </c>
      <c r="Q85" s="1" t="e">
        <f t="shared" si="4"/>
        <v>#REF!</v>
      </c>
    </row>
    <row r="86" spans="1:17" ht="12" customHeight="1" outlineLevel="2" x14ac:dyDescent="0.35">
      <c r="A86" s="3" t="str">
        <f t="shared" si="5"/>
        <v>CC415B</v>
      </c>
      <c r="B86" s="4">
        <v>2</v>
      </c>
      <c r="C86" s="3" t="s">
        <v>24</v>
      </c>
      <c r="D86" s="3" t="s">
        <v>30</v>
      </c>
      <c r="E86" s="8" t="s">
        <v>201</v>
      </c>
      <c r="F86" s="4"/>
      <c r="G86" s="3" t="s">
        <v>396</v>
      </c>
      <c r="H86" s="16" t="s">
        <v>435</v>
      </c>
      <c r="I86" s="3" t="s">
        <v>436</v>
      </c>
      <c r="J86" s="4"/>
      <c r="K86" s="4"/>
      <c r="L86" s="4" t="s">
        <v>1046</v>
      </c>
      <c r="M86" s="3" t="s">
        <v>201</v>
      </c>
      <c r="N86" s="4"/>
      <c r="O86" s="4"/>
      <c r="P86" s="3" t="s">
        <v>202</v>
      </c>
      <c r="Q86" s="1" t="e">
        <f t="shared" si="4"/>
        <v>#REF!</v>
      </c>
    </row>
    <row r="87" spans="1:17" ht="12" customHeight="1" outlineLevel="3" x14ac:dyDescent="0.35">
      <c r="A87" s="2" t="str">
        <f t="shared" si="5"/>
        <v>CC415B</v>
      </c>
      <c r="B87" s="1">
        <v>3</v>
      </c>
      <c r="C87" s="1" t="s">
        <v>19</v>
      </c>
      <c r="D87" s="2" t="s">
        <v>30</v>
      </c>
      <c r="E87" s="9" t="s">
        <v>81</v>
      </c>
      <c r="F87" s="7" t="s">
        <v>68</v>
      </c>
      <c r="G87" s="2" t="s">
        <v>22</v>
      </c>
      <c r="H87" s="7" t="s">
        <v>434</v>
      </c>
      <c r="L87" s="1" t="s">
        <v>1047</v>
      </c>
      <c r="M87" s="2" t="s">
        <v>82</v>
      </c>
      <c r="P87" s="2" t="s">
        <v>70</v>
      </c>
      <c r="Q87" s="1" t="e">
        <f t="shared" si="4"/>
        <v>#REF!</v>
      </c>
    </row>
    <row r="88" spans="1:17" ht="12" customHeight="1" outlineLevel="3" x14ac:dyDescent="0.35">
      <c r="A88" s="2" t="str">
        <f t="shared" si="5"/>
        <v>CC415B</v>
      </c>
      <c r="B88" s="1">
        <v>3</v>
      </c>
      <c r="C88" s="1" t="s">
        <v>19</v>
      </c>
      <c r="D88" s="2" t="s">
        <v>30</v>
      </c>
      <c r="E88" s="9" t="s">
        <v>4</v>
      </c>
      <c r="F88" s="7" t="s">
        <v>83</v>
      </c>
      <c r="G88" s="2" t="s">
        <v>396</v>
      </c>
      <c r="H88" s="14"/>
      <c r="I88" s="2" t="s">
        <v>401</v>
      </c>
      <c r="L88" s="1" t="s">
        <v>1048</v>
      </c>
      <c r="M88" s="2" t="s">
        <v>84</v>
      </c>
      <c r="P88" s="2" t="s">
        <v>85</v>
      </c>
      <c r="Q88" s="1" t="e">
        <f t="shared" si="4"/>
        <v>#REF!</v>
      </c>
    </row>
    <row r="89" spans="1:17" ht="12" customHeight="1" outlineLevel="3" x14ac:dyDescent="0.35">
      <c r="A89" s="3" t="str">
        <f t="shared" si="5"/>
        <v>CC415B</v>
      </c>
      <c r="B89" s="4">
        <v>3</v>
      </c>
      <c r="C89" s="3" t="s">
        <v>24</v>
      </c>
      <c r="D89" s="3" t="s">
        <v>30</v>
      </c>
      <c r="E89" s="10" t="s">
        <v>86</v>
      </c>
      <c r="F89" s="4"/>
      <c r="G89" s="3" t="s">
        <v>396</v>
      </c>
      <c r="H89" s="15"/>
      <c r="I89" s="3" t="s">
        <v>401</v>
      </c>
      <c r="J89" s="4"/>
      <c r="K89" s="4"/>
      <c r="L89" s="4" t="s">
        <v>1049</v>
      </c>
      <c r="M89" s="3" t="s">
        <v>86</v>
      </c>
      <c r="N89" s="4"/>
      <c r="O89" s="4"/>
      <c r="P89" s="3" t="s">
        <v>87</v>
      </c>
      <c r="Q89" s="1" t="e">
        <f t="shared" si="4"/>
        <v>#REF!</v>
      </c>
    </row>
    <row r="90" spans="1:17" ht="12" customHeight="1" outlineLevel="4" x14ac:dyDescent="0.35">
      <c r="A90" s="2" t="str">
        <f t="shared" si="5"/>
        <v>CC415B</v>
      </c>
      <c r="B90" s="1">
        <v>4</v>
      </c>
      <c r="C90" s="1" t="s">
        <v>19</v>
      </c>
      <c r="D90" s="2" t="s">
        <v>25</v>
      </c>
      <c r="E90" s="11" t="s">
        <v>88</v>
      </c>
      <c r="F90" s="7" t="s">
        <v>83</v>
      </c>
      <c r="G90" s="2" t="s">
        <v>27</v>
      </c>
      <c r="H90" s="14"/>
      <c r="L90" s="1" t="s">
        <v>1050</v>
      </c>
      <c r="M90" s="2" t="s">
        <v>89</v>
      </c>
      <c r="P90" s="2" t="s">
        <v>90</v>
      </c>
      <c r="Q90" s="1" t="e">
        <f t="shared" si="4"/>
        <v>#REF!</v>
      </c>
    </row>
    <row r="91" spans="1:17" ht="12" customHeight="1" outlineLevel="4" x14ac:dyDescent="0.35">
      <c r="A91" s="2" t="str">
        <f t="shared" si="5"/>
        <v>CC415B</v>
      </c>
      <c r="B91" s="1">
        <v>4</v>
      </c>
      <c r="C91" s="1" t="s">
        <v>19</v>
      </c>
      <c r="D91" s="2" t="s">
        <v>30</v>
      </c>
      <c r="E91" s="11" t="s">
        <v>91</v>
      </c>
      <c r="F91" s="7" t="s">
        <v>92</v>
      </c>
      <c r="G91" s="2" t="s">
        <v>396</v>
      </c>
      <c r="H91" s="14"/>
      <c r="I91" s="2" t="s">
        <v>402</v>
      </c>
      <c r="L91" s="1" t="s">
        <v>1051</v>
      </c>
      <c r="M91" s="2" t="s">
        <v>93</v>
      </c>
      <c r="P91" s="2" t="s">
        <v>94</v>
      </c>
      <c r="Q91" s="1" t="e">
        <f t="shared" si="4"/>
        <v>#REF!</v>
      </c>
    </row>
    <row r="92" spans="1:17" ht="12" customHeight="1" outlineLevel="4" x14ac:dyDescent="0.35">
      <c r="A92" s="2" t="str">
        <f t="shared" si="5"/>
        <v>CC415B</v>
      </c>
      <c r="B92" s="1">
        <v>4</v>
      </c>
      <c r="C92" s="1" t="s">
        <v>19</v>
      </c>
      <c r="D92" s="2" t="s">
        <v>25</v>
      </c>
      <c r="E92" s="11" t="s">
        <v>95</v>
      </c>
      <c r="F92" s="7" t="s">
        <v>96</v>
      </c>
      <c r="G92" s="2" t="s">
        <v>27</v>
      </c>
      <c r="H92" s="14"/>
      <c r="L92" s="1" t="s">
        <v>1052</v>
      </c>
      <c r="M92" s="2" t="s">
        <v>97</v>
      </c>
      <c r="P92" s="2" t="s">
        <v>98</v>
      </c>
      <c r="Q92" s="1" t="e">
        <f t="shared" si="4"/>
        <v>#REF!</v>
      </c>
    </row>
    <row r="93" spans="1:17" ht="12" customHeight="1" outlineLevel="4" x14ac:dyDescent="0.35">
      <c r="A93" s="2" t="str">
        <f t="shared" si="5"/>
        <v>CC415B</v>
      </c>
      <c r="B93" s="1">
        <v>4</v>
      </c>
      <c r="C93" s="1" t="s">
        <v>19</v>
      </c>
      <c r="D93" s="2" t="s">
        <v>25</v>
      </c>
      <c r="E93" s="11" t="s">
        <v>99</v>
      </c>
      <c r="F93" s="7" t="s">
        <v>50</v>
      </c>
      <c r="G93" s="2" t="s">
        <v>27</v>
      </c>
      <c r="H93" s="14"/>
      <c r="J93" s="2" t="s">
        <v>403</v>
      </c>
      <c r="L93" s="1" t="s">
        <v>1053</v>
      </c>
      <c r="M93" s="2" t="s">
        <v>100</v>
      </c>
      <c r="P93" s="2" t="s">
        <v>52</v>
      </c>
      <c r="Q93" s="1" t="e">
        <f t="shared" si="4"/>
        <v>#REF!</v>
      </c>
    </row>
    <row r="94" spans="1:17" ht="12" customHeight="1" outlineLevel="2" x14ac:dyDescent="0.35">
      <c r="A94" s="3" t="str">
        <f t="shared" si="5"/>
        <v>CC415B</v>
      </c>
      <c r="B94" s="4">
        <v>2</v>
      </c>
      <c r="C94" s="3" t="s">
        <v>24</v>
      </c>
      <c r="D94" s="3" t="s">
        <v>30</v>
      </c>
      <c r="E94" s="8" t="s">
        <v>203</v>
      </c>
      <c r="F94" s="4"/>
      <c r="G94" s="3" t="s">
        <v>396</v>
      </c>
      <c r="H94" s="16" t="s">
        <v>437</v>
      </c>
      <c r="I94" s="3" t="s">
        <v>436</v>
      </c>
      <c r="J94" s="4"/>
      <c r="K94" s="4"/>
      <c r="L94" s="4" t="s">
        <v>1054</v>
      </c>
      <c r="M94" s="3" t="s">
        <v>203</v>
      </c>
      <c r="N94" s="4"/>
      <c r="O94" s="4"/>
      <c r="P94" s="3" t="s">
        <v>204</v>
      </c>
      <c r="Q94" s="1" t="e">
        <f t="shared" si="4"/>
        <v>#REF!</v>
      </c>
    </row>
    <row r="95" spans="1:17" ht="12" customHeight="1" outlineLevel="3" x14ac:dyDescent="0.35">
      <c r="A95" s="2" t="str">
        <f t="shared" si="5"/>
        <v>CC415B</v>
      </c>
      <c r="B95" s="1">
        <v>3</v>
      </c>
      <c r="C95" s="1" t="s">
        <v>19</v>
      </c>
      <c r="D95" s="2" t="s">
        <v>30</v>
      </c>
      <c r="E95" s="9" t="s">
        <v>81</v>
      </c>
      <c r="F95" s="7" t="s">
        <v>68</v>
      </c>
      <c r="G95" s="2" t="s">
        <v>22</v>
      </c>
      <c r="H95" s="7" t="s">
        <v>434</v>
      </c>
      <c r="L95" s="1" t="s">
        <v>1055</v>
      </c>
      <c r="M95" s="2" t="s">
        <v>82</v>
      </c>
      <c r="P95" s="2" t="s">
        <v>70</v>
      </c>
      <c r="Q95" s="1" t="e">
        <f t="shared" si="4"/>
        <v>#REF!</v>
      </c>
    </row>
    <row r="96" spans="1:17" ht="12" customHeight="1" outlineLevel="3" x14ac:dyDescent="0.35">
      <c r="A96" s="2" t="str">
        <f t="shared" si="5"/>
        <v>CC415B</v>
      </c>
      <c r="B96" s="1">
        <v>3</v>
      </c>
      <c r="C96" s="1" t="s">
        <v>19</v>
      </c>
      <c r="D96" s="2" t="s">
        <v>30</v>
      </c>
      <c r="E96" s="9" t="s">
        <v>4</v>
      </c>
      <c r="F96" s="7" t="s">
        <v>83</v>
      </c>
      <c r="G96" s="2" t="s">
        <v>396</v>
      </c>
      <c r="H96" s="14"/>
      <c r="I96" s="2" t="s">
        <v>401</v>
      </c>
      <c r="L96" s="1" t="s">
        <v>1056</v>
      </c>
      <c r="M96" s="2" t="s">
        <v>84</v>
      </c>
      <c r="P96" s="2" t="s">
        <v>85</v>
      </c>
      <c r="Q96" s="1" t="e">
        <f t="shared" si="4"/>
        <v>#REF!</v>
      </c>
    </row>
    <row r="97" spans="1:17" ht="12" customHeight="1" outlineLevel="3" x14ac:dyDescent="0.35">
      <c r="A97" s="3" t="str">
        <f t="shared" si="5"/>
        <v>CC415B</v>
      </c>
      <c r="B97" s="4">
        <v>3</v>
      </c>
      <c r="C97" s="3" t="s">
        <v>24</v>
      </c>
      <c r="D97" s="3" t="s">
        <v>30</v>
      </c>
      <c r="E97" s="10" t="s">
        <v>86</v>
      </c>
      <c r="F97" s="4"/>
      <c r="G97" s="3" t="s">
        <v>396</v>
      </c>
      <c r="H97" s="15"/>
      <c r="I97" s="3" t="s">
        <v>401</v>
      </c>
      <c r="J97" s="4"/>
      <c r="K97" s="4"/>
      <c r="L97" s="4" t="s">
        <v>1057</v>
      </c>
      <c r="M97" s="3" t="s">
        <v>86</v>
      </c>
      <c r="N97" s="4"/>
      <c r="O97" s="4"/>
      <c r="P97" s="3" t="s">
        <v>87</v>
      </c>
      <c r="Q97" s="1" t="e">
        <f t="shared" si="4"/>
        <v>#REF!</v>
      </c>
    </row>
    <row r="98" spans="1:17" ht="12" customHeight="1" outlineLevel="4" x14ac:dyDescent="0.35">
      <c r="A98" s="2" t="str">
        <f t="shared" si="5"/>
        <v>CC415B</v>
      </c>
      <c r="B98" s="1">
        <v>4</v>
      </c>
      <c r="C98" s="1" t="s">
        <v>19</v>
      </c>
      <c r="D98" s="2" t="s">
        <v>25</v>
      </c>
      <c r="E98" s="11" t="s">
        <v>88</v>
      </c>
      <c r="F98" s="7" t="s">
        <v>83</v>
      </c>
      <c r="G98" s="2" t="s">
        <v>27</v>
      </c>
      <c r="H98" s="14"/>
      <c r="L98" s="1" t="s">
        <v>1058</v>
      </c>
      <c r="M98" s="2" t="s">
        <v>89</v>
      </c>
      <c r="P98" s="2" t="s">
        <v>90</v>
      </c>
      <c r="Q98" s="1" t="e">
        <f t="shared" si="4"/>
        <v>#REF!</v>
      </c>
    </row>
    <row r="99" spans="1:17" ht="12" customHeight="1" outlineLevel="4" x14ac:dyDescent="0.35">
      <c r="A99" s="2" t="str">
        <f t="shared" si="5"/>
        <v>CC415B</v>
      </c>
      <c r="B99" s="1">
        <v>4</v>
      </c>
      <c r="C99" s="1" t="s">
        <v>19</v>
      </c>
      <c r="D99" s="2" t="s">
        <v>30</v>
      </c>
      <c r="E99" s="11" t="s">
        <v>91</v>
      </c>
      <c r="F99" s="7" t="s">
        <v>92</v>
      </c>
      <c r="G99" s="2" t="s">
        <v>396</v>
      </c>
      <c r="H99" s="14"/>
      <c r="I99" s="2" t="s">
        <v>402</v>
      </c>
      <c r="L99" s="1" t="s">
        <v>1059</v>
      </c>
      <c r="M99" s="2" t="s">
        <v>93</v>
      </c>
      <c r="P99" s="2" t="s">
        <v>94</v>
      </c>
      <c r="Q99" s="1" t="e">
        <f t="shared" si="4"/>
        <v>#REF!</v>
      </c>
    </row>
    <row r="100" spans="1:17" ht="12" customHeight="1" outlineLevel="4" x14ac:dyDescent="0.35">
      <c r="A100" s="2" t="str">
        <f t="shared" si="5"/>
        <v>CC415B</v>
      </c>
      <c r="B100" s="1">
        <v>4</v>
      </c>
      <c r="C100" s="1" t="s">
        <v>19</v>
      </c>
      <c r="D100" s="2" t="s">
        <v>25</v>
      </c>
      <c r="E100" s="11" t="s">
        <v>95</v>
      </c>
      <c r="F100" s="7" t="s">
        <v>96</v>
      </c>
      <c r="G100" s="2" t="s">
        <v>27</v>
      </c>
      <c r="H100" s="14"/>
      <c r="L100" s="1" t="s">
        <v>1060</v>
      </c>
      <c r="M100" s="2" t="s">
        <v>97</v>
      </c>
      <c r="P100" s="2" t="s">
        <v>98</v>
      </c>
      <c r="Q100" s="1" t="e">
        <f t="shared" si="4"/>
        <v>#REF!</v>
      </c>
    </row>
    <row r="101" spans="1:17" ht="12" customHeight="1" outlineLevel="4" x14ac:dyDescent="0.35">
      <c r="A101" s="2" t="str">
        <f t="shared" si="5"/>
        <v>CC415B</v>
      </c>
      <c r="B101" s="1">
        <v>4</v>
      </c>
      <c r="C101" s="1" t="s">
        <v>19</v>
      </c>
      <c r="D101" s="2" t="s">
        <v>25</v>
      </c>
      <c r="E101" s="11" t="s">
        <v>99</v>
      </c>
      <c r="F101" s="7" t="s">
        <v>50</v>
      </c>
      <c r="G101" s="2" t="s">
        <v>27</v>
      </c>
      <c r="H101" s="14"/>
      <c r="J101" s="2" t="s">
        <v>403</v>
      </c>
      <c r="L101" s="1" t="s">
        <v>1061</v>
      </c>
      <c r="M101" s="2" t="s">
        <v>100</v>
      </c>
      <c r="P101" s="2" t="s">
        <v>52</v>
      </c>
      <c r="Q101" s="1" t="e">
        <f t="shared" si="4"/>
        <v>#REF!</v>
      </c>
    </row>
    <row r="102" spans="1:17" ht="12" customHeight="1" outlineLevel="2" x14ac:dyDescent="0.35">
      <c r="A102" s="3" t="str">
        <f t="shared" si="5"/>
        <v>CC415B</v>
      </c>
      <c r="B102" s="4">
        <v>2</v>
      </c>
      <c r="C102" s="3" t="s">
        <v>24</v>
      </c>
      <c r="D102" s="3" t="s">
        <v>30</v>
      </c>
      <c r="E102" s="8" t="s">
        <v>205</v>
      </c>
      <c r="F102" s="4"/>
      <c r="G102" s="3" t="s">
        <v>396</v>
      </c>
      <c r="H102" s="16" t="s">
        <v>439</v>
      </c>
      <c r="I102" s="16" t="s">
        <v>438</v>
      </c>
      <c r="J102" s="4"/>
      <c r="K102" s="4"/>
      <c r="L102" s="4" t="s">
        <v>1062</v>
      </c>
      <c r="M102" s="3" t="s">
        <v>205</v>
      </c>
      <c r="N102" s="4"/>
      <c r="O102" s="4"/>
      <c r="P102" s="3" t="s">
        <v>206</v>
      </c>
      <c r="Q102" s="1" t="e">
        <f t="shared" si="4"/>
        <v>#REF!</v>
      </c>
    </row>
    <row r="103" spans="1:17" ht="12" customHeight="1" outlineLevel="3" x14ac:dyDescent="0.35">
      <c r="A103" s="2" t="str">
        <f t="shared" si="5"/>
        <v>CC415B</v>
      </c>
      <c r="B103" s="1">
        <v>3</v>
      </c>
      <c r="C103" s="1" t="s">
        <v>19</v>
      </c>
      <c r="D103" s="2" t="s">
        <v>30</v>
      </c>
      <c r="E103" s="9" t="s">
        <v>81</v>
      </c>
      <c r="F103" s="7" t="s">
        <v>68</v>
      </c>
      <c r="G103" s="2" t="s">
        <v>22</v>
      </c>
      <c r="H103" s="7" t="s">
        <v>434</v>
      </c>
      <c r="L103" s="1" t="s">
        <v>1063</v>
      </c>
      <c r="M103" s="2" t="s">
        <v>82</v>
      </c>
      <c r="P103" s="2" t="s">
        <v>70</v>
      </c>
      <c r="Q103" s="1" t="e">
        <f t="shared" si="4"/>
        <v>#REF!</v>
      </c>
    </row>
    <row r="104" spans="1:17" ht="12" customHeight="1" outlineLevel="3" x14ac:dyDescent="0.35">
      <c r="A104" s="2" t="str">
        <f t="shared" si="5"/>
        <v>CC415B</v>
      </c>
      <c r="B104" s="1">
        <v>3</v>
      </c>
      <c r="C104" s="1" t="s">
        <v>19</v>
      </c>
      <c r="D104" s="2" t="s">
        <v>30</v>
      </c>
      <c r="E104" s="9" t="s">
        <v>4</v>
      </c>
      <c r="F104" s="7" t="s">
        <v>83</v>
      </c>
      <c r="G104" s="2" t="s">
        <v>396</v>
      </c>
      <c r="H104" s="14"/>
      <c r="I104" s="2" t="s">
        <v>401</v>
      </c>
      <c r="L104" s="1" t="s">
        <v>1064</v>
      </c>
      <c r="M104" s="2" t="s">
        <v>84</v>
      </c>
      <c r="P104" s="2" t="s">
        <v>85</v>
      </c>
      <c r="Q104" s="1" t="e">
        <f t="shared" si="4"/>
        <v>#REF!</v>
      </c>
    </row>
    <row r="105" spans="1:17" ht="12" customHeight="1" outlineLevel="3" x14ac:dyDescent="0.35">
      <c r="A105" s="3" t="str">
        <f t="shared" ref="A105:A109" si="6">$E$2</f>
        <v>CC415B</v>
      </c>
      <c r="B105" s="4">
        <v>3</v>
      </c>
      <c r="C105" s="3" t="s">
        <v>24</v>
      </c>
      <c r="D105" s="3" t="s">
        <v>30</v>
      </c>
      <c r="E105" s="10" t="s">
        <v>86</v>
      </c>
      <c r="F105" s="4"/>
      <c r="G105" s="3" t="s">
        <v>396</v>
      </c>
      <c r="H105" s="15"/>
      <c r="I105" s="3" t="s">
        <v>401</v>
      </c>
      <c r="J105" s="4"/>
      <c r="K105" s="4"/>
      <c r="L105" s="4" t="s">
        <v>1065</v>
      </c>
      <c r="M105" s="3" t="s">
        <v>86</v>
      </c>
      <c r="N105" s="4"/>
      <c r="O105" s="4"/>
      <c r="P105" s="3" t="s">
        <v>87</v>
      </c>
      <c r="Q105" s="1" t="e">
        <f t="shared" si="4"/>
        <v>#REF!</v>
      </c>
    </row>
    <row r="106" spans="1:17" ht="12" customHeight="1" outlineLevel="4" x14ac:dyDescent="0.35">
      <c r="A106" s="2" t="str">
        <f t="shared" si="6"/>
        <v>CC415B</v>
      </c>
      <c r="B106" s="1">
        <v>4</v>
      </c>
      <c r="C106" s="1" t="s">
        <v>19</v>
      </c>
      <c r="D106" s="2" t="s">
        <v>25</v>
      </c>
      <c r="E106" s="11" t="s">
        <v>88</v>
      </c>
      <c r="F106" s="7" t="s">
        <v>83</v>
      </c>
      <c r="G106" s="2" t="s">
        <v>27</v>
      </c>
      <c r="H106" s="14"/>
      <c r="L106" s="1" t="s">
        <v>1066</v>
      </c>
      <c r="M106" s="2" t="s">
        <v>89</v>
      </c>
      <c r="P106" s="2" t="s">
        <v>90</v>
      </c>
      <c r="Q106" s="1" t="e">
        <f t="shared" si="4"/>
        <v>#REF!</v>
      </c>
    </row>
    <row r="107" spans="1:17" ht="12" customHeight="1" outlineLevel="4" x14ac:dyDescent="0.35">
      <c r="A107" s="2" t="str">
        <f t="shared" si="6"/>
        <v>CC415B</v>
      </c>
      <c r="B107" s="1">
        <v>4</v>
      </c>
      <c r="C107" s="1" t="s">
        <v>19</v>
      </c>
      <c r="D107" s="2" t="s">
        <v>30</v>
      </c>
      <c r="E107" s="11" t="s">
        <v>91</v>
      </c>
      <c r="F107" s="7" t="s">
        <v>92</v>
      </c>
      <c r="G107" s="2" t="s">
        <v>396</v>
      </c>
      <c r="H107" s="14"/>
      <c r="I107" s="2" t="s">
        <v>402</v>
      </c>
      <c r="L107" s="1" t="s">
        <v>1067</v>
      </c>
      <c r="M107" s="2" t="s">
        <v>93</v>
      </c>
      <c r="P107" s="2" t="s">
        <v>94</v>
      </c>
      <c r="Q107" s="1" t="e">
        <f t="shared" si="4"/>
        <v>#REF!</v>
      </c>
    </row>
    <row r="108" spans="1:17" ht="12" customHeight="1" outlineLevel="4" x14ac:dyDescent="0.35">
      <c r="A108" s="2" t="str">
        <f t="shared" si="6"/>
        <v>CC415B</v>
      </c>
      <c r="B108" s="1">
        <v>4</v>
      </c>
      <c r="C108" s="1" t="s">
        <v>19</v>
      </c>
      <c r="D108" s="2" t="s">
        <v>25</v>
      </c>
      <c r="E108" s="11" t="s">
        <v>95</v>
      </c>
      <c r="F108" s="7" t="s">
        <v>96</v>
      </c>
      <c r="G108" s="2" t="s">
        <v>27</v>
      </c>
      <c r="H108" s="14"/>
      <c r="L108" s="1" t="s">
        <v>1068</v>
      </c>
      <c r="M108" s="2" t="s">
        <v>97</v>
      </c>
      <c r="P108" s="2" t="s">
        <v>98</v>
      </c>
      <c r="Q108" s="1" t="e">
        <f t="shared" si="4"/>
        <v>#REF!</v>
      </c>
    </row>
    <row r="109" spans="1:17" ht="12" customHeight="1" outlineLevel="4" x14ac:dyDescent="0.35">
      <c r="A109" s="2" t="str">
        <f t="shared" si="6"/>
        <v>CC415B</v>
      </c>
      <c r="B109" s="1">
        <v>4</v>
      </c>
      <c r="C109" s="1" t="s">
        <v>19</v>
      </c>
      <c r="D109" s="2" t="s">
        <v>25</v>
      </c>
      <c r="E109" s="11" t="s">
        <v>99</v>
      </c>
      <c r="F109" s="7" t="s">
        <v>50</v>
      </c>
      <c r="G109" s="2" t="s">
        <v>27</v>
      </c>
      <c r="H109" s="14"/>
      <c r="J109" s="2" t="s">
        <v>403</v>
      </c>
      <c r="L109" s="1" t="s">
        <v>1069</v>
      </c>
      <c r="M109" s="2" t="s">
        <v>100</v>
      </c>
      <c r="P109" s="2" t="s">
        <v>52</v>
      </c>
      <c r="Q109" s="1" t="e">
        <f t="shared" si="4"/>
        <v>#REF!</v>
      </c>
    </row>
    <row r="110" spans="1:17" ht="12" customHeight="1" outlineLevel="2" x14ac:dyDescent="0.35">
      <c r="A110" s="3" t="str">
        <f t="shared" ref="A110:A140" si="7">$E$2</f>
        <v>CC415B</v>
      </c>
      <c r="B110" s="4">
        <v>2</v>
      </c>
      <c r="C110" s="3" t="s">
        <v>24</v>
      </c>
      <c r="D110" s="3" t="s">
        <v>30</v>
      </c>
      <c r="E110" s="8" t="s">
        <v>449</v>
      </c>
      <c r="F110" s="4"/>
      <c r="G110" s="3" t="s">
        <v>396</v>
      </c>
      <c r="H110" s="16" t="s">
        <v>450</v>
      </c>
      <c r="I110" s="16" t="s">
        <v>451</v>
      </c>
      <c r="J110" s="4"/>
      <c r="K110" s="4"/>
      <c r="L110" s="4" t="s">
        <v>1070</v>
      </c>
      <c r="M110" s="3" t="s">
        <v>452</v>
      </c>
      <c r="N110" s="4"/>
      <c r="O110" s="4"/>
      <c r="P110" s="3" t="s">
        <v>453</v>
      </c>
      <c r="Q110" s="1" t="e">
        <f>IF($B110=0,$M110,_xlfn.TEXTBEFORE(#REF!,"/",$B110,,,#REF!)&amp;"/"&amp;$M110)&amp;IF(_xlfn.TEXTAFTER($D110,"..",,,,1)&lt;&gt;"1","[0]","")</f>
        <v>#REF!</v>
      </c>
    </row>
    <row r="111" spans="1:17" ht="12" customHeight="1" outlineLevel="3" x14ac:dyDescent="0.35">
      <c r="A111" s="2" t="str">
        <f t="shared" si="7"/>
        <v>CC415B</v>
      </c>
      <c r="B111" s="1">
        <v>3</v>
      </c>
      <c r="C111" s="1" t="s">
        <v>19</v>
      </c>
      <c r="D111" s="2" t="s">
        <v>25</v>
      </c>
      <c r="E111" s="9" t="s">
        <v>454</v>
      </c>
      <c r="F111" s="7" t="s">
        <v>148</v>
      </c>
      <c r="G111" s="2" t="s">
        <v>27</v>
      </c>
      <c r="H111" s="14"/>
      <c r="J111" s="2" t="s">
        <v>455</v>
      </c>
      <c r="L111" s="1" t="s">
        <v>1071</v>
      </c>
      <c r="M111" s="2" t="s">
        <v>456</v>
      </c>
      <c r="P111" s="2" t="s">
        <v>457</v>
      </c>
      <c r="Q111" s="1" t="e">
        <f t="shared" si="4"/>
        <v>#REF!</v>
      </c>
    </row>
    <row r="112" spans="1:17" ht="12" customHeight="1" outlineLevel="3" x14ac:dyDescent="0.35">
      <c r="A112" s="2" t="str">
        <f t="shared" si="7"/>
        <v>CC415B</v>
      </c>
      <c r="B112" s="1">
        <v>3</v>
      </c>
      <c r="C112" s="1" t="s">
        <v>19</v>
      </c>
      <c r="D112" s="2" t="s">
        <v>30</v>
      </c>
      <c r="E112" s="9" t="s">
        <v>270</v>
      </c>
      <c r="F112" s="7" t="s">
        <v>103</v>
      </c>
      <c r="G112" s="2" t="s">
        <v>396</v>
      </c>
      <c r="H112" s="14"/>
      <c r="I112" s="2" t="s">
        <v>458</v>
      </c>
      <c r="J112" s="2" t="s">
        <v>459</v>
      </c>
      <c r="L112" s="1" t="s">
        <v>1072</v>
      </c>
      <c r="M112" s="2" t="s">
        <v>271</v>
      </c>
      <c r="P112" s="2" t="s">
        <v>272</v>
      </c>
      <c r="Q112" s="1" t="e">
        <f t="shared" si="4"/>
        <v>#REF!</v>
      </c>
    </row>
    <row r="113" spans="1:17" ht="12" customHeight="1" outlineLevel="3" x14ac:dyDescent="0.35">
      <c r="A113" s="2" t="str">
        <f t="shared" si="7"/>
        <v>CC415B</v>
      </c>
      <c r="B113" s="1">
        <v>3</v>
      </c>
      <c r="C113" s="1" t="s">
        <v>19</v>
      </c>
      <c r="D113" s="2" t="s">
        <v>30</v>
      </c>
      <c r="E113" s="9" t="s">
        <v>460</v>
      </c>
      <c r="F113" s="7" t="s">
        <v>96</v>
      </c>
      <c r="G113" s="2" t="s">
        <v>396</v>
      </c>
      <c r="H113" s="14"/>
      <c r="I113" s="2" t="s">
        <v>458</v>
      </c>
      <c r="L113" s="1" t="s">
        <v>1073</v>
      </c>
      <c r="M113" s="2" t="s">
        <v>461</v>
      </c>
      <c r="P113" s="2" t="s">
        <v>462</v>
      </c>
      <c r="Q113" s="1" t="e">
        <f t="shared" si="4"/>
        <v>#REF!</v>
      </c>
    </row>
    <row r="114" spans="1:17" ht="12" customHeight="1" outlineLevel="3" x14ac:dyDescent="0.35">
      <c r="A114" s="2" t="str">
        <f t="shared" si="7"/>
        <v>CC415B</v>
      </c>
      <c r="B114" s="1">
        <v>3</v>
      </c>
      <c r="C114" s="1" t="s">
        <v>19</v>
      </c>
      <c r="D114" s="2" t="s">
        <v>30</v>
      </c>
      <c r="E114" s="9" t="s">
        <v>99</v>
      </c>
      <c r="F114" s="7" t="s">
        <v>50</v>
      </c>
      <c r="G114" s="2" t="s">
        <v>396</v>
      </c>
      <c r="H114" s="14"/>
      <c r="I114" s="2" t="s">
        <v>458</v>
      </c>
      <c r="J114" s="2" t="s">
        <v>403</v>
      </c>
      <c r="L114" s="1" t="s">
        <v>1074</v>
      </c>
      <c r="M114" s="2" t="s">
        <v>100</v>
      </c>
      <c r="P114" s="2" t="s">
        <v>52</v>
      </c>
      <c r="Q114" s="1" t="e">
        <f t="shared" si="4"/>
        <v>#REF!</v>
      </c>
    </row>
    <row r="115" spans="1:17" ht="12" customHeight="1" outlineLevel="3" x14ac:dyDescent="0.35">
      <c r="A115" s="2" t="str">
        <f t="shared" si="7"/>
        <v>CC415B</v>
      </c>
      <c r="B115" s="1">
        <v>3</v>
      </c>
      <c r="C115" s="1" t="s">
        <v>19</v>
      </c>
      <c r="D115" s="2" t="s">
        <v>30</v>
      </c>
      <c r="E115" s="9" t="s">
        <v>226</v>
      </c>
      <c r="F115" s="7" t="s">
        <v>216</v>
      </c>
      <c r="G115" s="2" t="s">
        <v>396</v>
      </c>
      <c r="H115" s="14"/>
      <c r="I115" s="2" t="s">
        <v>458</v>
      </c>
      <c r="L115" s="1" t="s">
        <v>1204</v>
      </c>
      <c r="M115" s="2" t="s">
        <v>227</v>
      </c>
      <c r="P115" s="2" t="s">
        <v>218</v>
      </c>
      <c r="Q115" s="1" t="e">
        <f t="shared" si="4"/>
        <v>#REF!</v>
      </c>
    </row>
    <row r="116" spans="1:17" ht="12" customHeight="1" outlineLevel="2" x14ac:dyDescent="0.35">
      <c r="A116" s="3" t="str">
        <f t="shared" si="7"/>
        <v>CC415B</v>
      </c>
      <c r="B116" s="4">
        <v>2</v>
      </c>
      <c r="C116" s="3" t="s">
        <v>24</v>
      </c>
      <c r="D116" s="3" t="s">
        <v>30</v>
      </c>
      <c r="E116" s="8" t="s">
        <v>464</v>
      </c>
      <c r="F116" s="4"/>
      <c r="G116" s="3" t="s">
        <v>396</v>
      </c>
      <c r="H116" s="16" t="s">
        <v>739</v>
      </c>
      <c r="I116" s="16" t="s">
        <v>615</v>
      </c>
      <c r="J116" s="4"/>
      <c r="K116" s="4"/>
      <c r="L116" s="4" t="s">
        <v>1075</v>
      </c>
      <c r="M116" s="3" t="s">
        <v>465</v>
      </c>
      <c r="N116" s="4"/>
      <c r="O116" s="4"/>
      <c r="P116" s="3" t="s">
        <v>466</v>
      </c>
      <c r="Q116" s="1" t="e">
        <f>IF($B116=0,$M116,_xlfn.TEXTBEFORE(#REF!,"/",$B116,,,#REF!)&amp;"/"&amp;$M116)&amp;IF(_xlfn.TEXTAFTER($D116,"..",,,,1)&lt;&gt;"1","[0]","")</f>
        <v>#REF!</v>
      </c>
    </row>
    <row r="117" spans="1:17" ht="12" customHeight="1" outlineLevel="3" x14ac:dyDescent="0.35">
      <c r="A117" s="2" t="str">
        <f t="shared" si="7"/>
        <v>CC415B</v>
      </c>
      <c r="B117" s="1">
        <v>3</v>
      </c>
      <c r="C117" s="1" t="s">
        <v>19</v>
      </c>
      <c r="D117" s="2" t="s">
        <v>25</v>
      </c>
      <c r="E117" s="9" t="s">
        <v>464</v>
      </c>
      <c r="F117" s="7" t="s">
        <v>50</v>
      </c>
      <c r="G117" s="2" t="s">
        <v>27</v>
      </c>
      <c r="H117" s="7" t="s">
        <v>467</v>
      </c>
      <c r="J117" s="2" t="s">
        <v>468</v>
      </c>
      <c r="L117" s="1" t="s">
        <v>1076</v>
      </c>
      <c r="M117" s="2" t="s">
        <v>469</v>
      </c>
      <c r="P117" s="2" t="s">
        <v>52</v>
      </c>
      <c r="Q117" s="1" t="e">
        <f t="shared" si="4"/>
        <v>#REF!</v>
      </c>
    </row>
    <row r="118" spans="1:17" ht="12" customHeight="1" outlineLevel="2" x14ac:dyDescent="0.35">
      <c r="A118" s="3" t="str">
        <f t="shared" si="7"/>
        <v>CC415B</v>
      </c>
      <c r="B118" s="4">
        <v>2</v>
      </c>
      <c r="C118" s="3" t="s">
        <v>24</v>
      </c>
      <c r="D118" s="3" t="s">
        <v>30</v>
      </c>
      <c r="E118" s="8" t="s">
        <v>470</v>
      </c>
      <c r="F118" s="4"/>
      <c r="G118" s="3" t="s">
        <v>396</v>
      </c>
      <c r="H118" s="16" t="s">
        <v>740</v>
      </c>
      <c r="I118" s="16" t="s">
        <v>743</v>
      </c>
      <c r="J118" s="4"/>
      <c r="K118" s="4"/>
      <c r="L118" s="4" t="s">
        <v>1077</v>
      </c>
      <c r="M118" s="3" t="s">
        <v>470</v>
      </c>
      <c r="N118" s="4"/>
      <c r="O118" s="4"/>
      <c r="P118" s="3" t="s">
        <v>471</v>
      </c>
      <c r="Q118" s="1" t="e">
        <f t="shared" si="4"/>
        <v>#REF!</v>
      </c>
    </row>
    <row r="119" spans="1:17" ht="12" customHeight="1" outlineLevel="3" x14ac:dyDescent="0.35">
      <c r="A119" s="2" t="str">
        <f t="shared" si="7"/>
        <v>CC415B</v>
      </c>
      <c r="B119" s="1">
        <v>3</v>
      </c>
      <c r="C119" s="1" t="s">
        <v>19</v>
      </c>
      <c r="D119" s="2" t="s">
        <v>30</v>
      </c>
      <c r="E119" s="9" t="s">
        <v>472</v>
      </c>
      <c r="F119" s="7" t="s">
        <v>50</v>
      </c>
      <c r="G119" s="2" t="s">
        <v>396</v>
      </c>
      <c r="H119" s="7" t="s">
        <v>473</v>
      </c>
      <c r="I119" s="2" t="s">
        <v>474</v>
      </c>
      <c r="J119" s="2" t="s">
        <v>416</v>
      </c>
      <c r="L119" s="1" t="s">
        <v>1078</v>
      </c>
      <c r="M119" s="2" t="s">
        <v>475</v>
      </c>
      <c r="P119" s="2" t="s">
        <v>52</v>
      </c>
      <c r="Q119" s="1" t="e">
        <f t="shared" ref="Q119:Q172" si="8">IF($B119=0,$M119,_xlfn.TEXTBEFORE(Q118,"/",$B119,,,Q118)&amp;"/"&amp;$M119)&amp;IF(_xlfn.TEXTAFTER($D119,"..",,,,1)&lt;&gt;"1","[0]","")</f>
        <v>#REF!</v>
      </c>
    </row>
    <row r="120" spans="1:17" ht="12" customHeight="1" outlineLevel="3" x14ac:dyDescent="0.35">
      <c r="A120" s="2" t="str">
        <f t="shared" si="7"/>
        <v>CC415B</v>
      </c>
      <c r="B120" s="1">
        <v>3</v>
      </c>
      <c r="C120" s="1" t="s">
        <v>19</v>
      </c>
      <c r="D120" s="2" t="s">
        <v>30</v>
      </c>
      <c r="E120" s="9" t="s">
        <v>476</v>
      </c>
      <c r="F120" s="7" t="s">
        <v>96</v>
      </c>
      <c r="G120" s="2" t="s">
        <v>396</v>
      </c>
      <c r="H120" s="7" t="s">
        <v>742</v>
      </c>
      <c r="I120" s="7" t="s">
        <v>741</v>
      </c>
      <c r="L120" s="1" t="s">
        <v>1079</v>
      </c>
      <c r="M120" s="2" t="s">
        <v>478</v>
      </c>
      <c r="P120" s="2" t="s">
        <v>479</v>
      </c>
      <c r="Q120" s="1" t="e">
        <f t="shared" si="8"/>
        <v>#REF!</v>
      </c>
    </row>
    <row r="121" spans="1:17" ht="12" customHeight="1" outlineLevel="3" x14ac:dyDescent="0.35">
      <c r="A121" s="2" t="str">
        <f t="shared" si="7"/>
        <v>CC415B</v>
      </c>
      <c r="B121" s="1">
        <v>3</v>
      </c>
      <c r="C121" s="1" t="s">
        <v>19</v>
      </c>
      <c r="D121" s="2" t="s">
        <v>30</v>
      </c>
      <c r="E121" s="9" t="s">
        <v>142</v>
      </c>
      <c r="F121" s="7" t="s">
        <v>50</v>
      </c>
      <c r="G121" s="2" t="s">
        <v>396</v>
      </c>
      <c r="H121" s="7" t="s">
        <v>744</v>
      </c>
      <c r="I121" s="2" t="s">
        <v>480</v>
      </c>
      <c r="J121" s="2" t="s">
        <v>416</v>
      </c>
      <c r="M121" s="2" t="s">
        <v>143</v>
      </c>
      <c r="P121" s="2" t="s">
        <v>52</v>
      </c>
      <c r="Q121" s="1" t="e">
        <f t="shared" si="8"/>
        <v>#REF!</v>
      </c>
    </row>
    <row r="122" spans="1:17" ht="12" customHeight="1" outlineLevel="2" x14ac:dyDescent="0.35">
      <c r="A122" s="3" t="str">
        <f t="shared" si="7"/>
        <v>CC415B</v>
      </c>
      <c r="B122" s="4">
        <v>2</v>
      </c>
      <c r="C122" s="3" t="s">
        <v>24</v>
      </c>
      <c r="D122" s="3" t="s">
        <v>30</v>
      </c>
      <c r="E122" s="8" t="s">
        <v>481</v>
      </c>
      <c r="F122" s="4"/>
      <c r="G122" s="3" t="s">
        <v>396</v>
      </c>
      <c r="H122" s="16" t="s">
        <v>746</v>
      </c>
      <c r="I122" s="16" t="s">
        <v>745</v>
      </c>
      <c r="J122" s="4"/>
      <c r="K122" s="4"/>
      <c r="L122" s="4" t="s">
        <v>1080</v>
      </c>
      <c r="M122" s="3" t="s">
        <v>481</v>
      </c>
      <c r="N122" s="4"/>
      <c r="O122" s="4"/>
      <c r="P122" s="3" t="s">
        <v>482</v>
      </c>
      <c r="Q122" s="1" t="e">
        <f t="shared" si="8"/>
        <v>#REF!</v>
      </c>
    </row>
    <row r="123" spans="1:17" ht="12" customHeight="1" outlineLevel="3" x14ac:dyDescent="0.35">
      <c r="A123" s="2" t="str">
        <f t="shared" si="7"/>
        <v>CC415B</v>
      </c>
      <c r="B123" s="1">
        <v>3</v>
      </c>
      <c r="C123" s="1" t="s">
        <v>19</v>
      </c>
      <c r="D123" s="2" t="s">
        <v>25</v>
      </c>
      <c r="E123" s="9" t="s">
        <v>2</v>
      </c>
      <c r="F123" s="7" t="s">
        <v>44</v>
      </c>
      <c r="G123" s="2" t="s">
        <v>27</v>
      </c>
      <c r="H123" s="14"/>
      <c r="J123" s="2" t="s">
        <v>483</v>
      </c>
      <c r="L123" s="1" t="s">
        <v>1081</v>
      </c>
      <c r="M123" s="2" t="s">
        <v>61</v>
      </c>
      <c r="P123" s="2" t="s">
        <v>484</v>
      </c>
      <c r="Q123" s="1" t="e">
        <f t="shared" si="8"/>
        <v>#REF!</v>
      </c>
    </row>
    <row r="124" spans="1:17" ht="12" customHeight="1" outlineLevel="3" x14ac:dyDescent="0.35">
      <c r="A124" s="2" t="str">
        <f t="shared" si="7"/>
        <v>CC415B</v>
      </c>
      <c r="B124" s="1">
        <v>3</v>
      </c>
      <c r="C124" s="1" t="s">
        <v>19</v>
      </c>
      <c r="D124" s="2" t="s">
        <v>25</v>
      </c>
      <c r="E124" s="9" t="s">
        <v>485</v>
      </c>
      <c r="F124" s="7" t="s">
        <v>834</v>
      </c>
      <c r="G124" s="2" t="s">
        <v>27</v>
      </c>
      <c r="H124" s="7" t="s">
        <v>486</v>
      </c>
      <c r="L124" s="1" t="s">
        <v>1082</v>
      </c>
      <c r="M124" s="2" t="s">
        <v>487</v>
      </c>
      <c r="P124" s="2" t="s">
        <v>488</v>
      </c>
      <c r="Q124" s="1" t="e">
        <f t="shared" si="8"/>
        <v>#REF!</v>
      </c>
    </row>
    <row r="125" spans="1:17" ht="12" customHeight="1" outlineLevel="2" x14ac:dyDescent="0.35">
      <c r="A125" s="3" t="str">
        <f t="shared" si="7"/>
        <v>CC415B</v>
      </c>
      <c r="B125" s="4">
        <v>2</v>
      </c>
      <c r="C125" s="3" t="s">
        <v>24</v>
      </c>
      <c r="D125" s="3" t="s">
        <v>193</v>
      </c>
      <c r="E125" s="8" t="s">
        <v>303</v>
      </c>
      <c r="F125" s="4"/>
      <c r="G125" s="3" t="s">
        <v>22</v>
      </c>
      <c r="H125" s="16" t="s">
        <v>489</v>
      </c>
      <c r="I125" s="4"/>
      <c r="J125" s="4"/>
      <c r="K125" s="4"/>
      <c r="L125" s="4" t="s">
        <v>1083</v>
      </c>
      <c r="M125" s="3" t="s">
        <v>304</v>
      </c>
      <c r="N125" s="4"/>
      <c r="O125" s="4"/>
      <c r="P125" s="3" t="s">
        <v>835</v>
      </c>
      <c r="Q125" s="1" t="e">
        <f t="shared" si="8"/>
        <v>#REF!</v>
      </c>
    </row>
    <row r="126" spans="1:17" ht="12" customHeight="1" outlineLevel="3" x14ac:dyDescent="0.35">
      <c r="A126" s="2" t="str">
        <f t="shared" si="7"/>
        <v>CC415B</v>
      </c>
      <c r="B126" s="1">
        <v>3</v>
      </c>
      <c r="C126" s="1" t="s">
        <v>19</v>
      </c>
      <c r="D126" s="2" t="s">
        <v>25</v>
      </c>
      <c r="E126" s="9" t="s">
        <v>56</v>
      </c>
      <c r="F126" s="7" t="s">
        <v>57</v>
      </c>
      <c r="G126" s="2" t="s">
        <v>27</v>
      </c>
      <c r="H126" s="7" t="s">
        <v>393</v>
      </c>
      <c r="M126" s="2" t="s">
        <v>58</v>
      </c>
      <c r="P126" s="2" t="s">
        <v>59</v>
      </c>
      <c r="Q126" s="1" t="e">
        <f t="shared" si="8"/>
        <v>#REF!</v>
      </c>
    </row>
    <row r="127" spans="1:17" ht="12" customHeight="1" outlineLevel="3" x14ac:dyDescent="0.35">
      <c r="A127" s="2" t="str">
        <f t="shared" si="7"/>
        <v>CC415B</v>
      </c>
      <c r="B127" s="1">
        <v>3</v>
      </c>
      <c r="C127" s="1" t="s">
        <v>19</v>
      </c>
      <c r="D127" s="2" t="s">
        <v>25</v>
      </c>
      <c r="E127" s="9" t="s">
        <v>2</v>
      </c>
      <c r="F127" s="7" t="s">
        <v>306</v>
      </c>
      <c r="G127" s="2" t="s">
        <v>27</v>
      </c>
      <c r="H127" s="7" t="s">
        <v>747</v>
      </c>
      <c r="J127" s="2" t="s">
        <v>491</v>
      </c>
      <c r="L127" s="1" t="s">
        <v>1084</v>
      </c>
      <c r="M127" s="2" t="s">
        <v>61</v>
      </c>
      <c r="P127" s="2" t="s">
        <v>307</v>
      </c>
      <c r="Q127" s="1" t="e">
        <f t="shared" si="8"/>
        <v>#REF!</v>
      </c>
    </row>
    <row r="128" spans="1:17" ht="12" customHeight="1" outlineLevel="3" x14ac:dyDescent="0.35">
      <c r="A128" s="2" t="str">
        <f t="shared" si="7"/>
        <v>CC415B</v>
      </c>
      <c r="B128" s="1">
        <v>3</v>
      </c>
      <c r="C128" s="1" t="s">
        <v>19</v>
      </c>
      <c r="D128" s="2" t="s">
        <v>30</v>
      </c>
      <c r="E128" s="9" t="s">
        <v>142</v>
      </c>
      <c r="F128" s="7" t="s">
        <v>50</v>
      </c>
      <c r="G128" s="2" t="s">
        <v>396</v>
      </c>
      <c r="H128" s="7" t="s">
        <v>748</v>
      </c>
      <c r="I128" s="2" t="s">
        <v>493</v>
      </c>
      <c r="J128" s="2" t="s">
        <v>416</v>
      </c>
      <c r="M128" s="2" t="s">
        <v>143</v>
      </c>
      <c r="P128" s="2" t="s">
        <v>52</v>
      </c>
      <c r="Q128" s="1" t="e">
        <f t="shared" si="8"/>
        <v>#REF!</v>
      </c>
    </row>
    <row r="129" spans="1:17" ht="12" customHeight="1" outlineLevel="3" x14ac:dyDescent="0.35">
      <c r="A129" s="2" t="str">
        <f t="shared" si="7"/>
        <v>CC415B</v>
      </c>
      <c r="B129" s="1">
        <v>3</v>
      </c>
      <c r="C129" s="1" t="s">
        <v>19</v>
      </c>
      <c r="D129" s="2" t="s">
        <v>25</v>
      </c>
      <c r="E129" s="9" t="s">
        <v>63</v>
      </c>
      <c r="F129" s="7" t="s">
        <v>83</v>
      </c>
      <c r="G129" s="2" t="s">
        <v>27</v>
      </c>
      <c r="H129" s="7" t="s">
        <v>494</v>
      </c>
      <c r="L129" s="1" t="s">
        <v>1085</v>
      </c>
      <c r="M129" s="2" t="s">
        <v>65</v>
      </c>
      <c r="P129" s="2" t="s">
        <v>308</v>
      </c>
      <c r="Q129" s="1" t="e">
        <f t="shared" si="8"/>
        <v>#REF!</v>
      </c>
    </row>
    <row r="130" spans="1:17" ht="12" customHeight="1" outlineLevel="2" x14ac:dyDescent="0.35">
      <c r="A130" s="3" t="str">
        <f t="shared" si="7"/>
        <v>CC415B</v>
      </c>
      <c r="B130" s="4">
        <v>2</v>
      </c>
      <c r="C130" s="3" t="s">
        <v>24</v>
      </c>
      <c r="D130" s="3" t="s">
        <v>193</v>
      </c>
      <c r="E130" s="8" t="s">
        <v>495</v>
      </c>
      <c r="F130" s="4"/>
      <c r="G130" s="3" t="s">
        <v>22</v>
      </c>
      <c r="H130" s="16" t="s">
        <v>489</v>
      </c>
      <c r="I130" s="4"/>
      <c r="J130" s="4"/>
      <c r="K130" s="4"/>
      <c r="L130" s="4" t="s">
        <v>1086</v>
      </c>
      <c r="M130" s="3" t="s">
        <v>496</v>
      </c>
      <c r="N130" s="4"/>
      <c r="O130" s="4"/>
      <c r="P130" s="3" t="s">
        <v>497</v>
      </c>
      <c r="Q130" s="1" t="e">
        <f t="shared" si="8"/>
        <v>#REF!</v>
      </c>
    </row>
    <row r="131" spans="1:17" ht="12" customHeight="1" outlineLevel="3" x14ac:dyDescent="0.35">
      <c r="A131" s="2" t="str">
        <f t="shared" si="7"/>
        <v>CC415B</v>
      </c>
      <c r="B131" s="1">
        <v>3</v>
      </c>
      <c r="C131" s="1" t="s">
        <v>19</v>
      </c>
      <c r="D131" s="2" t="s">
        <v>25</v>
      </c>
      <c r="E131" s="9" t="s">
        <v>56</v>
      </c>
      <c r="F131" s="7" t="s">
        <v>57</v>
      </c>
      <c r="G131" s="2" t="s">
        <v>27</v>
      </c>
      <c r="H131" s="7" t="s">
        <v>393</v>
      </c>
      <c r="M131" s="2" t="s">
        <v>58</v>
      </c>
      <c r="P131" s="2" t="s">
        <v>59</v>
      </c>
      <c r="Q131" s="1" t="e">
        <f t="shared" si="8"/>
        <v>#REF!</v>
      </c>
    </row>
    <row r="132" spans="1:17" ht="12" customHeight="1" outlineLevel="3" x14ac:dyDescent="0.35">
      <c r="A132" s="2" t="str">
        <f t="shared" si="7"/>
        <v>CC415B</v>
      </c>
      <c r="B132" s="1">
        <v>3</v>
      </c>
      <c r="C132" s="1" t="s">
        <v>19</v>
      </c>
      <c r="D132" s="2" t="s">
        <v>25</v>
      </c>
      <c r="E132" s="9" t="s">
        <v>2</v>
      </c>
      <c r="F132" s="7" t="s">
        <v>306</v>
      </c>
      <c r="G132" s="2" t="s">
        <v>27</v>
      </c>
      <c r="H132" s="7" t="s">
        <v>477</v>
      </c>
      <c r="J132" s="2" t="s">
        <v>498</v>
      </c>
      <c r="L132" s="1" t="s">
        <v>1087</v>
      </c>
      <c r="M132" s="2" t="s">
        <v>61</v>
      </c>
      <c r="P132" s="2" t="s">
        <v>307</v>
      </c>
      <c r="Q132" s="1" t="e">
        <f t="shared" si="8"/>
        <v>#REF!</v>
      </c>
    </row>
    <row r="133" spans="1:17" ht="12" customHeight="1" outlineLevel="3" x14ac:dyDescent="0.35">
      <c r="A133" s="2" t="str">
        <f t="shared" si="7"/>
        <v>CC415B</v>
      </c>
      <c r="B133" s="1">
        <v>3</v>
      </c>
      <c r="C133" s="1" t="s">
        <v>19</v>
      </c>
      <c r="D133" s="2" t="s">
        <v>30</v>
      </c>
      <c r="E133" s="9" t="s">
        <v>142</v>
      </c>
      <c r="F133" s="7" t="s">
        <v>50</v>
      </c>
      <c r="G133" s="2" t="s">
        <v>396</v>
      </c>
      <c r="H133" s="7" t="s">
        <v>748</v>
      </c>
      <c r="I133" s="2" t="s">
        <v>493</v>
      </c>
      <c r="J133" s="2" t="s">
        <v>416</v>
      </c>
      <c r="M133" s="2" t="s">
        <v>143</v>
      </c>
      <c r="P133" s="2" t="s">
        <v>52</v>
      </c>
      <c r="Q133" s="1" t="e">
        <f t="shared" si="8"/>
        <v>#REF!</v>
      </c>
    </row>
    <row r="134" spans="1:17" ht="12" customHeight="1" outlineLevel="3" x14ac:dyDescent="0.35">
      <c r="A134" s="2" t="str">
        <f t="shared" si="7"/>
        <v>CC415B</v>
      </c>
      <c r="B134" s="1">
        <v>3</v>
      </c>
      <c r="C134" s="1" t="s">
        <v>19</v>
      </c>
      <c r="D134" s="2" t="s">
        <v>30</v>
      </c>
      <c r="E134" s="9" t="s">
        <v>63</v>
      </c>
      <c r="F134" s="7" t="s">
        <v>83</v>
      </c>
      <c r="G134" s="2" t="s">
        <v>22</v>
      </c>
      <c r="H134" s="7" t="s">
        <v>494</v>
      </c>
      <c r="L134" s="1" t="s">
        <v>1088</v>
      </c>
      <c r="M134" s="2" t="s">
        <v>65</v>
      </c>
      <c r="P134" s="2" t="s">
        <v>308</v>
      </c>
      <c r="Q134" s="1" t="e">
        <f t="shared" si="8"/>
        <v>#REF!</v>
      </c>
    </row>
    <row r="135" spans="1:17" ht="12" customHeight="1" outlineLevel="3" x14ac:dyDescent="0.35">
      <c r="A135" s="2" t="str">
        <f t="shared" si="7"/>
        <v>CC415B</v>
      </c>
      <c r="B135" s="1">
        <v>3</v>
      </c>
      <c r="C135" s="1" t="s">
        <v>19</v>
      </c>
      <c r="D135" s="2" t="s">
        <v>30</v>
      </c>
      <c r="E135" s="9" t="s">
        <v>499</v>
      </c>
      <c r="F135" s="7" t="s">
        <v>57</v>
      </c>
      <c r="G135" s="2" t="s">
        <v>22</v>
      </c>
      <c r="H135" s="14"/>
      <c r="L135" s="1" t="s">
        <v>1089</v>
      </c>
      <c r="M135" s="2" t="s">
        <v>500</v>
      </c>
      <c r="P135" s="2" t="s">
        <v>255</v>
      </c>
      <c r="Q135" s="1" t="e">
        <f t="shared" si="8"/>
        <v>#REF!</v>
      </c>
    </row>
    <row r="136" spans="1:17" ht="12" customHeight="1" outlineLevel="3" x14ac:dyDescent="0.35">
      <c r="A136" s="2" t="str">
        <f t="shared" si="7"/>
        <v>CC415B</v>
      </c>
      <c r="B136" s="1">
        <v>3</v>
      </c>
      <c r="C136" s="1" t="s">
        <v>19</v>
      </c>
      <c r="D136" s="2" t="s">
        <v>30</v>
      </c>
      <c r="E136" s="9" t="s">
        <v>501</v>
      </c>
      <c r="F136" s="7" t="s">
        <v>83</v>
      </c>
      <c r="G136" s="2" t="s">
        <v>22</v>
      </c>
      <c r="H136" s="14"/>
      <c r="L136" s="1" t="s">
        <v>1090</v>
      </c>
      <c r="M136" s="2" t="s">
        <v>502</v>
      </c>
      <c r="P136" s="2" t="s">
        <v>503</v>
      </c>
      <c r="Q136" s="1" t="e">
        <f t="shared" si="8"/>
        <v>#REF!</v>
      </c>
    </row>
    <row r="137" spans="1:17" ht="12" customHeight="1" outlineLevel="3" x14ac:dyDescent="0.35">
      <c r="A137" s="2" t="str">
        <f t="shared" si="7"/>
        <v>CC415B</v>
      </c>
      <c r="B137" s="1">
        <v>3</v>
      </c>
      <c r="C137" s="1" t="s">
        <v>19</v>
      </c>
      <c r="D137" s="2" t="s">
        <v>30</v>
      </c>
      <c r="E137" s="9" t="s">
        <v>504</v>
      </c>
      <c r="F137" s="2" t="s">
        <v>505</v>
      </c>
      <c r="G137" s="2" t="s">
        <v>22</v>
      </c>
      <c r="H137" s="14"/>
      <c r="L137" s="1" t="s">
        <v>1091</v>
      </c>
      <c r="M137" s="2" t="s">
        <v>506</v>
      </c>
      <c r="P137" s="2" t="s">
        <v>507</v>
      </c>
      <c r="Q137" s="1" t="e">
        <f t="shared" si="8"/>
        <v>#REF!</v>
      </c>
    </row>
    <row r="138" spans="1:17" ht="12" customHeight="1" outlineLevel="2" x14ac:dyDescent="0.35">
      <c r="A138" s="3" t="str">
        <f t="shared" si="7"/>
        <v>CC415B</v>
      </c>
      <c r="B138" s="4">
        <v>2</v>
      </c>
      <c r="C138" s="3" t="s">
        <v>24</v>
      </c>
      <c r="D138" s="3" t="s">
        <v>193</v>
      </c>
      <c r="E138" s="8" t="s">
        <v>508</v>
      </c>
      <c r="F138" s="4"/>
      <c r="G138" s="3" t="s">
        <v>22</v>
      </c>
      <c r="H138" s="16" t="s">
        <v>749</v>
      </c>
      <c r="I138" s="4"/>
      <c r="J138" s="4"/>
      <c r="K138" s="4"/>
      <c r="L138" s="4" t="s">
        <v>1092</v>
      </c>
      <c r="M138" s="3" t="s">
        <v>509</v>
      </c>
      <c r="N138" s="4"/>
      <c r="O138" s="4"/>
      <c r="P138" s="3" t="s">
        <v>510</v>
      </c>
      <c r="Q138" s="1" t="e">
        <f t="shared" si="8"/>
        <v>#REF!</v>
      </c>
    </row>
    <row r="139" spans="1:17" ht="12" customHeight="1" outlineLevel="3" x14ac:dyDescent="0.35">
      <c r="A139" s="2" t="str">
        <f t="shared" si="7"/>
        <v>CC415B</v>
      </c>
      <c r="B139" s="1">
        <v>3</v>
      </c>
      <c r="C139" s="1" t="s">
        <v>19</v>
      </c>
      <c r="D139" s="2" t="s">
        <v>25</v>
      </c>
      <c r="E139" s="9" t="s">
        <v>56</v>
      </c>
      <c r="F139" s="7" t="s">
        <v>57</v>
      </c>
      <c r="G139" s="2" t="s">
        <v>27</v>
      </c>
      <c r="H139" s="7" t="s">
        <v>393</v>
      </c>
      <c r="M139" s="2" t="s">
        <v>58</v>
      </c>
      <c r="P139" s="2" t="s">
        <v>59</v>
      </c>
      <c r="Q139" s="1" t="e">
        <f t="shared" si="8"/>
        <v>#REF!</v>
      </c>
    </row>
    <row r="140" spans="1:17" ht="12" customHeight="1" outlineLevel="3" x14ac:dyDescent="0.35">
      <c r="A140" s="2" t="str">
        <f t="shared" si="7"/>
        <v>CC415B</v>
      </c>
      <c r="B140" s="1">
        <v>3</v>
      </c>
      <c r="C140" s="1" t="s">
        <v>19</v>
      </c>
      <c r="D140" s="2" t="s">
        <v>25</v>
      </c>
      <c r="E140" s="9" t="s">
        <v>2</v>
      </c>
      <c r="F140" s="7" t="s">
        <v>306</v>
      </c>
      <c r="G140" s="2" t="s">
        <v>27</v>
      </c>
      <c r="H140" s="14"/>
      <c r="J140" s="2" t="s">
        <v>511</v>
      </c>
      <c r="L140" s="1" t="s">
        <v>1093</v>
      </c>
      <c r="M140" s="2" t="s">
        <v>61</v>
      </c>
      <c r="P140" s="2" t="s">
        <v>307</v>
      </c>
      <c r="Q140" s="1" t="e">
        <f t="shared" si="8"/>
        <v>#REF!</v>
      </c>
    </row>
    <row r="141" spans="1:17" ht="12" customHeight="1" outlineLevel="3" x14ac:dyDescent="0.35">
      <c r="A141" s="2" t="str">
        <f t="shared" ref="A141:A162" si="9">$E$2</f>
        <v>CC415B</v>
      </c>
      <c r="B141" s="1">
        <v>3</v>
      </c>
      <c r="C141" s="1" t="s">
        <v>19</v>
      </c>
      <c r="D141" s="2" t="s">
        <v>30</v>
      </c>
      <c r="E141" s="9" t="s">
        <v>142</v>
      </c>
      <c r="F141" s="7" t="s">
        <v>50</v>
      </c>
      <c r="G141" s="2" t="s">
        <v>396</v>
      </c>
      <c r="H141" s="7" t="s">
        <v>748</v>
      </c>
      <c r="I141" s="2" t="s">
        <v>493</v>
      </c>
      <c r="J141" s="2" t="s">
        <v>416</v>
      </c>
      <c r="M141" s="2" t="s">
        <v>143</v>
      </c>
      <c r="P141" s="2" t="s">
        <v>52</v>
      </c>
      <c r="Q141" s="1" t="e">
        <f t="shared" si="8"/>
        <v>#REF!</v>
      </c>
    </row>
    <row r="142" spans="1:17" ht="12" customHeight="1" outlineLevel="3" x14ac:dyDescent="0.35">
      <c r="A142" s="2" t="str">
        <f t="shared" si="9"/>
        <v>CC415B</v>
      </c>
      <c r="B142" s="1">
        <v>3</v>
      </c>
      <c r="C142" s="1" t="s">
        <v>19</v>
      </c>
      <c r="D142" s="2" t="s">
        <v>30</v>
      </c>
      <c r="E142" s="9" t="s">
        <v>63</v>
      </c>
      <c r="F142" s="7" t="s">
        <v>83</v>
      </c>
      <c r="G142" s="2" t="s">
        <v>22</v>
      </c>
      <c r="H142" s="7" t="s">
        <v>494</v>
      </c>
      <c r="L142" s="1" t="s">
        <v>1094</v>
      </c>
      <c r="M142" s="2" t="s">
        <v>65</v>
      </c>
      <c r="P142" s="2" t="s">
        <v>308</v>
      </c>
      <c r="Q142" s="1" t="e">
        <f t="shared" si="8"/>
        <v>#REF!</v>
      </c>
    </row>
    <row r="143" spans="1:17" ht="12" customHeight="1" outlineLevel="2" x14ac:dyDescent="0.35">
      <c r="A143" s="3" t="str">
        <f t="shared" si="9"/>
        <v>CC415B</v>
      </c>
      <c r="B143" s="4">
        <v>2</v>
      </c>
      <c r="C143" s="3" t="s">
        <v>24</v>
      </c>
      <c r="D143" s="3" t="s">
        <v>193</v>
      </c>
      <c r="E143" s="8" t="s">
        <v>219</v>
      </c>
      <c r="F143" s="4"/>
      <c r="G143" s="3" t="s">
        <v>22</v>
      </c>
      <c r="H143" s="16" t="s">
        <v>489</v>
      </c>
      <c r="I143" s="4"/>
      <c r="J143" s="4"/>
      <c r="K143" s="4"/>
      <c r="L143" s="4" t="s">
        <v>1095</v>
      </c>
      <c r="M143" s="3" t="s">
        <v>220</v>
      </c>
      <c r="N143" s="4"/>
      <c r="O143" s="4"/>
      <c r="P143" s="3" t="s">
        <v>221</v>
      </c>
      <c r="Q143" s="1" t="e">
        <f t="shared" si="8"/>
        <v>#REF!</v>
      </c>
    </row>
    <row r="144" spans="1:17" ht="12" customHeight="1" outlineLevel="3" x14ac:dyDescent="0.35">
      <c r="A144" s="2" t="str">
        <f t="shared" si="9"/>
        <v>CC415B</v>
      </c>
      <c r="B144" s="1">
        <v>3</v>
      </c>
      <c r="C144" s="1" t="s">
        <v>19</v>
      </c>
      <c r="D144" s="2" t="s">
        <v>25</v>
      </c>
      <c r="E144" s="9" t="s">
        <v>56</v>
      </c>
      <c r="F144" s="7" t="s">
        <v>57</v>
      </c>
      <c r="G144" s="2" t="s">
        <v>27</v>
      </c>
      <c r="H144" s="7" t="s">
        <v>393</v>
      </c>
      <c r="M144" s="2" t="s">
        <v>58</v>
      </c>
      <c r="P144" s="2" t="s">
        <v>59</v>
      </c>
      <c r="Q144" s="1" t="e">
        <f t="shared" si="8"/>
        <v>#REF!</v>
      </c>
    </row>
    <row r="145" spans="1:17" ht="12" customHeight="1" outlineLevel="3" x14ac:dyDescent="0.35">
      <c r="A145" s="2" t="str">
        <f t="shared" si="9"/>
        <v>CC415B</v>
      </c>
      <c r="B145" s="1">
        <v>3</v>
      </c>
      <c r="C145" s="1" t="s">
        <v>19</v>
      </c>
      <c r="D145" s="2" t="s">
        <v>25</v>
      </c>
      <c r="E145" s="9" t="s">
        <v>222</v>
      </c>
      <c r="F145" s="7" t="s">
        <v>223</v>
      </c>
      <c r="G145" s="2" t="s">
        <v>27</v>
      </c>
      <c r="H145" s="7" t="s">
        <v>477</v>
      </c>
      <c r="J145" s="2" t="s">
        <v>513</v>
      </c>
      <c r="L145" s="1" t="s">
        <v>1096</v>
      </c>
      <c r="M145" s="2" t="s">
        <v>224</v>
      </c>
      <c r="P145" s="2" t="s">
        <v>225</v>
      </c>
      <c r="Q145" s="1" t="e">
        <f t="shared" si="8"/>
        <v>#REF!</v>
      </c>
    </row>
    <row r="146" spans="1:17" ht="12" customHeight="1" outlineLevel="3" x14ac:dyDescent="0.35">
      <c r="A146" s="2" t="str">
        <f t="shared" si="9"/>
        <v>CC415B</v>
      </c>
      <c r="B146" s="1">
        <v>3</v>
      </c>
      <c r="C146" s="1" t="s">
        <v>19</v>
      </c>
      <c r="D146" s="2" t="s">
        <v>30</v>
      </c>
      <c r="E146" s="9" t="s">
        <v>142</v>
      </c>
      <c r="F146" s="7" t="s">
        <v>50</v>
      </c>
      <c r="G146" s="2" t="s">
        <v>396</v>
      </c>
      <c r="H146" s="7" t="s">
        <v>748</v>
      </c>
      <c r="I146" s="2" t="s">
        <v>493</v>
      </c>
      <c r="J146" s="2" t="s">
        <v>416</v>
      </c>
      <c r="M146" s="2" t="s">
        <v>143</v>
      </c>
      <c r="P146" s="2" t="s">
        <v>52</v>
      </c>
      <c r="Q146" s="1" t="e">
        <f t="shared" si="8"/>
        <v>#REF!</v>
      </c>
    </row>
    <row r="147" spans="1:17" ht="12" customHeight="1" outlineLevel="3" x14ac:dyDescent="0.35">
      <c r="A147" s="2" t="str">
        <f t="shared" si="9"/>
        <v>CC415B</v>
      </c>
      <c r="B147" s="1">
        <v>3</v>
      </c>
      <c r="C147" s="1" t="s">
        <v>19</v>
      </c>
      <c r="D147" s="2" t="s">
        <v>30</v>
      </c>
      <c r="E147" s="9" t="s">
        <v>226</v>
      </c>
      <c r="F147" s="7" t="s">
        <v>216</v>
      </c>
      <c r="G147" s="2" t="s">
        <v>22</v>
      </c>
      <c r="H147" s="14"/>
      <c r="L147" s="1" t="s">
        <v>1097</v>
      </c>
      <c r="M147" s="2" t="s">
        <v>227</v>
      </c>
      <c r="P147" s="2" t="s">
        <v>218</v>
      </c>
      <c r="Q147" s="1" t="e">
        <f t="shared" si="8"/>
        <v>#REF!</v>
      </c>
    </row>
    <row r="148" spans="1:17" ht="12" customHeight="1" outlineLevel="2" x14ac:dyDescent="0.35">
      <c r="A148" s="3" t="str">
        <f t="shared" si="9"/>
        <v>CC415B</v>
      </c>
      <c r="B148" s="4">
        <v>2</v>
      </c>
      <c r="C148" s="3" t="s">
        <v>24</v>
      </c>
      <c r="D148" s="3" t="s">
        <v>193</v>
      </c>
      <c r="E148" s="8" t="s">
        <v>514</v>
      </c>
      <c r="F148" s="4"/>
      <c r="G148" s="3" t="s">
        <v>396</v>
      </c>
      <c r="H148" s="16" t="s">
        <v>750</v>
      </c>
      <c r="I148" s="3" t="s">
        <v>515</v>
      </c>
      <c r="J148" s="4"/>
      <c r="K148" s="4"/>
      <c r="L148" s="4" t="s">
        <v>1098</v>
      </c>
      <c r="M148" s="3" t="s">
        <v>516</v>
      </c>
      <c r="N148" s="4"/>
      <c r="O148" s="4"/>
      <c r="P148" s="3" t="s">
        <v>517</v>
      </c>
      <c r="Q148" s="1" t="e">
        <f t="shared" si="8"/>
        <v>#REF!</v>
      </c>
    </row>
    <row r="149" spans="1:17" ht="12" customHeight="1" outlineLevel="3" x14ac:dyDescent="0.35">
      <c r="A149" s="2" t="str">
        <f t="shared" si="9"/>
        <v>CC415B</v>
      </c>
      <c r="B149" s="1">
        <v>3</v>
      </c>
      <c r="C149" s="1" t="s">
        <v>19</v>
      </c>
      <c r="D149" s="2" t="s">
        <v>25</v>
      </c>
      <c r="E149" s="9" t="s">
        <v>56</v>
      </c>
      <c r="F149" s="7" t="s">
        <v>57</v>
      </c>
      <c r="G149" s="2" t="s">
        <v>27</v>
      </c>
      <c r="H149" s="7" t="s">
        <v>393</v>
      </c>
      <c r="M149" s="2" t="s">
        <v>58</v>
      </c>
      <c r="P149" s="2" t="s">
        <v>59</v>
      </c>
      <c r="Q149" s="1" t="e">
        <f t="shared" si="8"/>
        <v>#REF!</v>
      </c>
    </row>
    <row r="150" spans="1:17" ht="12" customHeight="1" outlineLevel="3" x14ac:dyDescent="0.35">
      <c r="A150" s="2" t="str">
        <f t="shared" si="9"/>
        <v>CC415B</v>
      </c>
      <c r="B150" s="1">
        <v>3</v>
      </c>
      <c r="C150" s="1" t="s">
        <v>19</v>
      </c>
      <c r="D150" s="2" t="s">
        <v>25</v>
      </c>
      <c r="E150" s="9" t="s">
        <v>222</v>
      </c>
      <c r="F150" s="7" t="s">
        <v>518</v>
      </c>
      <c r="G150" s="2" t="s">
        <v>27</v>
      </c>
      <c r="H150" s="14"/>
      <c r="J150" s="2" t="s">
        <v>519</v>
      </c>
      <c r="L150" s="1" t="s">
        <v>1099</v>
      </c>
      <c r="M150" s="2" t="s">
        <v>224</v>
      </c>
      <c r="P150" s="2" t="s">
        <v>520</v>
      </c>
      <c r="Q150" s="1" t="e">
        <f t="shared" si="8"/>
        <v>#REF!</v>
      </c>
    </row>
    <row r="151" spans="1:17" ht="12" customHeight="1" outlineLevel="3" x14ac:dyDescent="0.35">
      <c r="A151" s="2" t="str">
        <f t="shared" si="9"/>
        <v>CC415B</v>
      </c>
      <c r="B151" s="1">
        <v>3</v>
      </c>
      <c r="C151" s="1" t="s">
        <v>19</v>
      </c>
      <c r="D151" s="2" t="s">
        <v>30</v>
      </c>
      <c r="E151" s="9" t="s">
        <v>524</v>
      </c>
      <c r="F151" s="7" t="s">
        <v>181</v>
      </c>
      <c r="G151" s="2" t="s">
        <v>22</v>
      </c>
      <c r="H151" s="14"/>
      <c r="L151" s="1" t="s">
        <v>1100</v>
      </c>
      <c r="M151" s="2" t="s">
        <v>525</v>
      </c>
      <c r="P151" s="2" t="s">
        <v>183</v>
      </c>
      <c r="Q151" s="1" t="e">
        <f>IF($B151=0,$M151,_xlfn.TEXTBEFORE(#REF!,"/",$B151,,,#REF!)&amp;"/"&amp;$M151)&amp;IF(_xlfn.TEXTAFTER($D151,"..",,,,1)&lt;&gt;"1","[0]","")</f>
        <v>#REF!</v>
      </c>
    </row>
    <row r="152" spans="1:17" ht="12" customHeight="1" outlineLevel="2" x14ac:dyDescent="0.35">
      <c r="A152" s="3" t="str">
        <f t="shared" si="9"/>
        <v>CC415B</v>
      </c>
      <c r="B152" s="4">
        <v>2</v>
      </c>
      <c r="C152" s="3" t="s">
        <v>24</v>
      </c>
      <c r="D152" s="3" t="s">
        <v>193</v>
      </c>
      <c r="E152" s="8" t="s">
        <v>528</v>
      </c>
      <c r="F152" s="4"/>
      <c r="G152" s="3" t="s">
        <v>396</v>
      </c>
      <c r="H152" s="16" t="s">
        <v>751</v>
      </c>
      <c r="I152" s="3" t="s">
        <v>529</v>
      </c>
      <c r="J152" s="4"/>
      <c r="K152" s="4"/>
      <c r="L152" s="4" t="s">
        <v>1101</v>
      </c>
      <c r="M152" s="3" t="s">
        <v>530</v>
      </c>
      <c r="N152" s="4"/>
      <c r="O152" s="4"/>
      <c r="P152" s="3" t="s">
        <v>531</v>
      </c>
      <c r="Q152" s="1" t="e">
        <f>IF($B152=0,$M152,_xlfn.TEXTBEFORE(#REF!,"/",$B152,,,#REF!)&amp;"/"&amp;$M152)&amp;IF(_xlfn.TEXTAFTER($D152,"..",,,,1)&lt;&gt;"1","[0]","")</f>
        <v>#REF!</v>
      </c>
    </row>
    <row r="153" spans="1:17" ht="12" customHeight="1" outlineLevel="3" x14ac:dyDescent="0.35">
      <c r="A153" s="2" t="str">
        <f t="shared" si="9"/>
        <v>CC415B</v>
      </c>
      <c r="B153" s="1">
        <v>3</v>
      </c>
      <c r="C153" s="1" t="s">
        <v>19</v>
      </c>
      <c r="D153" s="2" t="s">
        <v>25</v>
      </c>
      <c r="E153" s="9" t="s">
        <v>56</v>
      </c>
      <c r="F153" s="7" t="s">
        <v>57</v>
      </c>
      <c r="G153" s="2" t="s">
        <v>27</v>
      </c>
      <c r="H153" s="7" t="s">
        <v>393</v>
      </c>
      <c r="M153" s="2" t="s">
        <v>58</v>
      </c>
      <c r="P153" s="2" t="s">
        <v>59</v>
      </c>
      <c r="Q153" s="1" t="e">
        <f t="shared" si="8"/>
        <v>#REF!</v>
      </c>
    </row>
    <row r="154" spans="1:17" ht="12" customHeight="1" outlineLevel="3" x14ac:dyDescent="0.35">
      <c r="A154" s="2" t="str">
        <f t="shared" si="9"/>
        <v>CC415B</v>
      </c>
      <c r="B154" s="1">
        <v>3</v>
      </c>
      <c r="C154" s="1" t="s">
        <v>19</v>
      </c>
      <c r="D154" s="2" t="s">
        <v>25</v>
      </c>
      <c r="E154" s="9" t="s">
        <v>197</v>
      </c>
      <c r="F154" s="7" t="s">
        <v>333</v>
      </c>
      <c r="G154" s="2" t="s">
        <v>27</v>
      </c>
      <c r="H154" s="14"/>
      <c r="J154" s="2" t="s">
        <v>532</v>
      </c>
      <c r="L154" s="1" t="s">
        <v>1102</v>
      </c>
      <c r="M154" s="2" t="s">
        <v>199</v>
      </c>
      <c r="P154" s="2" t="s">
        <v>533</v>
      </c>
      <c r="Q154" s="1" t="e">
        <f t="shared" si="8"/>
        <v>#REF!</v>
      </c>
    </row>
    <row r="155" spans="1:17" ht="12" customHeight="1" outlineLevel="3" x14ac:dyDescent="0.35">
      <c r="A155" s="2" t="str">
        <f t="shared" si="9"/>
        <v>CC415B</v>
      </c>
      <c r="B155" s="1">
        <v>3</v>
      </c>
      <c r="C155" s="1" t="s">
        <v>19</v>
      </c>
      <c r="D155" s="2" t="s">
        <v>25</v>
      </c>
      <c r="E155" s="9" t="s">
        <v>534</v>
      </c>
      <c r="F155" s="7" t="s">
        <v>103</v>
      </c>
      <c r="G155" s="2" t="s">
        <v>27</v>
      </c>
      <c r="H155" s="14"/>
      <c r="L155" s="1" t="s">
        <v>1103</v>
      </c>
      <c r="M155" s="2" t="s">
        <v>535</v>
      </c>
      <c r="P155" s="2" t="s">
        <v>536</v>
      </c>
      <c r="Q155" s="1" t="e">
        <f t="shared" si="8"/>
        <v>#REF!</v>
      </c>
    </row>
    <row r="156" spans="1:17" ht="12" customHeight="1" outlineLevel="2" x14ac:dyDescent="0.35">
      <c r="A156" s="3" t="str">
        <f t="shared" si="9"/>
        <v>CC415B</v>
      </c>
      <c r="B156" s="4">
        <v>2</v>
      </c>
      <c r="C156" s="3" t="s">
        <v>24</v>
      </c>
      <c r="D156" s="3" t="s">
        <v>25</v>
      </c>
      <c r="E156" s="8" t="s">
        <v>241</v>
      </c>
      <c r="F156" s="4"/>
      <c r="G156" s="3" t="s">
        <v>27</v>
      </c>
      <c r="H156" s="15"/>
      <c r="I156" s="4"/>
      <c r="J156" s="4"/>
      <c r="K156" s="4"/>
      <c r="L156" s="4"/>
      <c r="M156" s="3" t="s">
        <v>241</v>
      </c>
      <c r="N156" s="4"/>
      <c r="O156" s="4"/>
      <c r="P156" s="3" t="s">
        <v>836</v>
      </c>
      <c r="Q156" s="1" t="e">
        <f t="shared" si="8"/>
        <v>#REF!</v>
      </c>
    </row>
    <row r="157" spans="1:17" ht="12" customHeight="1" outlineLevel="3" x14ac:dyDescent="0.35">
      <c r="A157" s="2" t="str">
        <f t="shared" si="9"/>
        <v>CC415B</v>
      </c>
      <c r="B157" s="1">
        <v>3</v>
      </c>
      <c r="C157" s="1" t="s">
        <v>19</v>
      </c>
      <c r="D157" s="2" t="s">
        <v>30</v>
      </c>
      <c r="E157" s="9" t="s">
        <v>538</v>
      </c>
      <c r="F157" s="7" t="s">
        <v>123</v>
      </c>
      <c r="G157" s="2" t="s">
        <v>22</v>
      </c>
      <c r="H157" s="14"/>
      <c r="J157" s="2" t="s">
        <v>539</v>
      </c>
      <c r="L157" s="1" t="s">
        <v>1104</v>
      </c>
      <c r="M157" s="2" t="s">
        <v>540</v>
      </c>
      <c r="P157" s="2" t="s">
        <v>367</v>
      </c>
      <c r="Q157" s="1" t="e">
        <f t="shared" si="8"/>
        <v>#REF!</v>
      </c>
    </row>
    <row r="158" spans="1:17" ht="12" customHeight="1" outlineLevel="3" x14ac:dyDescent="0.35">
      <c r="A158" s="2" t="str">
        <f t="shared" si="9"/>
        <v>CC415B</v>
      </c>
      <c r="B158" s="1">
        <v>3</v>
      </c>
      <c r="C158" s="1" t="s">
        <v>19</v>
      </c>
      <c r="D158" s="2" t="s">
        <v>30</v>
      </c>
      <c r="E158" s="9" t="s">
        <v>541</v>
      </c>
      <c r="F158" s="7" t="s">
        <v>123</v>
      </c>
      <c r="G158" s="2" t="s">
        <v>396</v>
      </c>
      <c r="H158" s="7" t="s">
        <v>542</v>
      </c>
      <c r="I158" s="2" t="s">
        <v>543</v>
      </c>
      <c r="J158" s="2" t="s">
        <v>544</v>
      </c>
      <c r="L158" s="1" t="s">
        <v>1105</v>
      </c>
      <c r="M158" s="2" t="s">
        <v>545</v>
      </c>
      <c r="P158" s="2" t="s">
        <v>546</v>
      </c>
      <c r="Q158" s="1" t="e">
        <f t="shared" si="8"/>
        <v>#REF!</v>
      </c>
    </row>
    <row r="159" spans="1:17" ht="12" customHeight="1" outlineLevel="3" x14ac:dyDescent="0.35">
      <c r="A159" s="2" t="str">
        <f t="shared" si="9"/>
        <v>CC415B</v>
      </c>
      <c r="B159" s="1">
        <v>3</v>
      </c>
      <c r="C159" s="1" t="s">
        <v>19</v>
      </c>
      <c r="D159" s="2" t="s">
        <v>30</v>
      </c>
      <c r="E159" s="9" t="s">
        <v>547</v>
      </c>
      <c r="F159" s="7" t="s">
        <v>123</v>
      </c>
      <c r="G159" s="2" t="s">
        <v>396</v>
      </c>
      <c r="H159" s="7" t="s">
        <v>548</v>
      </c>
      <c r="I159" s="7" t="s">
        <v>549</v>
      </c>
      <c r="J159" s="2" t="s">
        <v>544</v>
      </c>
      <c r="L159" s="1" t="s">
        <v>1106</v>
      </c>
      <c r="M159" s="2" t="s">
        <v>550</v>
      </c>
      <c r="P159" s="2" t="s">
        <v>546</v>
      </c>
      <c r="Q159" s="1" t="e">
        <f t="shared" si="8"/>
        <v>#REF!</v>
      </c>
    </row>
    <row r="160" spans="1:17" ht="12" customHeight="1" outlineLevel="3" x14ac:dyDescent="0.35">
      <c r="A160" s="2" t="str">
        <f t="shared" si="9"/>
        <v>CC415B</v>
      </c>
      <c r="B160" s="1">
        <v>3</v>
      </c>
      <c r="C160" s="1" t="s">
        <v>19</v>
      </c>
      <c r="D160" s="2" t="s">
        <v>30</v>
      </c>
      <c r="E160" s="9" t="s">
        <v>310</v>
      </c>
      <c r="F160" s="7" t="s">
        <v>311</v>
      </c>
      <c r="G160" s="2" t="s">
        <v>22</v>
      </c>
      <c r="H160" s="7" t="s">
        <v>551</v>
      </c>
      <c r="L160" s="1" t="s">
        <v>1107</v>
      </c>
      <c r="M160" s="2" t="s">
        <v>312</v>
      </c>
      <c r="P160" s="2" t="s">
        <v>313</v>
      </c>
      <c r="Q160" s="1" t="e">
        <f t="shared" si="8"/>
        <v>#REF!</v>
      </c>
    </row>
    <row r="161" spans="1:17" ht="12" customHeight="1" outlineLevel="3" x14ac:dyDescent="0.35">
      <c r="A161" s="2" t="str">
        <f t="shared" si="9"/>
        <v>CC415B</v>
      </c>
      <c r="B161" s="1">
        <v>3</v>
      </c>
      <c r="C161" s="1" t="s">
        <v>19</v>
      </c>
      <c r="D161" s="2" t="s">
        <v>30</v>
      </c>
      <c r="E161" s="9" t="s">
        <v>552</v>
      </c>
      <c r="F161" s="7" t="s">
        <v>156</v>
      </c>
      <c r="G161" s="2" t="s">
        <v>22</v>
      </c>
      <c r="H161" s="14"/>
      <c r="L161" s="1" t="s">
        <v>1108</v>
      </c>
      <c r="M161" s="2" t="s">
        <v>553</v>
      </c>
      <c r="P161" s="2" t="s">
        <v>554</v>
      </c>
      <c r="Q161" s="1" t="e">
        <f t="shared" si="8"/>
        <v>#REF!</v>
      </c>
    </row>
    <row r="162" spans="1:17" ht="12" customHeight="1" outlineLevel="3" x14ac:dyDescent="0.35">
      <c r="A162" s="3" t="str">
        <f t="shared" si="9"/>
        <v>CC415B</v>
      </c>
      <c r="B162" s="4">
        <v>3</v>
      </c>
      <c r="C162" s="3" t="s">
        <v>24</v>
      </c>
      <c r="D162" s="3" t="s">
        <v>243</v>
      </c>
      <c r="E162" s="10" t="s">
        <v>244</v>
      </c>
      <c r="F162" s="4"/>
      <c r="G162" s="3" t="s">
        <v>22</v>
      </c>
      <c r="H162" s="16" t="s">
        <v>555</v>
      </c>
      <c r="I162" s="4"/>
      <c r="J162" s="4"/>
      <c r="K162" s="4"/>
      <c r="L162" s="4" t="s">
        <v>1109</v>
      </c>
      <c r="M162" s="3" t="s">
        <v>245</v>
      </c>
      <c r="N162" s="4"/>
      <c r="O162" s="4"/>
      <c r="P162" s="3" t="s">
        <v>246</v>
      </c>
      <c r="Q162" s="1" t="e">
        <f t="shared" si="8"/>
        <v>#REF!</v>
      </c>
    </row>
    <row r="163" spans="1:17" ht="12" customHeight="1" outlineLevel="4" x14ac:dyDescent="0.35">
      <c r="A163" s="2" t="str">
        <f t="shared" ref="A163:A194" si="10">$E$2</f>
        <v>CC415B</v>
      </c>
      <c r="B163" s="1">
        <v>4</v>
      </c>
      <c r="C163" s="1" t="s">
        <v>19</v>
      </c>
      <c r="D163" s="2" t="s">
        <v>25</v>
      </c>
      <c r="E163" s="11" t="s">
        <v>56</v>
      </c>
      <c r="F163" s="7" t="s">
        <v>57</v>
      </c>
      <c r="G163" s="2" t="s">
        <v>27</v>
      </c>
      <c r="H163" s="7" t="s">
        <v>393</v>
      </c>
      <c r="M163" s="2" t="s">
        <v>58</v>
      </c>
      <c r="P163" s="2" t="s">
        <v>59</v>
      </c>
      <c r="Q163" s="1" t="e">
        <f t="shared" si="8"/>
        <v>#REF!</v>
      </c>
    </row>
    <row r="164" spans="1:17" ht="12" customHeight="1" outlineLevel="4" x14ac:dyDescent="0.35">
      <c r="A164" s="2" t="str">
        <f t="shared" si="10"/>
        <v>CC415B</v>
      </c>
      <c r="B164" s="1">
        <v>4</v>
      </c>
      <c r="C164" s="1" t="s">
        <v>19</v>
      </c>
      <c r="D164" s="2" t="s">
        <v>25</v>
      </c>
      <c r="E164" s="11" t="s">
        <v>247</v>
      </c>
      <c r="F164" s="7" t="s">
        <v>837</v>
      </c>
      <c r="G164" s="2" t="s">
        <v>27</v>
      </c>
      <c r="H164" s="14"/>
      <c r="L164" s="1" t="s">
        <v>1110</v>
      </c>
      <c r="M164" s="2" t="s">
        <v>248</v>
      </c>
      <c r="P164" s="2" t="s">
        <v>249</v>
      </c>
      <c r="Q164" s="1" t="e">
        <f t="shared" si="8"/>
        <v>#REF!</v>
      </c>
    </row>
    <row r="165" spans="1:17" ht="12" customHeight="1" outlineLevel="4" x14ac:dyDescent="0.35">
      <c r="A165" s="3" t="str">
        <f t="shared" si="10"/>
        <v>CC415B</v>
      </c>
      <c r="B165" s="4">
        <v>4</v>
      </c>
      <c r="C165" s="3" t="s">
        <v>24</v>
      </c>
      <c r="D165" s="3" t="s">
        <v>243</v>
      </c>
      <c r="E165" s="12" t="s">
        <v>250</v>
      </c>
      <c r="F165" s="4"/>
      <c r="G165" s="3" t="s">
        <v>396</v>
      </c>
      <c r="H165" s="15"/>
      <c r="I165" s="3" t="s">
        <v>556</v>
      </c>
      <c r="J165" s="4"/>
      <c r="K165" s="4"/>
      <c r="L165" s="4" t="s">
        <v>1199</v>
      </c>
      <c r="M165" s="3" t="s">
        <v>251</v>
      </c>
      <c r="N165" s="4"/>
      <c r="O165" s="4"/>
      <c r="P165" s="3" t="s">
        <v>252</v>
      </c>
      <c r="Q165" s="1" t="e">
        <f t="shared" si="8"/>
        <v>#REF!</v>
      </c>
    </row>
    <row r="166" spans="1:17" ht="12" customHeight="1" outlineLevel="5" x14ac:dyDescent="0.35">
      <c r="A166" s="2" t="str">
        <f t="shared" si="10"/>
        <v>CC415B</v>
      </c>
      <c r="B166" s="1">
        <v>5</v>
      </c>
      <c r="C166" s="1" t="s">
        <v>19</v>
      </c>
      <c r="D166" s="2" t="s">
        <v>25</v>
      </c>
      <c r="E166" s="13" t="s">
        <v>56</v>
      </c>
      <c r="F166" s="7" t="s">
        <v>57</v>
      </c>
      <c r="G166" s="2" t="s">
        <v>27</v>
      </c>
      <c r="H166" s="7" t="s">
        <v>393</v>
      </c>
      <c r="M166" s="2" t="s">
        <v>58</v>
      </c>
      <c r="P166" s="2" t="s">
        <v>59</v>
      </c>
      <c r="Q166" s="1" t="e">
        <f t="shared" si="8"/>
        <v>#REF!</v>
      </c>
    </row>
    <row r="167" spans="1:17" ht="12" customHeight="1" outlineLevel="5" x14ac:dyDescent="0.35">
      <c r="A167" s="2" t="str">
        <f t="shared" si="10"/>
        <v>CC415B</v>
      </c>
      <c r="B167" s="1">
        <v>5</v>
      </c>
      <c r="C167" s="1" t="s">
        <v>19</v>
      </c>
      <c r="D167" s="2" t="s">
        <v>25</v>
      </c>
      <c r="E167" s="13" t="s">
        <v>253</v>
      </c>
      <c r="F167" s="7" t="s">
        <v>57</v>
      </c>
      <c r="G167" s="2" t="s">
        <v>27</v>
      </c>
      <c r="H167" s="14"/>
      <c r="L167" s="1" t="s">
        <v>1200</v>
      </c>
      <c r="M167" s="2" t="s">
        <v>254</v>
      </c>
      <c r="P167" s="2" t="s">
        <v>255</v>
      </c>
      <c r="Q167" s="1" t="e">
        <f t="shared" si="8"/>
        <v>#REF!</v>
      </c>
    </row>
    <row r="168" spans="1:17" ht="12" customHeight="1" outlineLevel="3" x14ac:dyDescent="0.35">
      <c r="A168" s="3" t="str">
        <f t="shared" si="10"/>
        <v>CC415B</v>
      </c>
      <c r="B168" s="4">
        <v>3</v>
      </c>
      <c r="C168" s="3" t="s">
        <v>24</v>
      </c>
      <c r="D168" s="3" t="s">
        <v>30</v>
      </c>
      <c r="E168" s="10" t="s">
        <v>256</v>
      </c>
      <c r="F168" s="4"/>
      <c r="G168" s="3" t="s">
        <v>396</v>
      </c>
      <c r="H168" s="16" t="s">
        <v>557</v>
      </c>
      <c r="I168" s="16" t="s">
        <v>752</v>
      </c>
      <c r="J168" s="4"/>
      <c r="K168" s="4"/>
      <c r="L168" s="4" t="s">
        <v>1111</v>
      </c>
      <c r="M168" s="3" t="s">
        <v>257</v>
      </c>
      <c r="N168" s="4"/>
      <c r="O168" s="4"/>
      <c r="P168" s="3" t="s">
        <v>838</v>
      </c>
      <c r="Q168" s="1" t="e">
        <f t="shared" si="8"/>
        <v>#REF!</v>
      </c>
    </row>
    <row r="169" spans="1:17" ht="12" customHeight="1" outlineLevel="4" x14ac:dyDescent="0.35">
      <c r="A169" s="2" t="str">
        <f t="shared" si="10"/>
        <v>CC415B</v>
      </c>
      <c r="B169" s="1">
        <v>4</v>
      </c>
      <c r="C169" s="1" t="s">
        <v>19</v>
      </c>
      <c r="D169" s="2" t="s">
        <v>25</v>
      </c>
      <c r="E169" s="11" t="s">
        <v>259</v>
      </c>
      <c r="F169" s="7" t="s">
        <v>44</v>
      </c>
      <c r="G169" s="2" t="s">
        <v>27</v>
      </c>
      <c r="H169" s="14"/>
      <c r="J169" s="2" t="s">
        <v>558</v>
      </c>
      <c r="L169" s="1" t="s">
        <v>1112</v>
      </c>
      <c r="M169" s="2" t="s">
        <v>260</v>
      </c>
      <c r="P169" s="2" t="s">
        <v>261</v>
      </c>
      <c r="Q169" s="1" t="e">
        <f t="shared" si="8"/>
        <v>#REF!</v>
      </c>
    </row>
    <row r="170" spans="1:17" ht="12" customHeight="1" outlineLevel="4" x14ac:dyDescent="0.35">
      <c r="A170" s="2" t="str">
        <f t="shared" si="10"/>
        <v>CC415B</v>
      </c>
      <c r="B170" s="1">
        <v>4</v>
      </c>
      <c r="C170" s="1" t="s">
        <v>19</v>
      </c>
      <c r="D170" s="2" t="s">
        <v>25</v>
      </c>
      <c r="E170" s="11" t="s">
        <v>262</v>
      </c>
      <c r="F170" s="7" t="s">
        <v>44</v>
      </c>
      <c r="G170" s="2" t="s">
        <v>27</v>
      </c>
      <c r="H170" s="7" t="s">
        <v>559</v>
      </c>
      <c r="J170" s="2" t="s">
        <v>560</v>
      </c>
      <c r="L170" s="1" t="s">
        <v>1113</v>
      </c>
      <c r="M170" s="2" t="s">
        <v>263</v>
      </c>
      <c r="P170" s="2" t="s">
        <v>264</v>
      </c>
      <c r="Q170" s="1" t="e">
        <f t="shared" si="8"/>
        <v>#REF!</v>
      </c>
    </row>
    <row r="171" spans="1:17" ht="12" customHeight="1" outlineLevel="4" x14ac:dyDescent="0.35">
      <c r="A171" s="2" t="str">
        <f t="shared" si="10"/>
        <v>CC415B</v>
      </c>
      <c r="B171" s="1">
        <v>4</v>
      </c>
      <c r="C171" s="1" t="s">
        <v>19</v>
      </c>
      <c r="D171" s="2" t="s">
        <v>30</v>
      </c>
      <c r="E171" s="11" t="s">
        <v>265</v>
      </c>
      <c r="F171" s="7" t="s">
        <v>834</v>
      </c>
      <c r="G171" s="2" t="s">
        <v>396</v>
      </c>
      <c r="H171" s="14"/>
      <c r="I171" s="2" t="s">
        <v>561</v>
      </c>
      <c r="L171" s="1" t="s">
        <v>1114</v>
      </c>
      <c r="M171" s="2" t="s">
        <v>266</v>
      </c>
      <c r="P171" s="2" t="s">
        <v>66</v>
      </c>
      <c r="Q171" s="1" t="e">
        <f t="shared" si="8"/>
        <v>#REF!</v>
      </c>
    </row>
    <row r="172" spans="1:17" ht="12" customHeight="1" outlineLevel="4" x14ac:dyDescent="0.35">
      <c r="A172" s="2" t="str">
        <f t="shared" si="10"/>
        <v>CC415B</v>
      </c>
      <c r="B172" s="1">
        <v>4</v>
      </c>
      <c r="C172" s="1" t="s">
        <v>19</v>
      </c>
      <c r="D172" s="2" t="s">
        <v>30</v>
      </c>
      <c r="E172" s="11" t="s">
        <v>267</v>
      </c>
      <c r="F172" s="7" t="s">
        <v>60</v>
      </c>
      <c r="G172" s="2" t="s">
        <v>396</v>
      </c>
      <c r="H172" s="14"/>
      <c r="I172" s="2" t="s">
        <v>562</v>
      </c>
      <c r="L172" s="1" t="s">
        <v>1115</v>
      </c>
      <c r="M172" s="2" t="s">
        <v>268</v>
      </c>
      <c r="P172" s="2" t="s">
        <v>269</v>
      </c>
      <c r="Q172" s="1" t="e">
        <f t="shared" si="8"/>
        <v>#REF!</v>
      </c>
    </row>
    <row r="173" spans="1:17" ht="12" customHeight="1" outlineLevel="4" x14ac:dyDescent="0.35">
      <c r="A173" s="2" t="str">
        <f t="shared" si="10"/>
        <v>CC415B</v>
      </c>
      <c r="B173" s="1">
        <v>4</v>
      </c>
      <c r="C173" s="1" t="s">
        <v>19</v>
      </c>
      <c r="D173" s="2" t="s">
        <v>30</v>
      </c>
      <c r="E173" s="11" t="s">
        <v>270</v>
      </c>
      <c r="F173" s="7" t="s">
        <v>103</v>
      </c>
      <c r="G173" s="2" t="s">
        <v>396</v>
      </c>
      <c r="H173" s="14"/>
      <c r="I173" s="2" t="s">
        <v>561</v>
      </c>
      <c r="J173" s="2" t="s">
        <v>459</v>
      </c>
      <c r="L173" s="1" t="s">
        <v>1116</v>
      </c>
      <c r="M173" s="2" t="s">
        <v>271</v>
      </c>
      <c r="P173" s="2" t="s">
        <v>272</v>
      </c>
      <c r="Q173" s="1" t="e">
        <f t="shared" ref="Q173:Q236" si="11">IF($B173=0,$M173,_xlfn.TEXTBEFORE(Q172,"/",$B173,,,Q172)&amp;"/"&amp;$M173)&amp;IF(_xlfn.TEXTAFTER($D173,"..",,,,1)&lt;&gt;"1","[0]","")</f>
        <v>#REF!</v>
      </c>
    </row>
    <row r="174" spans="1:17" ht="12" customHeight="1" outlineLevel="4" x14ac:dyDescent="0.35">
      <c r="A174" s="3" t="str">
        <f t="shared" si="10"/>
        <v>CC415B</v>
      </c>
      <c r="B174" s="4">
        <v>4</v>
      </c>
      <c r="C174" s="3" t="s">
        <v>24</v>
      </c>
      <c r="D174" s="3" t="s">
        <v>30</v>
      </c>
      <c r="E174" s="12" t="s">
        <v>273</v>
      </c>
      <c r="F174" s="4"/>
      <c r="G174" s="3" t="s">
        <v>396</v>
      </c>
      <c r="H174" s="15"/>
      <c r="I174" s="3" t="s">
        <v>561</v>
      </c>
      <c r="J174" s="4"/>
      <c r="K174" s="4"/>
      <c r="L174" s="4" t="s">
        <v>1117</v>
      </c>
      <c r="M174" s="3" t="s">
        <v>274</v>
      </c>
      <c r="N174" s="4"/>
      <c r="O174" s="4"/>
      <c r="P174" s="3" t="s">
        <v>275</v>
      </c>
      <c r="Q174" s="1" t="e">
        <f t="shared" si="11"/>
        <v>#REF!</v>
      </c>
    </row>
    <row r="175" spans="1:17" ht="12" customHeight="1" outlineLevel="5" x14ac:dyDescent="0.35">
      <c r="A175" s="2" t="str">
        <f t="shared" si="10"/>
        <v>CC415B</v>
      </c>
      <c r="B175" s="1">
        <v>5</v>
      </c>
      <c r="C175" s="1" t="s">
        <v>19</v>
      </c>
      <c r="D175" s="2" t="s">
        <v>25</v>
      </c>
      <c r="E175" s="13" t="s">
        <v>63</v>
      </c>
      <c r="F175" s="7" t="s">
        <v>74</v>
      </c>
      <c r="G175" s="2" t="s">
        <v>27</v>
      </c>
      <c r="H175" s="14"/>
      <c r="J175" s="2" t="s">
        <v>399</v>
      </c>
      <c r="L175" s="1" t="s">
        <v>1118</v>
      </c>
      <c r="M175" s="2" t="s">
        <v>65</v>
      </c>
      <c r="P175" s="2" t="s">
        <v>75</v>
      </c>
      <c r="Q175" s="1" t="e">
        <f t="shared" si="11"/>
        <v>#REF!</v>
      </c>
    </row>
    <row r="176" spans="1:17" ht="12" customHeight="1" outlineLevel="4" x14ac:dyDescent="0.35">
      <c r="A176" s="3" t="str">
        <f t="shared" si="10"/>
        <v>CC415B</v>
      </c>
      <c r="B176" s="4">
        <v>4</v>
      </c>
      <c r="C176" s="3" t="s">
        <v>24</v>
      </c>
      <c r="D176" s="3" t="s">
        <v>30</v>
      </c>
      <c r="E176" s="12" t="s">
        <v>276</v>
      </c>
      <c r="F176" s="4"/>
      <c r="G176" s="3" t="s">
        <v>396</v>
      </c>
      <c r="H176" s="16" t="s">
        <v>563</v>
      </c>
      <c r="I176" s="3" t="s">
        <v>561</v>
      </c>
      <c r="J176" s="4"/>
      <c r="K176" s="4"/>
      <c r="L176" s="4" t="s">
        <v>1119</v>
      </c>
      <c r="M176" s="3" t="s">
        <v>277</v>
      </c>
      <c r="N176" s="4"/>
      <c r="O176" s="4"/>
      <c r="P176" s="3" t="s">
        <v>278</v>
      </c>
      <c r="Q176" s="1" t="e">
        <f t="shared" si="11"/>
        <v>#REF!</v>
      </c>
    </row>
    <row r="177" spans="1:17" ht="12" customHeight="1" outlineLevel="5" x14ac:dyDescent="0.35">
      <c r="A177" s="2" t="str">
        <f t="shared" si="10"/>
        <v>CC415B</v>
      </c>
      <c r="B177" s="1">
        <v>5</v>
      </c>
      <c r="C177" s="1" t="s">
        <v>19</v>
      </c>
      <c r="D177" s="2" t="s">
        <v>25</v>
      </c>
      <c r="E177" s="13" t="s">
        <v>279</v>
      </c>
      <c r="F177" s="7" t="s">
        <v>280</v>
      </c>
      <c r="G177" s="2" t="s">
        <v>27</v>
      </c>
      <c r="H177" s="14"/>
      <c r="L177" s="1" t="s">
        <v>1120</v>
      </c>
      <c r="M177" s="2" t="s">
        <v>281</v>
      </c>
      <c r="P177" s="2" t="s">
        <v>282</v>
      </c>
      <c r="Q177" s="1" t="e">
        <f t="shared" si="11"/>
        <v>#REF!</v>
      </c>
    </row>
    <row r="178" spans="1:17" ht="12" customHeight="1" outlineLevel="5" x14ac:dyDescent="0.35">
      <c r="A178" s="2" t="str">
        <f t="shared" si="10"/>
        <v>CC415B</v>
      </c>
      <c r="B178" s="1">
        <v>5</v>
      </c>
      <c r="C178" s="1" t="s">
        <v>19</v>
      </c>
      <c r="D178" s="2" t="s">
        <v>25</v>
      </c>
      <c r="E178" s="13" t="s">
        <v>283</v>
      </c>
      <c r="F178" s="7" t="s">
        <v>284</v>
      </c>
      <c r="G178" s="2" t="s">
        <v>27</v>
      </c>
      <c r="H178" s="14"/>
      <c r="L178" s="1" t="s">
        <v>1121</v>
      </c>
      <c r="M178" s="2" t="s">
        <v>285</v>
      </c>
      <c r="P178" s="2" t="s">
        <v>286</v>
      </c>
      <c r="Q178" s="1" t="e">
        <f t="shared" si="11"/>
        <v>#REF!</v>
      </c>
    </row>
    <row r="179" spans="1:17" ht="12" customHeight="1" outlineLevel="4" x14ac:dyDescent="0.35">
      <c r="A179" s="3" t="str">
        <f t="shared" si="10"/>
        <v>CC415B</v>
      </c>
      <c r="B179" s="4">
        <v>4</v>
      </c>
      <c r="C179" s="3" t="s">
        <v>24</v>
      </c>
      <c r="D179" s="3" t="s">
        <v>30</v>
      </c>
      <c r="E179" s="12" t="s">
        <v>287</v>
      </c>
      <c r="F179" s="4"/>
      <c r="G179" s="3" t="s">
        <v>396</v>
      </c>
      <c r="H179" s="15"/>
      <c r="I179" s="3" t="s">
        <v>561</v>
      </c>
      <c r="J179" s="4"/>
      <c r="K179" s="4"/>
      <c r="L179" s="4" t="s">
        <v>1122</v>
      </c>
      <c r="M179" s="3" t="s">
        <v>288</v>
      </c>
      <c r="N179" s="4"/>
      <c r="O179" s="4"/>
      <c r="P179" s="3" t="s">
        <v>289</v>
      </c>
      <c r="Q179" s="1" t="e">
        <f t="shared" si="11"/>
        <v>#REF!</v>
      </c>
    </row>
    <row r="180" spans="1:17" ht="12" customHeight="1" outlineLevel="5" x14ac:dyDescent="0.35">
      <c r="A180" s="2" t="str">
        <f t="shared" si="10"/>
        <v>CC415B</v>
      </c>
      <c r="B180" s="1">
        <v>5</v>
      </c>
      <c r="C180" s="1" t="s">
        <v>19</v>
      </c>
      <c r="D180" s="2" t="s">
        <v>25</v>
      </c>
      <c r="E180" s="13" t="s">
        <v>81</v>
      </c>
      <c r="F180" s="7" t="s">
        <v>68</v>
      </c>
      <c r="G180" s="2" t="s">
        <v>27</v>
      </c>
      <c r="H180" s="14"/>
      <c r="L180" s="1" t="s">
        <v>1123</v>
      </c>
      <c r="M180" s="2" t="s">
        <v>82</v>
      </c>
      <c r="P180" s="2" t="s">
        <v>70</v>
      </c>
      <c r="Q180" s="1" t="e">
        <f t="shared" si="11"/>
        <v>#REF!</v>
      </c>
    </row>
    <row r="181" spans="1:17" ht="12" customHeight="1" outlineLevel="4" x14ac:dyDescent="0.35">
      <c r="A181" s="3" t="str">
        <f t="shared" si="10"/>
        <v>CC415B</v>
      </c>
      <c r="B181" s="4">
        <v>4</v>
      </c>
      <c r="C181" s="3" t="s">
        <v>24</v>
      </c>
      <c r="D181" s="3" t="s">
        <v>30</v>
      </c>
      <c r="E181" s="12" t="s">
        <v>86</v>
      </c>
      <c r="F181" s="4"/>
      <c r="G181" s="3" t="s">
        <v>396</v>
      </c>
      <c r="H181" s="15"/>
      <c r="I181" s="3" t="s">
        <v>561</v>
      </c>
      <c r="J181" s="4"/>
      <c r="K181" s="4"/>
      <c r="L181" s="4" t="s">
        <v>1124</v>
      </c>
      <c r="M181" s="3" t="s">
        <v>86</v>
      </c>
      <c r="N181" s="4"/>
      <c r="O181" s="4"/>
      <c r="P181" s="3" t="s">
        <v>87</v>
      </c>
      <c r="Q181" s="1" t="e">
        <f t="shared" si="11"/>
        <v>#REF!</v>
      </c>
    </row>
    <row r="182" spans="1:17" ht="12" customHeight="1" outlineLevel="5" x14ac:dyDescent="0.35">
      <c r="A182" s="2" t="str">
        <f t="shared" si="10"/>
        <v>CC415B</v>
      </c>
      <c r="B182" s="1">
        <v>5</v>
      </c>
      <c r="C182" s="1" t="s">
        <v>19</v>
      </c>
      <c r="D182" s="2" t="s">
        <v>25</v>
      </c>
      <c r="E182" s="13" t="s">
        <v>88</v>
      </c>
      <c r="F182" s="7" t="s">
        <v>83</v>
      </c>
      <c r="G182" s="2" t="s">
        <v>27</v>
      </c>
      <c r="H182" s="14"/>
      <c r="L182" s="1" t="s">
        <v>1125</v>
      </c>
      <c r="M182" s="2" t="s">
        <v>89</v>
      </c>
      <c r="P182" s="2" t="s">
        <v>90</v>
      </c>
      <c r="Q182" s="1" t="e">
        <f t="shared" si="11"/>
        <v>#REF!</v>
      </c>
    </row>
    <row r="183" spans="1:17" ht="12" customHeight="1" outlineLevel="5" x14ac:dyDescent="0.35">
      <c r="A183" s="2" t="str">
        <f t="shared" si="10"/>
        <v>CC415B</v>
      </c>
      <c r="B183" s="1">
        <v>5</v>
      </c>
      <c r="C183" s="1" t="s">
        <v>19</v>
      </c>
      <c r="D183" s="2" t="s">
        <v>30</v>
      </c>
      <c r="E183" s="13" t="s">
        <v>91</v>
      </c>
      <c r="F183" s="7" t="s">
        <v>92</v>
      </c>
      <c r="G183" s="2" t="s">
        <v>396</v>
      </c>
      <c r="H183" s="14"/>
      <c r="I183" s="2" t="s">
        <v>402</v>
      </c>
      <c r="L183" s="1" t="s">
        <v>1126</v>
      </c>
      <c r="M183" s="2" t="s">
        <v>93</v>
      </c>
      <c r="P183" s="2" t="s">
        <v>94</v>
      </c>
      <c r="Q183" s="1" t="e">
        <f t="shared" si="11"/>
        <v>#REF!</v>
      </c>
    </row>
    <row r="184" spans="1:17" ht="12" customHeight="1" outlineLevel="5" x14ac:dyDescent="0.35">
      <c r="A184" s="2" t="str">
        <f t="shared" si="10"/>
        <v>CC415B</v>
      </c>
      <c r="B184" s="1">
        <v>5</v>
      </c>
      <c r="C184" s="1" t="s">
        <v>19</v>
      </c>
      <c r="D184" s="2" t="s">
        <v>25</v>
      </c>
      <c r="E184" s="13" t="s">
        <v>95</v>
      </c>
      <c r="F184" s="7" t="s">
        <v>96</v>
      </c>
      <c r="G184" s="2" t="s">
        <v>27</v>
      </c>
      <c r="H184" s="14"/>
      <c r="L184" s="1" t="s">
        <v>1127</v>
      </c>
      <c r="M184" s="2" t="s">
        <v>97</v>
      </c>
      <c r="P184" s="2" t="s">
        <v>98</v>
      </c>
      <c r="Q184" s="1" t="e">
        <f t="shared" si="11"/>
        <v>#REF!</v>
      </c>
    </row>
    <row r="185" spans="1:17" ht="12" customHeight="1" outlineLevel="5" x14ac:dyDescent="0.35">
      <c r="A185" s="2" t="str">
        <f t="shared" si="10"/>
        <v>CC415B</v>
      </c>
      <c r="B185" s="1">
        <v>5</v>
      </c>
      <c r="C185" s="1" t="s">
        <v>19</v>
      </c>
      <c r="D185" s="2" t="s">
        <v>25</v>
      </c>
      <c r="E185" s="13" t="s">
        <v>99</v>
      </c>
      <c r="F185" s="7" t="s">
        <v>50</v>
      </c>
      <c r="G185" s="2" t="s">
        <v>27</v>
      </c>
      <c r="H185" s="14"/>
      <c r="J185" s="2" t="s">
        <v>403</v>
      </c>
      <c r="L185" s="1" t="s">
        <v>1128</v>
      </c>
      <c r="M185" s="2" t="s">
        <v>100</v>
      </c>
      <c r="P185" s="2" t="s">
        <v>52</v>
      </c>
      <c r="Q185" s="1" t="e">
        <f t="shared" si="11"/>
        <v>#REF!</v>
      </c>
    </row>
    <row r="186" spans="1:17" ht="12" customHeight="1" outlineLevel="4" x14ac:dyDescent="0.35">
      <c r="A186" s="3" t="str">
        <f t="shared" si="10"/>
        <v>CC415B</v>
      </c>
      <c r="B186" s="4">
        <v>4</v>
      </c>
      <c r="C186" s="3" t="s">
        <v>24</v>
      </c>
      <c r="D186" s="3" t="s">
        <v>30</v>
      </c>
      <c r="E186" s="12" t="s">
        <v>290</v>
      </c>
      <c r="F186" s="4"/>
      <c r="G186" s="3" t="s">
        <v>396</v>
      </c>
      <c r="H186" s="15"/>
      <c r="I186" s="3" t="s">
        <v>561</v>
      </c>
      <c r="J186" s="4"/>
      <c r="K186" s="4"/>
      <c r="L186" s="4" t="s">
        <v>1129</v>
      </c>
      <c r="M186" s="3" t="s">
        <v>291</v>
      </c>
      <c r="N186" s="4"/>
      <c r="O186" s="4"/>
      <c r="P186" s="3" t="s">
        <v>292</v>
      </c>
      <c r="Q186" s="1" t="e">
        <f t="shared" si="11"/>
        <v>#REF!</v>
      </c>
    </row>
    <row r="187" spans="1:17" ht="12" customHeight="1" outlineLevel="5" x14ac:dyDescent="0.35">
      <c r="A187" s="2" t="str">
        <f t="shared" si="10"/>
        <v>CC415B</v>
      </c>
      <c r="B187" s="1">
        <v>5</v>
      </c>
      <c r="C187" s="1" t="s">
        <v>19</v>
      </c>
      <c r="D187" s="2" t="s">
        <v>30</v>
      </c>
      <c r="E187" s="13" t="s">
        <v>293</v>
      </c>
      <c r="F187" s="7" t="s">
        <v>96</v>
      </c>
      <c r="G187" s="2" t="s">
        <v>396</v>
      </c>
      <c r="H187" s="14"/>
      <c r="I187" s="2" t="s">
        <v>564</v>
      </c>
      <c r="L187" s="1" t="s">
        <v>1130</v>
      </c>
      <c r="M187" s="2" t="s">
        <v>294</v>
      </c>
      <c r="P187" s="2" t="s">
        <v>295</v>
      </c>
      <c r="Q187" s="1" t="e">
        <f t="shared" si="11"/>
        <v>#REF!</v>
      </c>
    </row>
    <row r="188" spans="1:17" ht="12" customHeight="1" outlineLevel="5" x14ac:dyDescent="0.35">
      <c r="A188" s="2" t="str">
        <f t="shared" si="10"/>
        <v>CC415B</v>
      </c>
      <c r="B188" s="1">
        <v>5</v>
      </c>
      <c r="C188" s="1" t="s">
        <v>19</v>
      </c>
      <c r="D188" s="2" t="s">
        <v>25</v>
      </c>
      <c r="E188" s="13" t="s">
        <v>91</v>
      </c>
      <c r="F188" s="7" t="s">
        <v>92</v>
      </c>
      <c r="G188" s="2" t="s">
        <v>27</v>
      </c>
      <c r="H188" s="14"/>
      <c r="L188" s="1" t="s">
        <v>1131</v>
      </c>
      <c r="M188" s="2" t="s">
        <v>93</v>
      </c>
      <c r="P188" s="2" t="s">
        <v>94</v>
      </c>
      <c r="Q188" s="1" t="e">
        <f t="shared" si="11"/>
        <v>#REF!</v>
      </c>
    </row>
    <row r="189" spans="1:17" ht="12" customHeight="1" outlineLevel="5" x14ac:dyDescent="0.35">
      <c r="A189" s="2" t="str">
        <f t="shared" si="10"/>
        <v>CC415B</v>
      </c>
      <c r="B189" s="1">
        <v>5</v>
      </c>
      <c r="C189" s="1" t="s">
        <v>19</v>
      </c>
      <c r="D189" s="2" t="s">
        <v>25</v>
      </c>
      <c r="E189" s="13" t="s">
        <v>99</v>
      </c>
      <c r="F189" s="7" t="s">
        <v>50</v>
      </c>
      <c r="G189" s="2" t="s">
        <v>27</v>
      </c>
      <c r="H189" s="14"/>
      <c r="J189" s="2" t="s">
        <v>565</v>
      </c>
      <c r="L189" s="1" t="s">
        <v>1132</v>
      </c>
      <c r="M189" s="2" t="s">
        <v>100</v>
      </c>
      <c r="P189" s="2" t="s">
        <v>52</v>
      </c>
      <c r="Q189" s="1" t="e">
        <f t="shared" si="11"/>
        <v>#REF!</v>
      </c>
    </row>
    <row r="190" spans="1:17" ht="12" customHeight="1" outlineLevel="3" x14ac:dyDescent="0.35">
      <c r="A190" s="3" t="str">
        <f t="shared" si="10"/>
        <v>CC415B</v>
      </c>
      <c r="B190" s="4">
        <v>3</v>
      </c>
      <c r="C190" s="3" t="s">
        <v>24</v>
      </c>
      <c r="D190" s="3" t="s">
        <v>30</v>
      </c>
      <c r="E190" s="10" t="s">
        <v>566</v>
      </c>
      <c r="F190" s="4"/>
      <c r="G190" s="3" t="s">
        <v>396</v>
      </c>
      <c r="H190" s="16" t="s">
        <v>753</v>
      </c>
      <c r="I190" s="16" t="s">
        <v>567</v>
      </c>
      <c r="J190" s="4"/>
      <c r="K190" s="4"/>
      <c r="L190" s="4" t="s">
        <v>1133</v>
      </c>
      <c r="M190" s="3" t="s">
        <v>568</v>
      </c>
      <c r="N190" s="4"/>
      <c r="O190" s="4"/>
      <c r="P190" s="3" t="s">
        <v>569</v>
      </c>
      <c r="Q190" s="1" t="e">
        <f t="shared" si="11"/>
        <v>#REF!</v>
      </c>
    </row>
    <row r="191" spans="1:17" ht="12" customHeight="1" outlineLevel="4" x14ac:dyDescent="0.35">
      <c r="A191" s="2" t="str">
        <f t="shared" si="10"/>
        <v>CC415B</v>
      </c>
      <c r="B191" s="1">
        <v>4</v>
      </c>
      <c r="C191" s="1" t="s">
        <v>19</v>
      </c>
      <c r="D191" s="2" t="s">
        <v>25</v>
      </c>
      <c r="E191" s="11" t="s">
        <v>570</v>
      </c>
      <c r="F191" s="7" t="s">
        <v>132</v>
      </c>
      <c r="G191" s="2" t="s">
        <v>27</v>
      </c>
      <c r="H191" s="14"/>
      <c r="J191" s="2" t="s">
        <v>571</v>
      </c>
      <c r="L191" s="1" t="s">
        <v>1134</v>
      </c>
      <c r="M191" s="2" t="s">
        <v>572</v>
      </c>
      <c r="P191" s="2" t="s">
        <v>573</v>
      </c>
      <c r="Q191" s="1" t="e">
        <f t="shared" si="11"/>
        <v>#REF!</v>
      </c>
    </row>
    <row r="192" spans="1:17" ht="12" customHeight="1" outlineLevel="4" x14ac:dyDescent="0.35">
      <c r="A192" s="2" t="str">
        <f t="shared" si="10"/>
        <v>CC415B</v>
      </c>
      <c r="B192" s="1">
        <v>4</v>
      </c>
      <c r="C192" s="1" t="s">
        <v>19</v>
      </c>
      <c r="D192" s="2" t="s">
        <v>25</v>
      </c>
      <c r="E192" s="11" t="s">
        <v>81</v>
      </c>
      <c r="F192" s="7" t="s">
        <v>96</v>
      </c>
      <c r="G192" s="2" t="s">
        <v>27</v>
      </c>
      <c r="H192" s="14"/>
      <c r="L192" s="1" t="s">
        <v>1135</v>
      </c>
      <c r="M192" s="2" t="s">
        <v>82</v>
      </c>
      <c r="P192" s="2" t="s">
        <v>574</v>
      </c>
      <c r="Q192" s="1" t="e">
        <f t="shared" si="11"/>
        <v>#REF!</v>
      </c>
    </row>
    <row r="193" spans="1:17" ht="12" customHeight="1" outlineLevel="3" x14ac:dyDescent="0.35">
      <c r="A193" s="3" t="str">
        <f t="shared" si="10"/>
        <v>CC415B</v>
      </c>
      <c r="B193" s="4">
        <v>3</v>
      </c>
      <c r="C193" s="3" t="s">
        <v>24</v>
      </c>
      <c r="D193" s="3" t="s">
        <v>30</v>
      </c>
      <c r="E193" s="10" t="s">
        <v>575</v>
      </c>
      <c r="F193" s="4"/>
      <c r="G193" s="3" t="s">
        <v>396</v>
      </c>
      <c r="H193" s="16" t="s">
        <v>576</v>
      </c>
      <c r="I193" s="16" t="s">
        <v>577</v>
      </c>
      <c r="J193" s="4"/>
      <c r="K193" s="4"/>
      <c r="L193" s="4" t="s">
        <v>1136</v>
      </c>
      <c r="M193" s="3" t="s">
        <v>578</v>
      </c>
      <c r="N193" s="4"/>
      <c r="O193" s="4"/>
      <c r="P193" s="3" t="s">
        <v>579</v>
      </c>
      <c r="Q193" s="1" t="e">
        <f t="shared" si="11"/>
        <v>#REF!</v>
      </c>
    </row>
    <row r="194" spans="1:17" ht="12" customHeight="1" outlineLevel="4" x14ac:dyDescent="0.35">
      <c r="A194" s="2" t="str">
        <f t="shared" si="10"/>
        <v>CC415B</v>
      </c>
      <c r="B194" s="1">
        <v>4</v>
      </c>
      <c r="C194" s="1" t="s">
        <v>19</v>
      </c>
      <c r="D194" s="2" t="s">
        <v>25</v>
      </c>
      <c r="E194" s="11" t="s">
        <v>580</v>
      </c>
      <c r="F194" s="7" t="s">
        <v>50</v>
      </c>
      <c r="G194" s="2" t="s">
        <v>27</v>
      </c>
      <c r="H194" s="14"/>
      <c r="J194" s="2" t="s">
        <v>581</v>
      </c>
      <c r="L194" s="1" t="s">
        <v>1137</v>
      </c>
      <c r="M194" s="2" t="s">
        <v>582</v>
      </c>
      <c r="P194" s="2" t="s">
        <v>52</v>
      </c>
      <c r="Q194" s="1" t="e">
        <f t="shared" si="11"/>
        <v>#REF!</v>
      </c>
    </row>
    <row r="195" spans="1:17" ht="12" customHeight="1" outlineLevel="3" x14ac:dyDescent="0.35">
      <c r="A195" s="3" t="str">
        <f t="shared" ref="A195:A226" si="12">$E$2</f>
        <v>CC415B</v>
      </c>
      <c r="B195" s="4">
        <v>3</v>
      </c>
      <c r="C195" s="3" t="s">
        <v>24</v>
      </c>
      <c r="D195" s="3" t="s">
        <v>193</v>
      </c>
      <c r="E195" s="10" t="s">
        <v>583</v>
      </c>
      <c r="F195" s="4"/>
      <c r="G195" s="3" t="s">
        <v>22</v>
      </c>
      <c r="H195" s="16" t="s">
        <v>489</v>
      </c>
      <c r="I195" s="4"/>
      <c r="J195" s="4"/>
      <c r="K195" s="4"/>
      <c r="L195" s="4" t="s">
        <v>1138</v>
      </c>
      <c r="M195" s="3" t="s">
        <v>584</v>
      </c>
      <c r="N195" s="4"/>
      <c r="O195" s="4"/>
      <c r="P195" s="3" t="s">
        <v>585</v>
      </c>
      <c r="Q195" s="1" t="e">
        <f t="shared" si="11"/>
        <v>#REF!</v>
      </c>
    </row>
    <row r="196" spans="1:17" ht="12" customHeight="1" outlineLevel="4" x14ac:dyDescent="0.35">
      <c r="A196" s="2" t="str">
        <f t="shared" si="12"/>
        <v>CC415B</v>
      </c>
      <c r="B196" s="1">
        <v>4</v>
      </c>
      <c r="C196" s="1" t="s">
        <v>19</v>
      </c>
      <c r="D196" s="2" t="s">
        <v>25</v>
      </c>
      <c r="E196" s="11" t="s">
        <v>56</v>
      </c>
      <c r="F196" s="7" t="s">
        <v>57</v>
      </c>
      <c r="G196" s="2" t="s">
        <v>27</v>
      </c>
      <c r="H196" s="7" t="s">
        <v>393</v>
      </c>
      <c r="M196" s="2" t="s">
        <v>58</v>
      </c>
      <c r="P196" s="2" t="s">
        <v>59</v>
      </c>
      <c r="Q196" s="1" t="e">
        <f t="shared" si="11"/>
        <v>#REF!</v>
      </c>
    </row>
    <row r="197" spans="1:17" ht="12" customHeight="1" outlineLevel="4" x14ac:dyDescent="0.35">
      <c r="A197" s="2" t="str">
        <f t="shared" si="12"/>
        <v>CC415B</v>
      </c>
      <c r="B197" s="1">
        <v>4</v>
      </c>
      <c r="C197" s="1" t="s">
        <v>19</v>
      </c>
      <c r="D197" s="2" t="s">
        <v>25</v>
      </c>
      <c r="E197" s="11" t="s">
        <v>2</v>
      </c>
      <c r="F197" s="7" t="s">
        <v>306</v>
      </c>
      <c r="G197" s="2" t="s">
        <v>27</v>
      </c>
      <c r="H197" s="14"/>
      <c r="J197" s="2" t="s">
        <v>586</v>
      </c>
      <c r="L197" s="1" t="s">
        <v>1139</v>
      </c>
      <c r="M197" s="2" t="s">
        <v>61</v>
      </c>
      <c r="P197" s="2" t="s">
        <v>307</v>
      </c>
      <c r="Q197" s="1" t="e">
        <f t="shared" si="11"/>
        <v>#REF!</v>
      </c>
    </row>
    <row r="198" spans="1:17" ht="12" customHeight="1" outlineLevel="4" x14ac:dyDescent="0.35">
      <c r="A198" s="2" t="str">
        <f t="shared" si="12"/>
        <v>CC415B</v>
      </c>
      <c r="B198" s="1">
        <v>4</v>
      </c>
      <c r="C198" s="1" t="s">
        <v>19</v>
      </c>
      <c r="D198" s="2" t="s">
        <v>25</v>
      </c>
      <c r="E198" s="11" t="s">
        <v>63</v>
      </c>
      <c r="F198" s="7" t="s">
        <v>83</v>
      </c>
      <c r="G198" s="2" t="s">
        <v>27</v>
      </c>
      <c r="H198" s="7" t="s">
        <v>494</v>
      </c>
      <c r="L198" s="1" t="s">
        <v>1140</v>
      </c>
      <c r="M198" s="2" t="s">
        <v>65</v>
      </c>
      <c r="P198" s="2" t="s">
        <v>308</v>
      </c>
      <c r="Q198" s="1" t="e">
        <f t="shared" si="11"/>
        <v>#REF!</v>
      </c>
    </row>
    <row r="199" spans="1:17" ht="12" customHeight="1" outlineLevel="2" x14ac:dyDescent="0.35">
      <c r="A199" s="3" t="str">
        <f t="shared" si="12"/>
        <v>CC415B</v>
      </c>
      <c r="B199" s="4">
        <v>2</v>
      </c>
      <c r="C199" s="3" t="s">
        <v>24</v>
      </c>
      <c r="D199" s="3" t="s">
        <v>317</v>
      </c>
      <c r="E199" s="8" t="s">
        <v>318</v>
      </c>
      <c r="F199" s="4"/>
      <c r="G199" s="3" t="s">
        <v>27</v>
      </c>
      <c r="H199" s="15"/>
      <c r="I199" s="4"/>
      <c r="J199" s="4"/>
      <c r="K199" s="4"/>
      <c r="L199" s="4"/>
      <c r="M199" s="3" t="s">
        <v>319</v>
      </c>
      <c r="N199" s="4"/>
      <c r="O199" s="4"/>
      <c r="P199" s="3" t="s">
        <v>839</v>
      </c>
      <c r="Q199" s="1" t="e">
        <f t="shared" si="11"/>
        <v>#REF!</v>
      </c>
    </row>
    <row r="200" spans="1:17" ht="12" customHeight="1" outlineLevel="3" x14ac:dyDescent="0.35">
      <c r="A200" s="2" t="str">
        <f t="shared" si="12"/>
        <v>CC415B</v>
      </c>
      <c r="B200" s="1">
        <v>3</v>
      </c>
      <c r="C200" s="1" t="s">
        <v>19</v>
      </c>
      <c r="D200" s="2" t="s">
        <v>25</v>
      </c>
      <c r="E200" s="9" t="s">
        <v>253</v>
      </c>
      <c r="F200" s="7" t="s">
        <v>57</v>
      </c>
      <c r="G200" s="2" t="s">
        <v>27</v>
      </c>
      <c r="H200" s="7" t="s">
        <v>588</v>
      </c>
      <c r="L200" s="1" t="s">
        <v>1200</v>
      </c>
      <c r="M200" s="2" t="s">
        <v>254</v>
      </c>
      <c r="P200" s="2" t="s">
        <v>255</v>
      </c>
      <c r="Q200" s="1" t="e">
        <f t="shared" si="11"/>
        <v>#REF!</v>
      </c>
    </row>
    <row r="201" spans="1:17" ht="12" customHeight="1" outlineLevel="3" x14ac:dyDescent="0.35">
      <c r="A201" s="2" t="str">
        <f t="shared" si="12"/>
        <v>CC415B</v>
      </c>
      <c r="B201" s="1">
        <v>3</v>
      </c>
      <c r="C201" s="1" t="s">
        <v>19</v>
      </c>
      <c r="D201" s="2" t="s">
        <v>30</v>
      </c>
      <c r="E201" s="9" t="s">
        <v>589</v>
      </c>
      <c r="F201" s="7" t="s">
        <v>57</v>
      </c>
      <c r="G201" s="2" t="s">
        <v>396</v>
      </c>
      <c r="H201" s="7" t="s">
        <v>590</v>
      </c>
      <c r="I201" s="2" t="s">
        <v>591</v>
      </c>
      <c r="L201" s="1" t="s">
        <v>1141</v>
      </c>
      <c r="M201" s="2" t="s">
        <v>592</v>
      </c>
      <c r="P201" s="2" t="s">
        <v>255</v>
      </c>
      <c r="Q201" s="1" t="e">
        <f t="shared" si="11"/>
        <v>#REF!</v>
      </c>
    </row>
    <row r="202" spans="1:17" ht="12" customHeight="1" outlineLevel="3" x14ac:dyDescent="0.35">
      <c r="A202" s="2" t="str">
        <f t="shared" si="12"/>
        <v>CC415B</v>
      </c>
      <c r="B202" s="1">
        <v>3</v>
      </c>
      <c r="C202" s="1" t="s">
        <v>19</v>
      </c>
      <c r="D202" s="2" t="s">
        <v>30</v>
      </c>
      <c r="E202" s="9" t="s">
        <v>593</v>
      </c>
      <c r="F202" s="7" t="s">
        <v>181</v>
      </c>
      <c r="G202" s="2" t="s">
        <v>396</v>
      </c>
      <c r="H202" s="7" t="s">
        <v>754</v>
      </c>
      <c r="I202" s="7" t="s">
        <v>755</v>
      </c>
      <c r="L202" s="1" t="s">
        <v>1142</v>
      </c>
      <c r="M202" s="2" t="s">
        <v>594</v>
      </c>
      <c r="P202" s="2" t="s">
        <v>183</v>
      </c>
      <c r="Q202" s="1" t="e">
        <f t="shared" si="11"/>
        <v>#REF!</v>
      </c>
    </row>
    <row r="203" spans="1:17" ht="12" customHeight="1" outlineLevel="3" x14ac:dyDescent="0.35">
      <c r="A203" s="2" t="str">
        <f t="shared" si="12"/>
        <v>CC415B</v>
      </c>
      <c r="B203" s="1">
        <v>3</v>
      </c>
      <c r="C203" s="1" t="s">
        <v>19</v>
      </c>
      <c r="D203" s="2" t="s">
        <v>30</v>
      </c>
      <c r="E203" s="9" t="s">
        <v>176</v>
      </c>
      <c r="F203" s="7" t="s">
        <v>177</v>
      </c>
      <c r="G203" s="2" t="s">
        <v>396</v>
      </c>
      <c r="H203" s="7" t="s">
        <v>423</v>
      </c>
      <c r="I203" s="7" t="s">
        <v>424</v>
      </c>
      <c r="J203" s="2" t="s">
        <v>425</v>
      </c>
      <c r="L203" s="1" t="s">
        <v>1039</v>
      </c>
      <c r="M203" s="2" t="s">
        <v>178</v>
      </c>
      <c r="P203" s="2" t="s">
        <v>179</v>
      </c>
      <c r="Q203" s="1" t="e">
        <f t="shared" si="11"/>
        <v>#REF!</v>
      </c>
    </row>
    <row r="204" spans="1:17" ht="12" customHeight="1" outlineLevel="3" x14ac:dyDescent="0.35">
      <c r="A204" s="2" t="str">
        <f t="shared" si="12"/>
        <v>CC415B</v>
      </c>
      <c r="B204" s="1">
        <v>3</v>
      </c>
      <c r="C204" s="1" t="s">
        <v>19</v>
      </c>
      <c r="D204" s="2" t="s">
        <v>30</v>
      </c>
      <c r="E204" s="9" t="s">
        <v>552</v>
      </c>
      <c r="F204" s="7" t="s">
        <v>156</v>
      </c>
      <c r="G204" s="2" t="s">
        <v>22</v>
      </c>
      <c r="H204" s="14"/>
      <c r="L204" s="1" t="s">
        <v>1143</v>
      </c>
      <c r="M204" s="2" t="s">
        <v>553</v>
      </c>
      <c r="P204" s="2" t="s">
        <v>554</v>
      </c>
      <c r="Q204" s="1" t="e">
        <f t="shared" si="11"/>
        <v>#REF!</v>
      </c>
    </row>
    <row r="205" spans="1:17" ht="12" customHeight="1" outlineLevel="3" x14ac:dyDescent="0.35">
      <c r="A205" s="3" t="str">
        <f t="shared" si="12"/>
        <v>CC415B</v>
      </c>
      <c r="B205" s="4">
        <v>3</v>
      </c>
      <c r="C205" s="3" t="s">
        <v>24</v>
      </c>
      <c r="D205" s="3" t="s">
        <v>53</v>
      </c>
      <c r="E205" s="10" t="s">
        <v>54</v>
      </c>
      <c r="F205" s="4"/>
      <c r="G205" s="3" t="s">
        <v>396</v>
      </c>
      <c r="H205" s="16" t="s">
        <v>756</v>
      </c>
      <c r="I205" s="3" t="s">
        <v>596</v>
      </c>
      <c r="J205" s="4"/>
      <c r="K205" s="4"/>
      <c r="L205" s="4" t="s">
        <v>991</v>
      </c>
      <c r="M205" s="3" t="s">
        <v>54</v>
      </c>
      <c r="N205" s="4"/>
      <c r="O205" s="4"/>
      <c r="P205" s="3" t="s">
        <v>840</v>
      </c>
      <c r="Q205" s="1" t="e">
        <f t="shared" si="11"/>
        <v>#REF!</v>
      </c>
    </row>
    <row r="206" spans="1:17" ht="12" customHeight="1" outlineLevel="4" x14ac:dyDescent="0.35">
      <c r="A206" s="2" t="str">
        <f t="shared" si="12"/>
        <v>CC415B</v>
      </c>
      <c r="B206" s="1">
        <v>4</v>
      </c>
      <c r="C206" s="1" t="s">
        <v>19</v>
      </c>
      <c r="D206" s="2" t="s">
        <v>25</v>
      </c>
      <c r="E206" s="11" t="s">
        <v>56</v>
      </c>
      <c r="F206" s="7" t="s">
        <v>57</v>
      </c>
      <c r="G206" s="2" t="s">
        <v>27</v>
      </c>
      <c r="H206" s="7" t="s">
        <v>393</v>
      </c>
      <c r="M206" s="2" t="s">
        <v>58</v>
      </c>
      <c r="P206" s="2" t="s">
        <v>59</v>
      </c>
      <c r="Q206" s="1" t="e">
        <f t="shared" si="11"/>
        <v>#REF!</v>
      </c>
    </row>
    <row r="207" spans="1:17" ht="12" customHeight="1" outlineLevel="4" x14ac:dyDescent="0.35">
      <c r="A207" s="2" t="str">
        <f t="shared" si="12"/>
        <v>CC415B</v>
      </c>
      <c r="B207" s="1">
        <v>4</v>
      </c>
      <c r="C207" s="1" t="s">
        <v>19</v>
      </c>
      <c r="D207" s="2" t="s">
        <v>30</v>
      </c>
      <c r="E207" s="11" t="s">
        <v>2</v>
      </c>
      <c r="F207" s="7" t="s">
        <v>60</v>
      </c>
      <c r="G207" s="2" t="s">
        <v>396</v>
      </c>
      <c r="H207" s="14"/>
      <c r="I207" s="2" t="s">
        <v>395</v>
      </c>
      <c r="J207" s="2" t="s">
        <v>597</v>
      </c>
      <c r="L207" s="1" t="s">
        <v>992</v>
      </c>
      <c r="M207" s="2" t="s">
        <v>61</v>
      </c>
      <c r="P207" s="2" t="s">
        <v>62</v>
      </c>
      <c r="Q207" s="1" t="e">
        <f t="shared" si="11"/>
        <v>#REF!</v>
      </c>
    </row>
    <row r="208" spans="1:17" ht="12" customHeight="1" outlineLevel="4" x14ac:dyDescent="0.35">
      <c r="A208" s="2" t="str">
        <f t="shared" si="12"/>
        <v>CC415B</v>
      </c>
      <c r="B208" s="1">
        <v>4</v>
      </c>
      <c r="C208" s="1" t="s">
        <v>19</v>
      </c>
      <c r="D208" s="2" t="s">
        <v>25</v>
      </c>
      <c r="E208" s="11" t="s">
        <v>63</v>
      </c>
      <c r="F208" s="7" t="s">
        <v>834</v>
      </c>
      <c r="G208" s="2" t="s">
        <v>27</v>
      </c>
      <c r="H208" s="7"/>
      <c r="L208" s="1" t="s">
        <v>993</v>
      </c>
      <c r="M208" s="2" t="s">
        <v>65</v>
      </c>
      <c r="P208" s="2" t="s">
        <v>66</v>
      </c>
      <c r="Q208" s="1" t="e">
        <f t="shared" si="11"/>
        <v>#REF!</v>
      </c>
    </row>
    <row r="209" spans="1:17" ht="12" customHeight="1" outlineLevel="4" x14ac:dyDescent="0.35">
      <c r="A209" s="2" t="str">
        <f t="shared" si="12"/>
        <v>CC415B</v>
      </c>
      <c r="B209" s="1">
        <v>4</v>
      </c>
      <c r="C209" s="1" t="s">
        <v>19</v>
      </c>
      <c r="D209" s="2" t="s">
        <v>30</v>
      </c>
      <c r="E209" s="11" t="s">
        <v>67</v>
      </c>
      <c r="F209" s="7" t="s">
        <v>68</v>
      </c>
      <c r="G209" s="2" t="s">
        <v>396</v>
      </c>
      <c r="H209" s="7" t="s">
        <v>397</v>
      </c>
      <c r="I209" s="2" t="s">
        <v>398</v>
      </c>
      <c r="L209" s="1" t="s">
        <v>994</v>
      </c>
      <c r="M209" s="2" t="s">
        <v>69</v>
      </c>
      <c r="P209" s="2" t="s">
        <v>70</v>
      </c>
      <c r="Q209" s="1" t="e">
        <f t="shared" si="11"/>
        <v>#REF!</v>
      </c>
    </row>
    <row r="210" spans="1:17" ht="12" customHeight="1" outlineLevel="3" x14ac:dyDescent="0.35">
      <c r="A210" s="3" t="str">
        <f t="shared" si="12"/>
        <v>CC415B</v>
      </c>
      <c r="B210" s="4">
        <v>3</v>
      </c>
      <c r="C210" s="3" t="s">
        <v>24</v>
      </c>
      <c r="D210" s="3" t="s">
        <v>25</v>
      </c>
      <c r="E210" s="10" t="s">
        <v>322</v>
      </c>
      <c r="F210" s="4"/>
      <c r="G210" s="3" t="s">
        <v>27</v>
      </c>
      <c r="H210" s="15"/>
      <c r="I210" s="4"/>
      <c r="J210" s="4"/>
      <c r="K210" s="4"/>
      <c r="L210" s="4" t="s">
        <v>1144</v>
      </c>
      <c r="M210" s="3" t="s">
        <v>322</v>
      </c>
      <c r="N210" s="4"/>
      <c r="O210" s="4"/>
      <c r="P210" s="3" t="s">
        <v>841</v>
      </c>
      <c r="Q210" s="1" t="e">
        <f t="shared" si="11"/>
        <v>#REF!</v>
      </c>
    </row>
    <row r="211" spans="1:17" ht="12" customHeight="1" outlineLevel="4" x14ac:dyDescent="0.35">
      <c r="A211" s="2" t="str">
        <f t="shared" si="12"/>
        <v>CC415B</v>
      </c>
      <c r="B211" s="1">
        <v>4</v>
      </c>
      <c r="C211" s="1" t="s">
        <v>19</v>
      </c>
      <c r="D211" s="2" t="s">
        <v>30</v>
      </c>
      <c r="E211" s="11" t="s">
        <v>324</v>
      </c>
      <c r="F211" s="7" t="s">
        <v>325</v>
      </c>
      <c r="G211" s="2" t="s">
        <v>22</v>
      </c>
      <c r="H211" s="7" t="s">
        <v>599</v>
      </c>
      <c r="J211" s="2" t="s">
        <v>600</v>
      </c>
      <c r="L211" s="1" t="s">
        <v>1145</v>
      </c>
      <c r="M211" s="2" t="s">
        <v>326</v>
      </c>
      <c r="P211" s="2" t="s">
        <v>327</v>
      </c>
      <c r="Q211" s="1" t="e">
        <f t="shared" si="11"/>
        <v>#REF!</v>
      </c>
    </row>
    <row r="212" spans="1:17" ht="12" customHeight="1" outlineLevel="4" x14ac:dyDescent="0.35">
      <c r="A212" s="2" t="str">
        <f t="shared" si="12"/>
        <v>CC415B</v>
      </c>
      <c r="B212" s="1">
        <v>4</v>
      </c>
      <c r="C212" s="1" t="s">
        <v>19</v>
      </c>
      <c r="D212" s="2" t="s">
        <v>30</v>
      </c>
      <c r="E212" s="11" t="s">
        <v>328</v>
      </c>
      <c r="F212" s="7" t="s">
        <v>325</v>
      </c>
      <c r="G212" s="2" t="s">
        <v>22</v>
      </c>
      <c r="H212" s="7" t="s">
        <v>601</v>
      </c>
      <c r="J212" s="2" t="s">
        <v>602</v>
      </c>
      <c r="L212" s="1" t="s">
        <v>1146</v>
      </c>
      <c r="M212" s="2" t="s">
        <v>329</v>
      </c>
      <c r="P212" s="2" t="s">
        <v>327</v>
      </c>
      <c r="Q212" s="1" t="e">
        <f t="shared" si="11"/>
        <v>#REF!</v>
      </c>
    </row>
    <row r="213" spans="1:17" ht="12" customHeight="1" outlineLevel="4" x14ac:dyDescent="0.35">
      <c r="A213" s="3" t="str">
        <f t="shared" si="12"/>
        <v>CC415B</v>
      </c>
      <c r="B213" s="4">
        <v>4</v>
      </c>
      <c r="C213" s="3" t="s">
        <v>24</v>
      </c>
      <c r="D213" s="3" t="s">
        <v>193</v>
      </c>
      <c r="E213" s="12" t="s">
        <v>330</v>
      </c>
      <c r="F213" s="4"/>
      <c r="G213" s="3" t="s">
        <v>22</v>
      </c>
      <c r="H213" s="16" t="s">
        <v>757</v>
      </c>
      <c r="I213" s="4"/>
      <c r="J213" s="4"/>
      <c r="K213" s="4"/>
      <c r="L213" s="4" t="s">
        <v>1147</v>
      </c>
      <c r="M213" s="3" t="s">
        <v>331</v>
      </c>
      <c r="N213" s="4"/>
      <c r="O213" s="4"/>
      <c r="P213" s="3" t="s">
        <v>332</v>
      </c>
      <c r="Q213" s="1" t="e">
        <f t="shared" si="11"/>
        <v>#REF!</v>
      </c>
    </row>
    <row r="214" spans="1:17" ht="12" customHeight="1" outlineLevel="5" x14ac:dyDescent="0.35">
      <c r="A214" s="2" t="str">
        <f t="shared" si="12"/>
        <v>CC415B</v>
      </c>
      <c r="B214" s="1">
        <v>5</v>
      </c>
      <c r="C214" s="1" t="s">
        <v>19</v>
      </c>
      <c r="D214" s="2" t="s">
        <v>25</v>
      </c>
      <c r="E214" s="13" t="s">
        <v>56</v>
      </c>
      <c r="F214" s="7" t="s">
        <v>57</v>
      </c>
      <c r="G214" s="2" t="s">
        <v>27</v>
      </c>
      <c r="H214" s="7" t="s">
        <v>393</v>
      </c>
      <c r="M214" s="2" t="s">
        <v>58</v>
      </c>
      <c r="P214" s="2" t="s">
        <v>59</v>
      </c>
      <c r="Q214" s="1" t="e">
        <f t="shared" si="11"/>
        <v>#REF!</v>
      </c>
    </row>
    <row r="215" spans="1:17" ht="12" customHeight="1" outlineLevel="5" x14ac:dyDescent="0.35">
      <c r="A215" s="2" t="str">
        <f t="shared" si="12"/>
        <v>CC415B</v>
      </c>
      <c r="B215" s="1">
        <v>5</v>
      </c>
      <c r="C215" s="1" t="s">
        <v>19</v>
      </c>
      <c r="D215" s="2" t="s">
        <v>25</v>
      </c>
      <c r="E215" s="13" t="s">
        <v>330</v>
      </c>
      <c r="F215" s="7" t="s">
        <v>333</v>
      </c>
      <c r="G215" s="2" t="s">
        <v>27</v>
      </c>
      <c r="H215" s="7" t="s">
        <v>477</v>
      </c>
      <c r="J215" s="2" t="s">
        <v>603</v>
      </c>
      <c r="L215" s="1" t="s">
        <v>1148</v>
      </c>
      <c r="M215" s="2" t="s">
        <v>334</v>
      </c>
      <c r="P215" s="2" t="s">
        <v>335</v>
      </c>
      <c r="Q215" s="1" t="e">
        <f t="shared" si="11"/>
        <v>#REF!</v>
      </c>
    </row>
    <row r="216" spans="1:17" ht="12" customHeight="1" outlineLevel="5" x14ac:dyDescent="0.35">
      <c r="A216" s="2" t="str">
        <f t="shared" si="12"/>
        <v>CC415B</v>
      </c>
      <c r="B216" s="1">
        <v>5</v>
      </c>
      <c r="C216" s="1" t="s">
        <v>19</v>
      </c>
      <c r="D216" s="2" t="s">
        <v>30</v>
      </c>
      <c r="E216" s="13" t="s">
        <v>142</v>
      </c>
      <c r="F216" s="7" t="s">
        <v>50</v>
      </c>
      <c r="G216" s="2" t="s">
        <v>396</v>
      </c>
      <c r="H216" s="7" t="s">
        <v>748</v>
      </c>
      <c r="I216" s="2" t="s">
        <v>493</v>
      </c>
      <c r="J216" s="2" t="s">
        <v>416</v>
      </c>
      <c r="M216" s="2" t="s">
        <v>143</v>
      </c>
      <c r="P216" s="2" t="s">
        <v>52</v>
      </c>
      <c r="Q216" s="1" t="e">
        <f t="shared" si="11"/>
        <v>#REF!</v>
      </c>
    </row>
    <row r="217" spans="1:17" ht="12" customHeight="1" outlineLevel="3" x14ac:dyDescent="0.35">
      <c r="A217" s="3" t="str">
        <f t="shared" si="12"/>
        <v>CC415B</v>
      </c>
      <c r="B217" s="4">
        <v>3</v>
      </c>
      <c r="C217" s="3" t="s">
        <v>24</v>
      </c>
      <c r="D217" s="3" t="s">
        <v>193</v>
      </c>
      <c r="E217" s="10" t="s">
        <v>194</v>
      </c>
      <c r="F217" s="4"/>
      <c r="G217" s="3" t="s">
        <v>22</v>
      </c>
      <c r="H217" s="16" t="s">
        <v>432</v>
      </c>
      <c r="I217" s="4"/>
      <c r="J217" s="4"/>
      <c r="K217" s="4"/>
      <c r="L217" s="4" t="s">
        <v>1043</v>
      </c>
      <c r="M217" s="3" t="s">
        <v>195</v>
      </c>
      <c r="N217" s="4"/>
      <c r="O217" s="4"/>
      <c r="P217" s="3" t="s">
        <v>196</v>
      </c>
      <c r="Q217" s="1" t="e">
        <f t="shared" si="11"/>
        <v>#REF!</v>
      </c>
    </row>
    <row r="218" spans="1:17" ht="12" customHeight="1" outlineLevel="4" x14ac:dyDescent="0.35">
      <c r="A218" s="2" t="str">
        <f t="shared" si="12"/>
        <v>CC415B</v>
      </c>
      <c r="B218" s="1">
        <v>4</v>
      </c>
      <c r="C218" s="1" t="s">
        <v>19</v>
      </c>
      <c r="D218" s="2" t="s">
        <v>25</v>
      </c>
      <c r="E218" s="11" t="s">
        <v>56</v>
      </c>
      <c r="F218" s="7" t="s">
        <v>57</v>
      </c>
      <c r="G218" s="2" t="s">
        <v>27</v>
      </c>
      <c r="H218" s="7" t="s">
        <v>393</v>
      </c>
      <c r="M218" s="2" t="s">
        <v>58</v>
      </c>
      <c r="P218" s="2" t="s">
        <v>59</v>
      </c>
      <c r="Q218" s="1" t="e">
        <f t="shared" si="11"/>
        <v>#REF!</v>
      </c>
    </row>
    <row r="219" spans="1:17" ht="12" customHeight="1" outlineLevel="4" x14ac:dyDescent="0.35">
      <c r="A219" s="2" t="str">
        <f t="shared" si="12"/>
        <v>CC415B</v>
      </c>
      <c r="B219" s="1">
        <v>4</v>
      </c>
      <c r="C219" s="1" t="s">
        <v>19</v>
      </c>
      <c r="D219" s="2" t="s">
        <v>25</v>
      </c>
      <c r="E219" s="11" t="s">
        <v>197</v>
      </c>
      <c r="F219" s="7" t="s">
        <v>198</v>
      </c>
      <c r="G219" s="2" t="s">
        <v>27</v>
      </c>
      <c r="H219" s="14"/>
      <c r="J219" s="2" t="s">
        <v>433</v>
      </c>
      <c r="L219" s="1" t="s">
        <v>1044</v>
      </c>
      <c r="M219" s="2" t="s">
        <v>199</v>
      </c>
      <c r="P219" s="2" t="s">
        <v>200</v>
      </c>
      <c r="Q219" s="1" t="e">
        <f t="shared" si="11"/>
        <v>#REF!</v>
      </c>
    </row>
    <row r="220" spans="1:17" ht="12" customHeight="1" outlineLevel="4" x14ac:dyDescent="0.35">
      <c r="A220" s="2" t="str">
        <f t="shared" si="12"/>
        <v>CC415B</v>
      </c>
      <c r="B220" s="1">
        <v>4</v>
      </c>
      <c r="C220" s="1" t="s">
        <v>19</v>
      </c>
      <c r="D220" s="2" t="s">
        <v>25</v>
      </c>
      <c r="E220" s="11" t="s">
        <v>81</v>
      </c>
      <c r="F220" s="7" t="s">
        <v>68</v>
      </c>
      <c r="G220" s="2" t="s">
        <v>27</v>
      </c>
      <c r="H220" s="7" t="s">
        <v>434</v>
      </c>
      <c r="L220" s="1" t="s">
        <v>1045</v>
      </c>
      <c r="M220" s="2" t="s">
        <v>82</v>
      </c>
      <c r="P220" s="2" t="s">
        <v>70</v>
      </c>
      <c r="Q220" s="1" t="e">
        <f t="shared" si="11"/>
        <v>#REF!</v>
      </c>
    </row>
    <row r="221" spans="1:17" ht="12" customHeight="1" outlineLevel="3" x14ac:dyDescent="0.35">
      <c r="A221" s="3" t="str">
        <f t="shared" si="12"/>
        <v>CC415B</v>
      </c>
      <c r="B221" s="4">
        <v>3</v>
      </c>
      <c r="C221" s="3" t="s">
        <v>24</v>
      </c>
      <c r="D221" s="3" t="s">
        <v>30</v>
      </c>
      <c r="E221" s="10" t="s">
        <v>201</v>
      </c>
      <c r="F221" s="4"/>
      <c r="G221" s="3" t="s">
        <v>396</v>
      </c>
      <c r="H221" s="16" t="s">
        <v>435</v>
      </c>
      <c r="I221" s="3" t="s">
        <v>436</v>
      </c>
      <c r="J221" s="4"/>
      <c r="K221" s="4"/>
      <c r="L221" s="4" t="s">
        <v>1046</v>
      </c>
      <c r="M221" s="3" t="s">
        <v>201</v>
      </c>
      <c r="N221" s="4"/>
      <c r="O221" s="4"/>
      <c r="P221" s="3" t="s">
        <v>202</v>
      </c>
      <c r="Q221" s="1" t="e">
        <f t="shared" si="11"/>
        <v>#REF!</v>
      </c>
    </row>
    <row r="222" spans="1:17" ht="12" customHeight="1" outlineLevel="4" x14ac:dyDescent="0.35">
      <c r="A222" s="2" t="str">
        <f t="shared" si="12"/>
        <v>CC415B</v>
      </c>
      <c r="B222" s="1">
        <v>4</v>
      </c>
      <c r="C222" s="1" t="s">
        <v>19</v>
      </c>
      <c r="D222" s="2" t="s">
        <v>30</v>
      </c>
      <c r="E222" s="11" t="s">
        <v>81</v>
      </c>
      <c r="F222" s="7" t="s">
        <v>68</v>
      </c>
      <c r="G222" s="2" t="s">
        <v>22</v>
      </c>
      <c r="H222" s="7" t="s">
        <v>434</v>
      </c>
      <c r="L222" s="1" t="s">
        <v>1047</v>
      </c>
      <c r="M222" s="2" t="s">
        <v>82</v>
      </c>
      <c r="P222" s="2" t="s">
        <v>70</v>
      </c>
      <c r="Q222" s="1" t="e">
        <f t="shared" si="11"/>
        <v>#REF!</v>
      </c>
    </row>
    <row r="223" spans="1:17" ht="12" customHeight="1" outlineLevel="4" x14ac:dyDescent="0.35">
      <c r="A223" s="2" t="str">
        <f t="shared" si="12"/>
        <v>CC415B</v>
      </c>
      <c r="B223" s="1">
        <v>4</v>
      </c>
      <c r="C223" s="1" t="s">
        <v>19</v>
      </c>
      <c r="D223" s="2" t="s">
        <v>30</v>
      </c>
      <c r="E223" s="11" t="s">
        <v>4</v>
      </c>
      <c r="F223" s="7" t="s">
        <v>83</v>
      </c>
      <c r="G223" s="2" t="s">
        <v>396</v>
      </c>
      <c r="H223" s="14"/>
      <c r="I223" s="2" t="s">
        <v>401</v>
      </c>
      <c r="L223" s="1" t="s">
        <v>1048</v>
      </c>
      <c r="M223" s="2" t="s">
        <v>84</v>
      </c>
      <c r="P223" s="2" t="s">
        <v>85</v>
      </c>
      <c r="Q223" s="1" t="e">
        <f t="shared" si="11"/>
        <v>#REF!</v>
      </c>
    </row>
    <row r="224" spans="1:17" ht="12" customHeight="1" outlineLevel="4" x14ac:dyDescent="0.35">
      <c r="A224" s="3" t="str">
        <f t="shared" si="12"/>
        <v>CC415B</v>
      </c>
      <c r="B224" s="4">
        <v>4</v>
      </c>
      <c r="C224" s="3" t="s">
        <v>24</v>
      </c>
      <c r="D224" s="3" t="s">
        <v>30</v>
      </c>
      <c r="E224" s="12" t="s">
        <v>86</v>
      </c>
      <c r="F224" s="4"/>
      <c r="G224" s="3" t="s">
        <v>396</v>
      </c>
      <c r="H224" s="15"/>
      <c r="I224" s="3" t="s">
        <v>401</v>
      </c>
      <c r="J224" s="4"/>
      <c r="K224" s="4"/>
      <c r="L224" s="4" t="s">
        <v>1049</v>
      </c>
      <c r="M224" s="3" t="s">
        <v>86</v>
      </c>
      <c r="N224" s="4"/>
      <c r="O224" s="4"/>
      <c r="P224" s="3" t="s">
        <v>87</v>
      </c>
      <c r="Q224" s="1" t="e">
        <f t="shared" si="11"/>
        <v>#REF!</v>
      </c>
    </row>
    <row r="225" spans="1:17" ht="12" customHeight="1" outlineLevel="5" x14ac:dyDescent="0.35">
      <c r="A225" s="2" t="str">
        <f t="shared" si="12"/>
        <v>CC415B</v>
      </c>
      <c r="B225" s="1">
        <v>5</v>
      </c>
      <c r="C225" s="1" t="s">
        <v>19</v>
      </c>
      <c r="D225" s="2" t="s">
        <v>25</v>
      </c>
      <c r="E225" s="13" t="s">
        <v>88</v>
      </c>
      <c r="F225" s="7" t="s">
        <v>83</v>
      </c>
      <c r="G225" s="2" t="s">
        <v>27</v>
      </c>
      <c r="H225" s="14"/>
      <c r="L225" s="1" t="s">
        <v>1050</v>
      </c>
      <c r="M225" s="2" t="s">
        <v>89</v>
      </c>
      <c r="P225" s="2" t="s">
        <v>90</v>
      </c>
      <c r="Q225" s="1" t="e">
        <f t="shared" si="11"/>
        <v>#REF!</v>
      </c>
    </row>
    <row r="226" spans="1:17" ht="12" customHeight="1" outlineLevel="5" x14ac:dyDescent="0.35">
      <c r="A226" s="2" t="str">
        <f t="shared" si="12"/>
        <v>CC415B</v>
      </c>
      <c r="B226" s="1">
        <v>5</v>
      </c>
      <c r="C226" s="1" t="s">
        <v>19</v>
      </c>
      <c r="D226" s="2" t="s">
        <v>30</v>
      </c>
      <c r="E226" s="13" t="s">
        <v>91</v>
      </c>
      <c r="F226" s="7" t="s">
        <v>92</v>
      </c>
      <c r="G226" s="2" t="s">
        <v>396</v>
      </c>
      <c r="H226" s="14"/>
      <c r="I226" s="2" t="s">
        <v>402</v>
      </c>
      <c r="L226" s="1" t="s">
        <v>1051</v>
      </c>
      <c r="M226" s="2" t="s">
        <v>93</v>
      </c>
      <c r="P226" s="2" t="s">
        <v>94</v>
      </c>
      <c r="Q226" s="1" t="e">
        <f t="shared" si="11"/>
        <v>#REF!</v>
      </c>
    </row>
    <row r="227" spans="1:17" ht="12" customHeight="1" outlineLevel="5" x14ac:dyDescent="0.35">
      <c r="A227" s="2" t="str">
        <f t="shared" ref="A227:A244" si="13">$E$2</f>
        <v>CC415B</v>
      </c>
      <c r="B227" s="1">
        <v>5</v>
      </c>
      <c r="C227" s="1" t="s">
        <v>19</v>
      </c>
      <c r="D227" s="2" t="s">
        <v>25</v>
      </c>
      <c r="E227" s="13" t="s">
        <v>95</v>
      </c>
      <c r="F227" s="7" t="s">
        <v>96</v>
      </c>
      <c r="G227" s="2" t="s">
        <v>27</v>
      </c>
      <c r="H227" s="14"/>
      <c r="L227" s="1" t="s">
        <v>1052</v>
      </c>
      <c r="M227" s="2" t="s">
        <v>97</v>
      </c>
      <c r="P227" s="2" t="s">
        <v>98</v>
      </c>
      <c r="Q227" s="1" t="e">
        <f t="shared" si="11"/>
        <v>#REF!</v>
      </c>
    </row>
    <row r="228" spans="1:17" ht="12" customHeight="1" outlineLevel="5" x14ac:dyDescent="0.35">
      <c r="A228" s="2" t="str">
        <f t="shared" si="13"/>
        <v>CC415B</v>
      </c>
      <c r="B228" s="1">
        <v>5</v>
      </c>
      <c r="C228" s="1" t="s">
        <v>19</v>
      </c>
      <c r="D228" s="2" t="s">
        <v>25</v>
      </c>
      <c r="E228" s="13" t="s">
        <v>99</v>
      </c>
      <c r="F228" s="7" t="s">
        <v>50</v>
      </c>
      <c r="G228" s="2" t="s">
        <v>27</v>
      </c>
      <c r="H228" s="14"/>
      <c r="J228" s="2" t="s">
        <v>403</v>
      </c>
      <c r="L228" s="1" t="s">
        <v>1053</v>
      </c>
      <c r="M228" s="2" t="s">
        <v>100</v>
      </c>
      <c r="P228" s="2" t="s">
        <v>52</v>
      </c>
      <c r="Q228" s="1" t="e">
        <f t="shared" si="11"/>
        <v>#REF!</v>
      </c>
    </row>
    <row r="229" spans="1:17" ht="12" customHeight="1" outlineLevel="3" x14ac:dyDescent="0.35">
      <c r="A229" s="3" t="str">
        <f t="shared" si="13"/>
        <v>CC415B</v>
      </c>
      <c r="B229" s="4">
        <v>3</v>
      </c>
      <c r="C229" s="3" t="s">
        <v>24</v>
      </c>
      <c r="D229" s="3" t="s">
        <v>30</v>
      </c>
      <c r="E229" s="10" t="s">
        <v>203</v>
      </c>
      <c r="F229" s="4"/>
      <c r="G229" s="3" t="s">
        <v>396</v>
      </c>
      <c r="H229" s="16" t="s">
        <v>437</v>
      </c>
      <c r="I229" s="3" t="s">
        <v>436</v>
      </c>
      <c r="J229" s="4"/>
      <c r="K229" s="4"/>
      <c r="L229" s="4" t="s">
        <v>1054</v>
      </c>
      <c r="M229" s="3" t="s">
        <v>203</v>
      </c>
      <c r="N229" s="4"/>
      <c r="O229" s="4"/>
      <c r="P229" s="3" t="s">
        <v>204</v>
      </c>
      <c r="Q229" s="1" t="e">
        <f t="shared" si="11"/>
        <v>#REF!</v>
      </c>
    </row>
    <row r="230" spans="1:17" ht="12" customHeight="1" outlineLevel="4" x14ac:dyDescent="0.35">
      <c r="A230" s="2" t="str">
        <f t="shared" si="13"/>
        <v>CC415B</v>
      </c>
      <c r="B230" s="1">
        <v>4</v>
      </c>
      <c r="C230" s="1" t="s">
        <v>19</v>
      </c>
      <c r="D230" s="2" t="s">
        <v>30</v>
      </c>
      <c r="E230" s="11" t="s">
        <v>81</v>
      </c>
      <c r="F230" s="7" t="s">
        <v>68</v>
      </c>
      <c r="G230" s="2" t="s">
        <v>22</v>
      </c>
      <c r="H230" s="7" t="s">
        <v>434</v>
      </c>
      <c r="L230" s="1" t="s">
        <v>1055</v>
      </c>
      <c r="M230" s="2" t="s">
        <v>82</v>
      </c>
      <c r="P230" s="2" t="s">
        <v>70</v>
      </c>
      <c r="Q230" s="1" t="e">
        <f t="shared" si="11"/>
        <v>#REF!</v>
      </c>
    </row>
    <row r="231" spans="1:17" ht="12" customHeight="1" outlineLevel="4" x14ac:dyDescent="0.35">
      <c r="A231" s="2" t="str">
        <f t="shared" si="13"/>
        <v>CC415B</v>
      </c>
      <c r="B231" s="1">
        <v>4</v>
      </c>
      <c r="C231" s="1" t="s">
        <v>19</v>
      </c>
      <c r="D231" s="2" t="s">
        <v>30</v>
      </c>
      <c r="E231" s="11" t="s">
        <v>4</v>
      </c>
      <c r="F231" s="7" t="s">
        <v>83</v>
      </c>
      <c r="G231" s="2" t="s">
        <v>396</v>
      </c>
      <c r="H231" s="14"/>
      <c r="I231" s="2" t="s">
        <v>401</v>
      </c>
      <c r="L231" s="1" t="s">
        <v>1056</v>
      </c>
      <c r="M231" s="2" t="s">
        <v>84</v>
      </c>
      <c r="P231" s="2" t="s">
        <v>85</v>
      </c>
      <c r="Q231" s="1" t="e">
        <f t="shared" si="11"/>
        <v>#REF!</v>
      </c>
    </row>
    <row r="232" spans="1:17" ht="12" customHeight="1" outlineLevel="4" x14ac:dyDescent="0.35">
      <c r="A232" s="3" t="str">
        <f t="shared" si="13"/>
        <v>CC415B</v>
      </c>
      <c r="B232" s="4">
        <v>4</v>
      </c>
      <c r="C232" s="3" t="s">
        <v>24</v>
      </c>
      <c r="D232" s="3" t="s">
        <v>30</v>
      </c>
      <c r="E232" s="12" t="s">
        <v>86</v>
      </c>
      <c r="F232" s="4"/>
      <c r="G232" s="3" t="s">
        <v>396</v>
      </c>
      <c r="H232" s="15"/>
      <c r="I232" s="3" t="s">
        <v>401</v>
      </c>
      <c r="J232" s="4"/>
      <c r="K232" s="4"/>
      <c r="L232" s="4" t="s">
        <v>1057</v>
      </c>
      <c r="M232" s="3" t="s">
        <v>86</v>
      </c>
      <c r="N232" s="4"/>
      <c r="O232" s="4"/>
      <c r="P232" s="3" t="s">
        <v>87</v>
      </c>
      <c r="Q232" s="1" t="e">
        <f t="shared" si="11"/>
        <v>#REF!</v>
      </c>
    </row>
    <row r="233" spans="1:17" ht="12" customHeight="1" outlineLevel="5" x14ac:dyDescent="0.35">
      <c r="A233" s="2" t="str">
        <f t="shared" si="13"/>
        <v>CC415B</v>
      </c>
      <c r="B233" s="1">
        <v>5</v>
      </c>
      <c r="C233" s="1" t="s">
        <v>19</v>
      </c>
      <c r="D233" s="2" t="s">
        <v>25</v>
      </c>
      <c r="E233" s="13" t="s">
        <v>88</v>
      </c>
      <c r="F233" s="7" t="s">
        <v>83</v>
      </c>
      <c r="G233" s="2" t="s">
        <v>27</v>
      </c>
      <c r="H233" s="14"/>
      <c r="L233" s="1" t="s">
        <v>1058</v>
      </c>
      <c r="M233" s="2" t="s">
        <v>89</v>
      </c>
      <c r="P233" s="2" t="s">
        <v>90</v>
      </c>
      <c r="Q233" s="1" t="e">
        <f t="shared" si="11"/>
        <v>#REF!</v>
      </c>
    </row>
    <row r="234" spans="1:17" ht="12" customHeight="1" outlineLevel="5" x14ac:dyDescent="0.35">
      <c r="A234" s="2" t="str">
        <f t="shared" si="13"/>
        <v>CC415B</v>
      </c>
      <c r="B234" s="1">
        <v>5</v>
      </c>
      <c r="C234" s="1" t="s">
        <v>19</v>
      </c>
      <c r="D234" s="2" t="s">
        <v>30</v>
      </c>
      <c r="E234" s="13" t="s">
        <v>91</v>
      </c>
      <c r="F234" s="7" t="s">
        <v>92</v>
      </c>
      <c r="G234" s="2" t="s">
        <v>396</v>
      </c>
      <c r="H234" s="14"/>
      <c r="I234" s="2" t="s">
        <v>402</v>
      </c>
      <c r="L234" s="1" t="s">
        <v>1059</v>
      </c>
      <c r="M234" s="2" t="s">
        <v>93</v>
      </c>
      <c r="P234" s="2" t="s">
        <v>94</v>
      </c>
      <c r="Q234" s="1" t="e">
        <f t="shared" si="11"/>
        <v>#REF!</v>
      </c>
    </row>
    <row r="235" spans="1:17" ht="12" customHeight="1" outlineLevel="5" x14ac:dyDescent="0.35">
      <c r="A235" s="2" t="str">
        <f t="shared" si="13"/>
        <v>CC415B</v>
      </c>
      <c r="B235" s="1">
        <v>5</v>
      </c>
      <c r="C235" s="1" t="s">
        <v>19</v>
      </c>
      <c r="D235" s="2" t="s">
        <v>25</v>
      </c>
      <c r="E235" s="13" t="s">
        <v>95</v>
      </c>
      <c r="F235" s="7" t="s">
        <v>96</v>
      </c>
      <c r="G235" s="2" t="s">
        <v>27</v>
      </c>
      <c r="H235" s="14"/>
      <c r="L235" s="1" t="s">
        <v>1060</v>
      </c>
      <c r="M235" s="2" t="s">
        <v>97</v>
      </c>
      <c r="P235" s="2" t="s">
        <v>98</v>
      </c>
      <c r="Q235" s="1" t="e">
        <f t="shared" si="11"/>
        <v>#REF!</v>
      </c>
    </row>
    <row r="236" spans="1:17" ht="12" customHeight="1" outlineLevel="5" x14ac:dyDescent="0.35">
      <c r="A236" s="2" t="str">
        <f t="shared" si="13"/>
        <v>CC415B</v>
      </c>
      <c r="B236" s="1">
        <v>5</v>
      </c>
      <c r="C236" s="1" t="s">
        <v>19</v>
      </c>
      <c r="D236" s="2" t="s">
        <v>25</v>
      </c>
      <c r="E236" s="13" t="s">
        <v>99</v>
      </c>
      <c r="F236" s="7" t="s">
        <v>50</v>
      </c>
      <c r="G236" s="2" t="s">
        <v>27</v>
      </c>
      <c r="H236" s="14"/>
      <c r="J236" s="2" t="s">
        <v>403</v>
      </c>
      <c r="L236" s="1" t="s">
        <v>1061</v>
      </c>
      <c r="M236" s="2" t="s">
        <v>100</v>
      </c>
      <c r="P236" s="2" t="s">
        <v>52</v>
      </c>
      <c r="Q236" s="1" t="e">
        <f t="shared" si="11"/>
        <v>#REF!</v>
      </c>
    </row>
    <row r="237" spans="1:17" ht="12" customHeight="1" outlineLevel="3" x14ac:dyDescent="0.35">
      <c r="A237" s="3" t="str">
        <f t="shared" si="13"/>
        <v>CC415B</v>
      </c>
      <c r="B237" s="4">
        <v>3</v>
      </c>
      <c r="C237" s="3" t="s">
        <v>24</v>
      </c>
      <c r="D237" s="3" t="s">
        <v>30</v>
      </c>
      <c r="E237" s="10" t="s">
        <v>205</v>
      </c>
      <c r="F237" s="4"/>
      <c r="G237" s="3" t="s">
        <v>396</v>
      </c>
      <c r="H237" s="16" t="s">
        <v>439</v>
      </c>
      <c r="I237" s="16" t="s">
        <v>438</v>
      </c>
      <c r="J237" s="4"/>
      <c r="K237" s="4"/>
      <c r="L237" s="4" t="s">
        <v>1062</v>
      </c>
      <c r="M237" s="3" t="s">
        <v>205</v>
      </c>
      <c r="N237" s="4"/>
      <c r="O237" s="4"/>
      <c r="P237" s="3" t="s">
        <v>206</v>
      </c>
      <c r="Q237" s="1" t="e">
        <f t="shared" ref="Q237:Q285" si="14">IF($B237=0,$M237,_xlfn.TEXTBEFORE(Q236,"/",$B237,,,Q236)&amp;"/"&amp;$M237)&amp;IF(_xlfn.TEXTAFTER($D237,"..",,,,1)&lt;&gt;"1","[0]","")</f>
        <v>#REF!</v>
      </c>
    </row>
    <row r="238" spans="1:17" ht="12" customHeight="1" outlineLevel="4" x14ac:dyDescent="0.35">
      <c r="A238" s="2" t="str">
        <f t="shared" si="13"/>
        <v>CC415B</v>
      </c>
      <c r="B238" s="1">
        <v>4</v>
      </c>
      <c r="C238" s="1" t="s">
        <v>19</v>
      </c>
      <c r="D238" s="2" t="s">
        <v>30</v>
      </c>
      <c r="E238" s="11" t="s">
        <v>81</v>
      </c>
      <c r="F238" s="7" t="s">
        <v>68</v>
      </c>
      <c r="G238" s="2" t="s">
        <v>22</v>
      </c>
      <c r="H238" s="7" t="s">
        <v>434</v>
      </c>
      <c r="L238" s="1" t="s">
        <v>1063</v>
      </c>
      <c r="M238" s="2" t="s">
        <v>82</v>
      </c>
      <c r="P238" s="2" t="s">
        <v>70</v>
      </c>
      <c r="Q238" s="1" t="e">
        <f t="shared" si="14"/>
        <v>#REF!</v>
      </c>
    </row>
    <row r="239" spans="1:17" ht="12" customHeight="1" outlineLevel="4" x14ac:dyDescent="0.35">
      <c r="A239" s="2" t="str">
        <f t="shared" si="13"/>
        <v>CC415B</v>
      </c>
      <c r="B239" s="1">
        <v>4</v>
      </c>
      <c r="C239" s="1" t="s">
        <v>19</v>
      </c>
      <c r="D239" s="2" t="s">
        <v>30</v>
      </c>
      <c r="E239" s="11" t="s">
        <v>4</v>
      </c>
      <c r="F239" s="7" t="s">
        <v>83</v>
      </c>
      <c r="G239" s="2" t="s">
        <v>396</v>
      </c>
      <c r="H239" s="14"/>
      <c r="I239" s="2" t="s">
        <v>401</v>
      </c>
      <c r="L239" s="1" t="s">
        <v>1064</v>
      </c>
      <c r="M239" s="2" t="s">
        <v>84</v>
      </c>
      <c r="P239" s="2" t="s">
        <v>85</v>
      </c>
      <c r="Q239" s="1" t="e">
        <f t="shared" si="14"/>
        <v>#REF!</v>
      </c>
    </row>
    <row r="240" spans="1:17" ht="12" customHeight="1" outlineLevel="4" x14ac:dyDescent="0.35">
      <c r="A240" s="3" t="str">
        <f t="shared" si="13"/>
        <v>CC415B</v>
      </c>
      <c r="B240" s="4">
        <v>4</v>
      </c>
      <c r="C240" s="3" t="s">
        <v>24</v>
      </c>
      <c r="D240" s="3" t="s">
        <v>30</v>
      </c>
      <c r="E240" s="12" t="s">
        <v>86</v>
      </c>
      <c r="F240" s="4"/>
      <c r="G240" s="3" t="s">
        <v>396</v>
      </c>
      <c r="H240" s="15"/>
      <c r="I240" s="3" t="s">
        <v>401</v>
      </c>
      <c r="J240" s="4"/>
      <c r="K240" s="4"/>
      <c r="L240" s="4" t="s">
        <v>1065</v>
      </c>
      <c r="M240" s="3" t="s">
        <v>86</v>
      </c>
      <c r="N240" s="4"/>
      <c r="O240" s="4"/>
      <c r="P240" s="3" t="s">
        <v>87</v>
      </c>
      <c r="Q240" s="1" t="e">
        <f t="shared" si="14"/>
        <v>#REF!</v>
      </c>
    </row>
    <row r="241" spans="1:17" ht="12" customHeight="1" outlineLevel="5" x14ac:dyDescent="0.35">
      <c r="A241" s="2" t="str">
        <f t="shared" si="13"/>
        <v>CC415B</v>
      </c>
      <c r="B241" s="1">
        <v>5</v>
      </c>
      <c r="C241" s="1" t="s">
        <v>19</v>
      </c>
      <c r="D241" s="2" t="s">
        <v>25</v>
      </c>
      <c r="E241" s="13" t="s">
        <v>88</v>
      </c>
      <c r="F241" s="7" t="s">
        <v>83</v>
      </c>
      <c r="G241" s="2" t="s">
        <v>27</v>
      </c>
      <c r="H241" s="14"/>
      <c r="L241" s="1" t="s">
        <v>1066</v>
      </c>
      <c r="M241" s="2" t="s">
        <v>89</v>
      </c>
      <c r="P241" s="2" t="s">
        <v>90</v>
      </c>
      <c r="Q241" s="1" t="e">
        <f t="shared" si="14"/>
        <v>#REF!</v>
      </c>
    </row>
    <row r="242" spans="1:17" ht="12" customHeight="1" outlineLevel="5" x14ac:dyDescent="0.35">
      <c r="A242" s="2" t="str">
        <f t="shared" si="13"/>
        <v>CC415B</v>
      </c>
      <c r="B242" s="1">
        <v>5</v>
      </c>
      <c r="C242" s="1" t="s">
        <v>19</v>
      </c>
      <c r="D242" s="2" t="s">
        <v>30</v>
      </c>
      <c r="E242" s="13" t="s">
        <v>91</v>
      </c>
      <c r="F242" s="7" t="s">
        <v>92</v>
      </c>
      <c r="G242" s="2" t="s">
        <v>396</v>
      </c>
      <c r="H242" s="14"/>
      <c r="I242" s="2" t="s">
        <v>402</v>
      </c>
      <c r="L242" s="1" t="s">
        <v>1067</v>
      </c>
      <c r="M242" s="2" t="s">
        <v>93</v>
      </c>
      <c r="P242" s="2" t="s">
        <v>94</v>
      </c>
      <c r="Q242" s="1" t="e">
        <f t="shared" si="14"/>
        <v>#REF!</v>
      </c>
    </row>
    <row r="243" spans="1:17" ht="12" customHeight="1" outlineLevel="5" x14ac:dyDescent="0.35">
      <c r="A243" s="2" t="str">
        <f t="shared" si="13"/>
        <v>CC415B</v>
      </c>
      <c r="B243" s="1">
        <v>5</v>
      </c>
      <c r="C243" s="1" t="s">
        <v>19</v>
      </c>
      <c r="D243" s="2" t="s">
        <v>25</v>
      </c>
      <c r="E243" s="13" t="s">
        <v>95</v>
      </c>
      <c r="F243" s="7" t="s">
        <v>96</v>
      </c>
      <c r="G243" s="2" t="s">
        <v>27</v>
      </c>
      <c r="H243" s="14"/>
      <c r="L243" s="1" t="s">
        <v>1068</v>
      </c>
      <c r="M243" s="2" t="s">
        <v>97</v>
      </c>
      <c r="P243" s="2" t="s">
        <v>98</v>
      </c>
      <c r="Q243" s="1" t="e">
        <f t="shared" si="14"/>
        <v>#REF!</v>
      </c>
    </row>
    <row r="244" spans="1:17" ht="12" customHeight="1" outlineLevel="5" x14ac:dyDescent="0.35">
      <c r="A244" s="2" t="str">
        <f t="shared" si="13"/>
        <v>CC415B</v>
      </c>
      <c r="B244" s="1">
        <v>5</v>
      </c>
      <c r="C244" s="1" t="s">
        <v>19</v>
      </c>
      <c r="D244" s="2" t="s">
        <v>25</v>
      </c>
      <c r="E244" s="13" t="s">
        <v>99</v>
      </c>
      <c r="F244" s="7" t="s">
        <v>50</v>
      </c>
      <c r="G244" s="2" t="s">
        <v>27</v>
      </c>
      <c r="H244" s="14"/>
      <c r="J244" s="2" t="s">
        <v>403</v>
      </c>
      <c r="L244" s="1" t="s">
        <v>1069</v>
      </c>
      <c r="M244" s="2" t="s">
        <v>100</v>
      </c>
      <c r="P244" s="2" t="s">
        <v>52</v>
      </c>
      <c r="Q244" s="1" t="e">
        <f t="shared" si="14"/>
        <v>#REF!</v>
      </c>
    </row>
    <row r="245" spans="1:17" ht="12" customHeight="1" outlineLevel="3" x14ac:dyDescent="0.35">
      <c r="A245" s="3" t="str">
        <f t="shared" ref="A245:A300" si="15">$E$2</f>
        <v>CC415B</v>
      </c>
      <c r="B245" s="4">
        <v>3</v>
      </c>
      <c r="C245" s="3" t="s">
        <v>24</v>
      </c>
      <c r="D245" s="3" t="s">
        <v>30</v>
      </c>
      <c r="E245" s="10" t="s">
        <v>604</v>
      </c>
      <c r="F245" s="4"/>
      <c r="G245" s="3" t="s">
        <v>396</v>
      </c>
      <c r="H245" s="15"/>
      <c r="I245" s="3" t="s">
        <v>605</v>
      </c>
      <c r="J245" s="4"/>
      <c r="K245" s="4"/>
      <c r="L245" s="4" t="s">
        <v>1149</v>
      </c>
      <c r="M245" s="3" t="s">
        <v>604</v>
      </c>
      <c r="N245" s="4"/>
      <c r="O245" s="4"/>
      <c r="P245" s="3" t="s">
        <v>606</v>
      </c>
      <c r="Q245" s="1" t="e">
        <f>IF($B245=0,$M245,_xlfn.TEXTBEFORE(#REF!,"/",$B245,,,#REF!)&amp;"/"&amp;$M245)&amp;IF(_xlfn.TEXTAFTER($D245,"..",,,,1)&lt;&gt;"1","[0]","")</f>
        <v>#REF!</v>
      </c>
    </row>
    <row r="246" spans="1:17" ht="12" customHeight="1" outlineLevel="4" x14ac:dyDescent="0.35">
      <c r="A246" s="2" t="str">
        <f t="shared" si="15"/>
        <v>CC415B</v>
      </c>
      <c r="B246" s="1">
        <v>4</v>
      </c>
      <c r="C246" s="1" t="s">
        <v>19</v>
      </c>
      <c r="D246" s="2" t="s">
        <v>30</v>
      </c>
      <c r="E246" s="11" t="s">
        <v>607</v>
      </c>
      <c r="F246" s="7" t="s">
        <v>50</v>
      </c>
      <c r="G246" s="2" t="s">
        <v>396</v>
      </c>
      <c r="H246" s="7" t="s">
        <v>608</v>
      </c>
      <c r="I246" s="2" t="s">
        <v>609</v>
      </c>
      <c r="J246" s="2" t="s">
        <v>468</v>
      </c>
      <c r="L246" s="1" t="s">
        <v>1150</v>
      </c>
      <c r="M246" s="2" t="s">
        <v>610</v>
      </c>
      <c r="P246" s="2" t="s">
        <v>52</v>
      </c>
      <c r="Q246" s="1" t="e">
        <f t="shared" si="14"/>
        <v>#REF!</v>
      </c>
    </row>
    <row r="247" spans="1:17" ht="12" customHeight="1" outlineLevel="4" x14ac:dyDescent="0.35">
      <c r="A247" s="2" t="str">
        <f t="shared" si="15"/>
        <v>CC415B</v>
      </c>
      <c r="B247" s="1">
        <v>4</v>
      </c>
      <c r="C247" s="1" t="s">
        <v>19</v>
      </c>
      <c r="D247" s="2" t="s">
        <v>30</v>
      </c>
      <c r="E247" s="11" t="s">
        <v>611</v>
      </c>
      <c r="F247" s="7" t="s">
        <v>60</v>
      </c>
      <c r="G247" s="2" t="s">
        <v>396</v>
      </c>
      <c r="H247" s="7" t="s">
        <v>427</v>
      </c>
      <c r="I247" s="2" t="s">
        <v>612</v>
      </c>
      <c r="L247" s="1" t="s">
        <v>1151</v>
      </c>
      <c r="M247" s="2" t="s">
        <v>613</v>
      </c>
      <c r="P247" s="2" t="s">
        <v>614</v>
      </c>
      <c r="Q247" s="1" t="e">
        <f t="shared" si="14"/>
        <v>#REF!</v>
      </c>
    </row>
    <row r="248" spans="1:17" ht="12" customHeight="1" outlineLevel="3" x14ac:dyDescent="0.35">
      <c r="A248" s="3" t="str">
        <f t="shared" si="15"/>
        <v>CC415B</v>
      </c>
      <c r="B248" s="4">
        <v>3</v>
      </c>
      <c r="C248" s="3" t="s">
        <v>24</v>
      </c>
      <c r="D248" s="3" t="s">
        <v>30</v>
      </c>
      <c r="E248" s="10" t="s">
        <v>464</v>
      </c>
      <c r="F248" s="4"/>
      <c r="G248" s="3" t="s">
        <v>396</v>
      </c>
      <c r="H248" s="16" t="s">
        <v>739</v>
      </c>
      <c r="I248" s="16" t="s">
        <v>615</v>
      </c>
      <c r="J248" s="4"/>
      <c r="K248" s="4"/>
      <c r="L248" s="4" t="s">
        <v>1075</v>
      </c>
      <c r="M248" s="3" t="s">
        <v>465</v>
      </c>
      <c r="N248" s="4"/>
      <c r="O248" s="4"/>
      <c r="P248" s="3" t="s">
        <v>466</v>
      </c>
      <c r="Q248" s="1" t="e">
        <f t="shared" si="14"/>
        <v>#REF!</v>
      </c>
    </row>
    <row r="249" spans="1:17" ht="12" customHeight="1" outlineLevel="4" x14ac:dyDescent="0.35">
      <c r="A249" s="2" t="str">
        <f t="shared" si="15"/>
        <v>CC415B</v>
      </c>
      <c r="B249" s="1">
        <v>4</v>
      </c>
      <c r="C249" s="1" t="s">
        <v>19</v>
      </c>
      <c r="D249" s="2" t="s">
        <v>25</v>
      </c>
      <c r="E249" s="11" t="s">
        <v>464</v>
      </c>
      <c r="F249" s="7" t="s">
        <v>50</v>
      </c>
      <c r="G249" s="2" t="s">
        <v>27</v>
      </c>
      <c r="H249" s="7" t="s">
        <v>467</v>
      </c>
      <c r="J249" s="2" t="s">
        <v>468</v>
      </c>
      <c r="L249" s="1" t="s">
        <v>1076</v>
      </c>
      <c r="M249" s="2" t="s">
        <v>469</v>
      </c>
      <c r="P249" s="2" t="s">
        <v>52</v>
      </c>
      <c r="Q249" s="1" t="e">
        <f t="shared" si="14"/>
        <v>#REF!</v>
      </c>
    </row>
    <row r="250" spans="1:17" ht="12" customHeight="1" outlineLevel="3" x14ac:dyDescent="0.35">
      <c r="A250" s="3" t="str">
        <f t="shared" si="15"/>
        <v>CC415B</v>
      </c>
      <c r="B250" s="4">
        <v>3</v>
      </c>
      <c r="C250" s="3" t="s">
        <v>24</v>
      </c>
      <c r="D250" s="3" t="s">
        <v>30</v>
      </c>
      <c r="E250" s="10" t="s">
        <v>470</v>
      </c>
      <c r="F250" s="4"/>
      <c r="G250" s="3" t="s">
        <v>396</v>
      </c>
      <c r="H250" s="16" t="s">
        <v>740</v>
      </c>
      <c r="I250" s="16" t="s">
        <v>743</v>
      </c>
      <c r="J250" s="4"/>
      <c r="K250" s="4"/>
      <c r="L250" s="4" t="s">
        <v>1152</v>
      </c>
      <c r="M250" s="3" t="s">
        <v>470</v>
      </c>
      <c r="N250" s="4"/>
      <c r="O250" s="4"/>
      <c r="P250" s="3" t="s">
        <v>471</v>
      </c>
      <c r="Q250" s="1" t="e">
        <f t="shared" si="14"/>
        <v>#REF!</v>
      </c>
    </row>
    <row r="251" spans="1:17" ht="12" customHeight="1" outlineLevel="4" x14ac:dyDescent="0.35">
      <c r="A251" s="2" t="str">
        <f t="shared" si="15"/>
        <v>CC415B</v>
      </c>
      <c r="B251" s="1">
        <v>4</v>
      </c>
      <c r="C251" s="1" t="s">
        <v>19</v>
      </c>
      <c r="D251" s="2" t="s">
        <v>30</v>
      </c>
      <c r="E251" s="11" t="s">
        <v>472</v>
      </c>
      <c r="F251" s="7" t="s">
        <v>50</v>
      </c>
      <c r="G251" s="2" t="s">
        <v>396</v>
      </c>
      <c r="H251" s="7" t="s">
        <v>473</v>
      </c>
      <c r="I251" s="2" t="s">
        <v>474</v>
      </c>
      <c r="J251" s="2" t="s">
        <v>416</v>
      </c>
      <c r="L251" s="1" t="s">
        <v>1078</v>
      </c>
      <c r="M251" s="2" t="s">
        <v>475</v>
      </c>
      <c r="P251" s="2" t="s">
        <v>52</v>
      </c>
      <c r="Q251" s="1" t="e">
        <f t="shared" si="14"/>
        <v>#REF!</v>
      </c>
    </row>
    <row r="252" spans="1:17" ht="12" customHeight="1" outlineLevel="4" x14ac:dyDescent="0.35">
      <c r="A252" s="2" t="str">
        <f t="shared" si="15"/>
        <v>CC415B</v>
      </c>
      <c r="B252" s="1">
        <v>4</v>
      </c>
      <c r="C252" s="1" t="s">
        <v>19</v>
      </c>
      <c r="D252" s="2" t="s">
        <v>30</v>
      </c>
      <c r="E252" s="11" t="s">
        <v>476</v>
      </c>
      <c r="F252" s="7" t="s">
        <v>96</v>
      </c>
      <c r="G252" s="2" t="s">
        <v>396</v>
      </c>
      <c r="H252" s="7" t="s">
        <v>742</v>
      </c>
      <c r="I252" s="7" t="s">
        <v>741</v>
      </c>
      <c r="L252" s="1" t="s">
        <v>1079</v>
      </c>
      <c r="M252" s="2" t="s">
        <v>478</v>
      </c>
      <c r="P252" s="2" t="s">
        <v>479</v>
      </c>
      <c r="Q252" s="1" t="e">
        <f t="shared" si="14"/>
        <v>#REF!</v>
      </c>
    </row>
    <row r="253" spans="1:17" ht="12" customHeight="1" outlineLevel="4" x14ac:dyDescent="0.35">
      <c r="A253" s="2" t="str">
        <f t="shared" si="15"/>
        <v>CC415B</v>
      </c>
      <c r="B253" s="1">
        <v>4</v>
      </c>
      <c r="C253" s="1" t="s">
        <v>19</v>
      </c>
      <c r="D253" s="2" t="s">
        <v>30</v>
      </c>
      <c r="E253" s="11" t="s">
        <v>142</v>
      </c>
      <c r="F253" s="7" t="s">
        <v>50</v>
      </c>
      <c r="G253" s="2" t="s">
        <v>396</v>
      </c>
      <c r="H253" s="7" t="s">
        <v>744</v>
      </c>
      <c r="I253" s="2" t="s">
        <v>480</v>
      </c>
      <c r="J253" s="2" t="s">
        <v>416</v>
      </c>
      <c r="M253" s="2" t="s">
        <v>143</v>
      </c>
      <c r="P253" s="2" t="s">
        <v>52</v>
      </c>
      <c r="Q253" s="1" t="e">
        <f t="shared" si="14"/>
        <v>#REF!</v>
      </c>
    </row>
    <row r="254" spans="1:17" ht="12" customHeight="1" outlineLevel="3" x14ac:dyDescent="0.35">
      <c r="A254" s="3" t="str">
        <f t="shared" si="15"/>
        <v>CC415B</v>
      </c>
      <c r="B254" s="4">
        <v>3</v>
      </c>
      <c r="C254" s="3" t="s">
        <v>24</v>
      </c>
      <c r="D254" s="3" t="s">
        <v>25</v>
      </c>
      <c r="E254" s="10" t="s">
        <v>336</v>
      </c>
      <c r="F254" s="4"/>
      <c r="G254" s="3" t="s">
        <v>27</v>
      </c>
      <c r="H254" s="15"/>
      <c r="I254" s="4"/>
      <c r="J254" s="4"/>
      <c r="K254" s="4"/>
      <c r="L254" s="4"/>
      <c r="M254" s="3" t="s">
        <v>336</v>
      </c>
      <c r="N254" s="4"/>
      <c r="O254" s="4"/>
      <c r="P254" s="3" t="s">
        <v>842</v>
      </c>
      <c r="Q254" s="1" t="e">
        <f>IF($B254=0,$M254,_xlfn.TEXTBEFORE(#REF!,"/",$B254,,,#REF!)&amp;"/"&amp;$M254)&amp;IF(_xlfn.TEXTAFTER($D254,"..",,,,1)&lt;&gt;"1","[0]","")</f>
        <v>#REF!</v>
      </c>
    </row>
    <row r="255" spans="1:17" ht="12" customHeight="1" outlineLevel="4" x14ac:dyDescent="0.35">
      <c r="A255" s="2" t="str">
        <f t="shared" si="15"/>
        <v>CC415B</v>
      </c>
      <c r="B255" s="1">
        <v>4</v>
      </c>
      <c r="C255" s="1" t="s">
        <v>19</v>
      </c>
      <c r="D255" s="2" t="s">
        <v>25</v>
      </c>
      <c r="E255" s="11" t="s">
        <v>338</v>
      </c>
      <c r="F255" s="7" t="s">
        <v>216</v>
      </c>
      <c r="G255" s="2" t="s">
        <v>27</v>
      </c>
      <c r="H255" s="14"/>
      <c r="L255" s="1" t="s">
        <v>1153</v>
      </c>
      <c r="M255" s="2" t="s">
        <v>339</v>
      </c>
      <c r="P255" s="2" t="s">
        <v>218</v>
      </c>
      <c r="Q255" s="1" t="e">
        <f t="shared" si="14"/>
        <v>#REF!</v>
      </c>
    </row>
    <row r="256" spans="1:17" ht="12" customHeight="1" outlineLevel="4" x14ac:dyDescent="0.35">
      <c r="A256" s="2" t="str">
        <f t="shared" si="15"/>
        <v>CC415B</v>
      </c>
      <c r="B256" s="1">
        <v>4</v>
      </c>
      <c r="C256" s="1" t="s">
        <v>19</v>
      </c>
      <c r="D256" s="2" t="s">
        <v>30</v>
      </c>
      <c r="E256" s="11" t="s">
        <v>617</v>
      </c>
      <c r="F256" s="7" t="s">
        <v>618</v>
      </c>
      <c r="G256" s="2" t="s">
        <v>22</v>
      </c>
      <c r="H256" s="7" t="s">
        <v>619</v>
      </c>
      <c r="J256" s="2" t="s">
        <v>620</v>
      </c>
      <c r="L256" s="1" t="s">
        <v>1154</v>
      </c>
      <c r="M256" s="2" t="s">
        <v>621</v>
      </c>
      <c r="P256" s="2" t="s">
        <v>622</v>
      </c>
      <c r="Q256" s="1" t="e">
        <f t="shared" si="14"/>
        <v>#REF!</v>
      </c>
    </row>
    <row r="257" spans="1:17" ht="12" customHeight="1" outlineLevel="4" x14ac:dyDescent="0.35">
      <c r="A257" s="2" t="str">
        <f t="shared" si="15"/>
        <v>CC415B</v>
      </c>
      <c r="B257" s="1">
        <v>4</v>
      </c>
      <c r="C257" s="1" t="s">
        <v>19</v>
      </c>
      <c r="D257" s="2" t="s">
        <v>30</v>
      </c>
      <c r="E257" s="11" t="s">
        <v>623</v>
      </c>
      <c r="F257" s="7" t="s">
        <v>624</v>
      </c>
      <c r="G257" s="2" t="s">
        <v>22</v>
      </c>
      <c r="H257" s="14"/>
      <c r="L257" s="1" t="s">
        <v>1155</v>
      </c>
      <c r="M257" s="2" t="s">
        <v>625</v>
      </c>
      <c r="P257" s="2" t="s">
        <v>626</v>
      </c>
      <c r="Q257" s="1" t="e">
        <f t="shared" si="14"/>
        <v>#REF!</v>
      </c>
    </row>
    <row r="258" spans="1:17" ht="12" customHeight="1" outlineLevel="4" x14ac:dyDescent="0.35">
      <c r="A258" s="3" t="str">
        <f t="shared" si="15"/>
        <v>CC415B</v>
      </c>
      <c r="B258" s="4">
        <v>4</v>
      </c>
      <c r="C258" s="3" t="s">
        <v>24</v>
      </c>
      <c r="D258" s="3" t="s">
        <v>30</v>
      </c>
      <c r="E258" s="12" t="s">
        <v>627</v>
      </c>
      <c r="F258" s="4"/>
      <c r="G258" s="3" t="s">
        <v>396</v>
      </c>
      <c r="H258" s="15"/>
      <c r="I258" s="3" t="s">
        <v>628</v>
      </c>
      <c r="J258" s="4"/>
      <c r="K258" s="4"/>
      <c r="L258" s="4" t="s">
        <v>1156</v>
      </c>
      <c r="M258" s="3" t="s">
        <v>629</v>
      </c>
      <c r="N258" s="4"/>
      <c r="O258" s="4"/>
      <c r="P258" s="3" t="s">
        <v>843</v>
      </c>
      <c r="Q258" s="1" t="e">
        <f t="shared" si="14"/>
        <v>#REF!</v>
      </c>
    </row>
    <row r="259" spans="1:17" ht="12" customHeight="1" outlineLevel="5" x14ac:dyDescent="0.35">
      <c r="A259" s="2" t="str">
        <f t="shared" si="15"/>
        <v>CC415B</v>
      </c>
      <c r="B259" s="1">
        <v>5</v>
      </c>
      <c r="C259" s="1" t="s">
        <v>19</v>
      </c>
      <c r="D259" s="2" t="s">
        <v>25</v>
      </c>
      <c r="E259" s="13" t="s">
        <v>631</v>
      </c>
      <c r="F259" s="7" t="s">
        <v>624</v>
      </c>
      <c r="G259" s="2" t="s">
        <v>27</v>
      </c>
      <c r="H259" s="7"/>
      <c r="J259" s="2" t="s">
        <v>632</v>
      </c>
      <c r="L259" s="1" t="s">
        <v>1157</v>
      </c>
      <c r="M259" s="2" t="s">
        <v>633</v>
      </c>
      <c r="P259" s="2" t="s">
        <v>634</v>
      </c>
      <c r="Q259" s="1" t="e">
        <f t="shared" si="14"/>
        <v>#REF!</v>
      </c>
    </row>
    <row r="260" spans="1:17" ht="12" customHeight="1" outlineLevel="5" x14ac:dyDescent="0.35">
      <c r="A260" s="2" t="str">
        <f t="shared" si="15"/>
        <v>CC415B</v>
      </c>
      <c r="B260" s="1">
        <v>5</v>
      </c>
      <c r="C260" s="1" t="s">
        <v>19</v>
      </c>
      <c r="D260" s="2" t="s">
        <v>25</v>
      </c>
      <c r="E260" s="13" t="s">
        <v>635</v>
      </c>
      <c r="F260" s="7" t="s">
        <v>325</v>
      </c>
      <c r="G260" s="2" t="s">
        <v>27</v>
      </c>
      <c r="H260" s="14"/>
      <c r="L260" s="1" t="s">
        <v>1158</v>
      </c>
      <c r="M260" s="2" t="s">
        <v>636</v>
      </c>
      <c r="P260" s="2" t="s">
        <v>637</v>
      </c>
      <c r="Q260" s="1" t="e">
        <f t="shared" si="14"/>
        <v>#REF!</v>
      </c>
    </row>
    <row r="261" spans="1:17" ht="12" customHeight="1" outlineLevel="5" x14ac:dyDescent="0.35">
      <c r="A261" s="2" t="str">
        <f t="shared" si="15"/>
        <v>CC415B</v>
      </c>
      <c r="B261" s="1">
        <v>5</v>
      </c>
      <c r="C261" s="1" t="s">
        <v>19</v>
      </c>
      <c r="D261" s="2" t="s">
        <v>30</v>
      </c>
      <c r="E261" s="13" t="s">
        <v>638</v>
      </c>
      <c r="F261" s="7" t="s">
        <v>325</v>
      </c>
      <c r="G261" s="2" t="s">
        <v>396</v>
      </c>
      <c r="H261" s="14"/>
      <c r="I261" s="2" t="s">
        <v>639</v>
      </c>
      <c r="L261" s="1" t="s">
        <v>1159</v>
      </c>
      <c r="M261" s="2" t="s">
        <v>640</v>
      </c>
      <c r="P261" s="2" t="s">
        <v>641</v>
      </c>
      <c r="Q261" s="1" t="e">
        <f t="shared" si="14"/>
        <v>#REF!</v>
      </c>
    </row>
    <row r="262" spans="1:17" ht="12" customHeight="1" outlineLevel="5" x14ac:dyDescent="0.35">
      <c r="A262" s="3" t="str">
        <f t="shared" si="15"/>
        <v>CC415B</v>
      </c>
      <c r="B262" s="4">
        <v>5</v>
      </c>
      <c r="C262" s="3" t="s">
        <v>24</v>
      </c>
      <c r="D262" s="3" t="s">
        <v>193</v>
      </c>
      <c r="E262" s="17" t="s">
        <v>642</v>
      </c>
      <c r="F262" s="4"/>
      <c r="G262" s="3" t="s">
        <v>396</v>
      </c>
      <c r="H262" s="16" t="s">
        <v>643</v>
      </c>
      <c r="I262" s="16" t="s">
        <v>758</v>
      </c>
      <c r="J262" s="4"/>
      <c r="K262" s="4"/>
      <c r="L262" s="4" t="s">
        <v>1194</v>
      </c>
      <c r="M262" s="3" t="s">
        <v>644</v>
      </c>
      <c r="N262" s="4"/>
      <c r="O262" s="4"/>
      <c r="P262" s="3" t="s">
        <v>645</v>
      </c>
      <c r="Q262" s="1" t="e">
        <f t="shared" si="14"/>
        <v>#REF!</v>
      </c>
    </row>
    <row r="263" spans="1:17" ht="12" customHeight="1" outlineLevel="6" x14ac:dyDescent="0.35">
      <c r="A263" s="2" t="str">
        <f t="shared" si="15"/>
        <v>CC415B</v>
      </c>
      <c r="B263" s="1">
        <v>6</v>
      </c>
      <c r="C263" s="1" t="s">
        <v>19</v>
      </c>
      <c r="D263" s="2" t="s">
        <v>25</v>
      </c>
      <c r="E263" s="18" t="s">
        <v>56</v>
      </c>
      <c r="F263" s="7" t="s">
        <v>57</v>
      </c>
      <c r="G263" s="2" t="s">
        <v>27</v>
      </c>
      <c r="H263" s="7" t="s">
        <v>393</v>
      </c>
      <c r="M263" s="2" t="s">
        <v>58</v>
      </c>
      <c r="P263" s="2" t="s">
        <v>59</v>
      </c>
      <c r="Q263" s="1" t="e">
        <f t="shared" si="14"/>
        <v>#REF!</v>
      </c>
    </row>
    <row r="264" spans="1:17" ht="12" customHeight="1" outlineLevel="6" x14ac:dyDescent="0.35">
      <c r="A264" s="2" t="str">
        <f t="shared" si="15"/>
        <v>CC415B</v>
      </c>
      <c r="B264" s="1">
        <v>6</v>
      </c>
      <c r="C264" s="1" t="s">
        <v>19</v>
      </c>
      <c r="D264" s="2" t="s">
        <v>25</v>
      </c>
      <c r="E264" s="18" t="s">
        <v>642</v>
      </c>
      <c r="F264" s="7" t="s">
        <v>306</v>
      </c>
      <c r="G264" s="2" t="s">
        <v>27</v>
      </c>
      <c r="H264" s="14"/>
      <c r="M264" s="2" t="s">
        <v>646</v>
      </c>
      <c r="P264" s="2" t="s">
        <v>647</v>
      </c>
      <c r="Q264" s="1" t="e">
        <f t="shared" si="14"/>
        <v>#REF!</v>
      </c>
    </row>
    <row r="265" spans="1:17" ht="12" customHeight="1" outlineLevel="5" x14ac:dyDescent="0.35">
      <c r="A265" s="3" t="str">
        <f t="shared" si="15"/>
        <v>CC415B</v>
      </c>
      <c r="B265" s="4">
        <v>5</v>
      </c>
      <c r="C265" s="3" t="s">
        <v>24</v>
      </c>
      <c r="D265" s="3" t="s">
        <v>193</v>
      </c>
      <c r="E265" s="17" t="s">
        <v>648</v>
      </c>
      <c r="F265" s="4"/>
      <c r="G265" s="3" t="s">
        <v>22</v>
      </c>
      <c r="H265" s="16" t="s">
        <v>477</v>
      </c>
      <c r="I265" s="4"/>
      <c r="J265" s="4"/>
      <c r="K265" s="4"/>
      <c r="L265" s="4" t="s">
        <v>1195</v>
      </c>
      <c r="M265" s="3" t="s">
        <v>649</v>
      </c>
      <c r="N265" s="4"/>
      <c r="O265" s="4"/>
      <c r="P265" s="3" t="s">
        <v>650</v>
      </c>
      <c r="Q265" s="1" t="e">
        <f t="shared" si="14"/>
        <v>#REF!</v>
      </c>
    </row>
    <row r="266" spans="1:17" ht="12" customHeight="1" outlineLevel="6" x14ac:dyDescent="0.35">
      <c r="A266" s="2" t="str">
        <f t="shared" si="15"/>
        <v>CC415B</v>
      </c>
      <c r="B266" s="1">
        <v>6</v>
      </c>
      <c r="C266" s="1" t="s">
        <v>19</v>
      </c>
      <c r="D266" s="2" t="s">
        <v>25</v>
      </c>
      <c r="E266" s="18" t="s">
        <v>56</v>
      </c>
      <c r="F266" s="7" t="s">
        <v>57</v>
      </c>
      <c r="G266" s="2" t="s">
        <v>27</v>
      </c>
      <c r="H266" s="7" t="s">
        <v>393</v>
      </c>
      <c r="M266" s="2" t="s">
        <v>58</v>
      </c>
      <c r="P266" s="2" t="s">
        <v>59</v>
      </c>
      <c r="Q266" s="1" t="e">
        <f t="shared" si="14"/>
        <v>#REF!</v>
      </c>
    </row>
    <row r="267" spans="1:17" ht="12" customHeight="1" outlineLevel="6" x14ac:dyDescent="0.35">
      <c r="A267" s="2" t="str">
        <f t="shared" si="15"/>
        <v>CC415B</v>
      </c>
      <c r="B267" s="1">
        <v>6</v>
      </c>
      <c r="C267" s="1" t="s">
        <v>19</v>
      </c>
      <c r="D267" s="2" t="s">
        <v>25</v>
      </c>
      <c r="E267" s="18" t="s">
        <v>648</v>
      </c>
      <c r="F267" s="7" t="s">
        <v>60</v>
      </c>
      <c r="G267" s="2" t="s">
        <v>27</v>
      </c>
      <c r="H267" s="7" t="s">
        <v>477</v>
      </c>
      <c r="M267" s="2" t="s">
        <v>651</v>
      </c>
      <c r="P267" s="2" t="s">
        <v>652</v>
      </c>
      <c r="Q267" s="1" t="e">
        <f t="shared" si="14"/>
        <v>#REF!</v>
      </c>
    </row>
    <row r="268" spans="1:17" ht="12" customHeight="1" outlineLevel="6" x14ac:dyDescent="0.35">
      <c r="A268" s="2" t="str">
        <f t="shared" si="15"/>
        <v>CC415B</v>
      </c>
      <c r="B268" s="1">
        <v>6</v>
      </c>
      <c r="C268" s="1" t="s">
        <v>19</v>
      </c>
      <c r="D268" s="2" t="s">
        <v>30</v>
      </c>
      <c r="E268" s="18" t="s">
        <v>142</v>
      </c>
      <c r="F268" s="7" t="s">
        <v>50</v>
      </c>
      <c r="G268" s="2" t="s">
        <v>396</v>
      </c>
      <c r="H268" s="7" t="s">
        <v>748</v>
      </c>
      <c r="I268" s="2" t="s">
        <v>493</v>
      </c>
      <c r="J268" s="2" t="s">
        <v>416</v>
      </c>
      <c r="M268" s="2" t="s">
        <v>143</v>
      </c>
      <c r="P268" s="2" t="s">
        <v>52</v>
      </c>
      <c r="Q268" s="1" t="e">
        <f t="shared" si="14"/>
        <v>#REF!</v>
      </c>
    </row>
    <row r="269" spans="1:17" ht="12" customHeight="1" outlineLevel="4" x14ac:dyDescent="0.35">
      <c r="A269" s="3" t="str">
        <f t="shared" si="15"/>
        <v>CC415B</v>
      </c>
      <c r="B269" s="4">
        <v>4</v>
      </c>
      <c r="C269" s="3" t="s">
        <v>24</v>
      </c>
      <c r="D269" s="3" t="s">
        <v>30</v>
      </c>
      <c r="E269" s="12" t="s">
        <v>340</v>
      </c>
      <c r="F269" s="4"/>
      <c r="G269" s="3" t="s">
        <v>22</v>
      </c>
      <c r="H269" s="15"/>
      <c r="I269" s="4"/>
      <c r="J269" s="4"/>
      <c r="K269" s="4"/>
      <c r="L269" s="4"/>
      <c r="M269" s="3" t="s">
        <v>341</v>
      </c>
      <c r="N269" s="4"/>
      <c r="O269" s="4"/>
      <c r="P269" s="3" t="s">
        <v>654</v>
      </c>
      <c r="Q269" s="1" t="e">
        <f>IF($B269=0,$M269,_xlfn.TEXTBEFORE(#REF!,"/",$B269,,,#REF!)&amp;"/"&amp;$M269)&amp;IF(_xlfn.TEXTAFTER($D269,"..",,,,1)&lt;&gt;"1","[0]","")</f>
        <v>#REF!</v>
      </c>
    </row>
    <row r="270" spans="1:17" ht="12" customHeight="1" outlineLevel="5" x14ac:dyDescent="0.35">
      <c r="A270" s="2" t="str">
        <f t="shared" si="15"/>
        <v>CC415B</v>
      </c>
      <c r="B270" s="1">
        <v>5</v>
      </c>
      <c r="C270" s="1" t="s">
        <v>19</v>
      </c>
      <c r="D270" s="2" t="s">
        <v>30</v>
      </c>
      <c r="E270" s="13" t="s">
        <v>310</v>
      </c>
      <c r="F270" s="7" t="s">
        <v>311</v>
      </c>
      <c r="G270" s="2" t="s">
        <v>22</v>
      </c>
      <c r="H270" s="7" t="s">
        <v>551</v>
      </c>
      <c r="L270" s="1" t="s">
        <v>1107</v>
      </c>
      <c r="M270" s="2" t="s">
        <v>312</v>
      </c>
      <c r="P270" s="2" t="s">
        <v>313</v>
      </c>
      <c r="Q270" s="1" t="e">
        <f t="shared" si="14"/>
        <v>#REF!</v>
      </c>
    </row>
    <row r="271" spans="1:17" ht="12" customHeight="1" outlineLevel="5" x14ac:dyDescent="0.35">
      <c r="A271" s="2" t="str">
        <f t="shared" si="15"/>
        <v>CC415B</v>
      </c>
      <c r="B271" s="1">
        <v>5</v>
      </c>
      <c r="C271" s="1" t="s">
        <v>19</v>
      </c>
      <c r="D271" s="2" t="s">
        <v>30</v>
      </c>
      <c r="E271" s="13" t="s">
        <v>655</v>
      </c>
      <c r="F271" s="7" t="s">
        <v>311</v>
      </c>
      <c r="G271" s="2" t="s">
        <v>396</v>
      </c>
      <c r="H271" s="7" t="s">
        <v>759</v>
      </c>
      <c r="I271" s="2" t="s">
        <v>656</v>
      </c>
      <c r="L271" s="1" t="s">
        <v>1160</v>
      </c>
      <c r="M271" s="2" t="s">
        <v>657</v>
      </c>
      <c r="P271" s="2" t="s">
        <v>313</v>
      </c>
      <c r="Q271" s="1" t="e">
        <f t="shared" si="14"/>
        <v>#REF!</v>
      </c>
    </row>
    <row r="272" spans="1:17" ht="12" customHeight="1" outlineLevel="5" x14ac:dyDescent="0.35">
      <c r="A272" s="2" t="str">
        <f t="shared" si="15"/>
        <v>CC415B</v>
      </c>
      <c r="B272" s="1">
        <v>5</v>
      </c>
      <c r="C272" s="1" t="s">
        <v>19</v>
      </c>
      <c r="D272" s="2" t="s">
        <v>30</v>
      </c>
      <c r="E272" s="13" t="s">
        <v>658</v>
      </c>
      <c r="F272" s="7" t="s">
        <v>311</v>
      </c>
      <c r="G272" s="2" t="s">
        <v>396</v>
      </c>
      <c r="H272" s="7" t="s">
        <v>761</v>
      </c>
      <c r="I272" s="7" t="s">
        <v>760</v>
      </c>
      <c r="L272" s="1" t="s">
        <v>1161</v>
      </c>
      <c r="M272" s="2" t="s">
        <v>659</v>
      </c>
      <c r="P272" s="2" t="s">
        <v>313</v>
      </c>
      <c r="Q272" s="1" t="e">
        <f t="shared" si="14"/>
        <v>#REF!</v>
      </c>
    </row>
    <row r="273" spans="1:17" ht="12" customHeight="1" outlineLevel="4" x14ac:dyDescent="0.35">
      <c r="A273" s="3" t="str">
        <f t="shared" si="15"/>
        <v>CC415B</v>
      </c>
      <c r="B273" s="4">
        <v>4</v>
      </c>
      <c r="C273" s="3" t="s">
        <v>24</v>
      </c>
      <c r="D273" s="3" t="s">
        <v>30</v>
      </c>
      <c r="E273" s="12" t="s">
        <v>660</v>
      </c>
      <c r="F273" s="4"/>
      <c r="G273" s="3" t="s">
        <v>396</v>
      </c>
      <c r="H273" s="16" t="s">
        <v>661</v>
      </c>
      <c r="I273" s="16" t="s">
        <v>662</v>
      </c>
      <c r="J273" s="4"/>
      <c r="K273" s="4"/>
      <c r="L273" s="4" t="s">
        <v>1162</v>
      </c>
      <c r="M273" s="3" t="s">
        <v>663</v>
      </c>
      <c r="N273" s="4"/>
      <c r="O273" s="4"/>
      <c r="P273" s="3" t="s">
        <v>664</v>
      </c>
      <c r="Q273" s="1" t="e">
        <f t="shared" si="14"/>
        <v>#REF!</v>
      </c>
    </row>
    <row r="274" spans="1:17" ht="12" customHeight="1" outlineLevel="5" x14ac:dyDescent="0.35">
      <c r="A274" s="2" t="str">
        <f t="shared" si="15"/>
        <v>CC415B</v>
      </c>
      <c r="B274" s="1">
        <v>5</v>
      </c>
      <c r="C274" s="1" t="s">
        <v>19</v>
      </c>
      <c r="D274" s="2" t="s">
        <v>25</v>
      </c>
      <c r="E274" s="13" t="s">
        <v>665</v>
      </c>
      <c r="F274" s="7" t="s">
        <v>152</v>
      </c>
      <c r="G274" s="2" t="s">
        <v>27</v>
      </c>
      <c r="H274" s="7" t="s">
        <v>419</v>
      </c>
      <c r="L274" s="1" t="s">
        <v>1163</v>
      </c>
      <c r="M274" s="2" t="s">
        <v>666</v>
      </c>
      <c r="P274" s="2" t="s">
        <v>154</v>
      </c>
      <c r="Q274" s="1" t="e">
        <f t="shared" si="14"/>
        <v>#REF!</v>
      </c>
    </row>
    <row r="275" spans="1:17" ht="12" customHeight="1" outlineLevel="4" x14ac:dyDescent="0.35">
      <c r="A275" s="3" t="str">
        <f t="shared" si="15"/>
        <v>CC415B</v>
      </c>
      <c r="B275" s="4">
        <v>4</v>
      </c>
      <c r="C275" s="3" t="s">
        <v>24</v>
      </c>
      <c r="D275" s="3" t="s">
        <v>30</v>
      </c>
      <c r="E275" s="12" t="s">
        <v>667</v>
      </c>
      <c r="F275" s="4"/>
      <c r="G275" s="3" t="s">
        <v>396</v>
      </c>
      <c r="H275" s="15" t="s">
        <v>762</v>
      </c>
      <c r="I275" s="3" t="s">
        <v>668</v>
      </c>
      <c r="J275" s="4"/>
      <c r="K275" s="4"/>
      <c r="L275" s="4" t="s">
        <v>1164</v>
      </c>
      <c r="M275" s="3" t="s">
        <v>669</v>
      </c>
      <c r="N275" s="4"/>
      <c r="O275" s="4"/>
      <c r="P275" s="3" t="s">
        <v>670</v>
      </c>
      <c r="Q275" s="1" t="e">
        <f t="shared" si="14"/>
        <v>#REF!</v>
      </c>
    </row>
    <row r="276" spans="1:17" ht="12" customHeight="1" outlineLevel="5" x14ac:dyDescent="0.35">
      <c r="A276" s="2" t="str">
        <f t="shared" si="15"/>
        <v>CC415B</v>
      </c>
      <c r="B276" s="1">
        <v>5</v>
      </c>
      <c r="C276" s="1" t="s">
        <v>19</v>
      </c>
      <c r="D276" s="2" t="s">
        <v>30</v>
      </c>
      <c r="E276" s="13" t="s">
        <v>671</v>
      </c>
      <c r="F276" s="7" t="s">
        <v>672</v>
      </c>
      <c r="G276" s="2" t="s">
        <v>396</v>
      </c>
      <c r="H276" s="7" t="s">
        <v>673</v>
      </c>
      <c r="I276" s="2" t="s">
        <v>668</v>
      </c>
      <c r="J276" s="2" t="s">
        <v>674</v>
      </c>
      <c r="L276" s="1" t="s">
        <v>1165</v>
      </c>
      <c r="M276" s="2" t="s">
        <v>675</v>
      </c>
      <c r="P276" s="2" t="s">
        <v>676</v>
      </c>
      <c r="Q276" s="1" t="e">
        <f t="shared" si="14"/>
        <v>#REF!</v>
      </c>
    </row>
    <row r="277" spans="1:17" ht="12" customHeight="1" outlineLevel="5" x14ac:dyDescent="0.35">
      <c r="A277" s="2" t="str">
        <f t="shared" si="15"/>
        <v>CC415B</v>
      </c>
      <c r="B277" s="1">
        <v>5</v>
      </c>
      <c r="C277" s="1" t="s">
        <v>19</v>
      </c>
      <c r="D277" s="2" t="s">
        <v>30</v>
      </c>
      <c r="E277" s="13" t="s">
        <v>677</v>
      </c>
      <c r="F277" s="7" t="s">
        <v>152</v>
      </c>
      <c r="G277" s="2" t="s">
        <v>22</v>
      </c>
      <c r="H277" s="7" t="s">
        <v>763</v>
      </c>
      <c r="L277" s="1" t="s">
        <v>1166</v>
      </c>
      <c r="M277" s="2" t="s">
        <v>678</v>
      </c>
      <c r="P277" s="2" t="s">
        <v>154</v>
      </c>
      <c r="Q277" s="1" t="e">
        <f t="shared" si="14"/>
        <v>#REF!</v>
      </c>
    </row>
    <row r="278" spans="1:17" ht="12" customHeight="1" outlineLevel="5" x14ac:dyDescent="0.35">
      <c r="A278" s="3" t="str">
        <f t="shared" si="15"/>
        <v>CC415B</v>
      </c>
      <c r="B278" s="4">
        <v>5</v>
      </c>
      <c r="C278" s="3" t="s">
        <v>24</v>
      </c>
      <c r="D278" s="3" t="s">
        <v>193</v>
      </c>
      <c r="E278" s="17" t="s">
        <v>679</v>
      </c>
      <c r="F278" s="4"/>
      <c r="G278" s="3" t="s">
        <v>22</v>
      </c>
      <c r="H278" s="16" t="s">
        <v>765</v>
      </c>
      <c r="I278" s="4" t="s">
        <v>764</v>
      </c>
      <c r="J278" s="4"/>
      <c r="K278" s="4"/>
      <c r="L278" s="4" t="s">
        <v>1167</v>
      </c>
      <c r="M278" s="3" t="s">
        <v>681</v>
      </c>
      <c r="N278" s="4"/>
      <c r="O278" s="4"/>
      <c r="P278" s="3" t="s">
        <v>682</v>
      </c>
      <c r="Q278" s="1" t="e">
        <f t="shared" si="14"/>
        <v>#REF!</v>
      </c>
    </row>
    <row r="279" spans="1:17" ht="12" customHeight="1" outlineLevel="6" x14ac:dyDescent="0.35">
      <c r="A279" s="2" t="str">
        <f t="shared" si="15"/>
        <v>CC415B</v>
      </c>
      <c r="B279" s="1">
        <v>6</v>
      </c>
      <c r="C279" s="1" t="s">
        <v>19</v>
      </c>
      <c r="D279" s="2" t="s">
        <v>25</v>
      </c>
      <c r="E279" s="18" t="s">
        <v>56</v>
      </c>
      <c r="F279" s="7" t="s">
        <v>57</v>
      </c>
      <c r="G279" s="2" t="s">
        <v>27</v>
      </c>
      <c r="H279" s="7" t="s">
        <v>393</v>
      </c>
      <c r="M279" s="2" t="s">
        <v>58</v>
      </c>
      <c r="P279" s="2" t="s">
        <v>59</v>
      </c>
      <c r="Q279" s="1" t="e">
        <f t="shared" si="14"/>
        <v>#REF!</v>
      </c>
    </row>
    <row r="280" spans="1:17" ht="12" customHeight="1" outlineLevel="6" x14ac:dyDescent="0.35">
      <c r="A280" s="2" t="str">
        <f t="shared" si="15"/>
        <v>CC415B</v>
      </c>
      <c r="B280" s="1">
        <v>6</v>
      </c>
      <c r="C280" s="1" t="s">
        <v>19</v>
      </c>
      <c r="D280" s="2" t="s">
        <v>30</v>
      </c>
      <c r="E280" s="18" t="s">
        <v>683</v>
      </c>
      <c r="F280" s="7" t="s">
        <v>333</v>
      </c>
      <c r="G280" s="2" t="s">
        <v>22</v>
      </c>
      <c r="H280" s="7" t="s">
        <v>680</v>
      </c>
      <c r="J280" s="2" t="s">
        <v>684</v>
      </c>
      <c r="L280" s="1" t="s">
        <v>1168</v>
      </c>
      <c r="M280" s="2" t="s">
        <v>685</v>
      </c>
      <c r="P280" s="2" t="s">
        <v>686</v>
      </c>
      <c r="Q280" s="1" t="e">
        <f t="shared" si="14"/>
        <v>#REF!</v>
      </c>
    </row>
    <row r="281" spans="1:17" ht="12" customHeight="1" outlineLevel="6" x14ac:dyDescent="0.35">
      <c r="A281" s="2" t="str">
        <f t="shared" si="15"/>
        <v>CC415B</v>
      </c>
      <c r="B281" s="1">
        <v>6</v>
      </c>
      <c r="C281" s="1" t="s">
        <v>19</v>
      </c>
      <c r="D281" s="2" t="s">
        <v>30</v>
      </c>
      <c r="E281" s="18" t="s">
        <v>142</v>
      </c>
      <c r="F281" s="7" t="s">
        <v>50</v>
      </c>
      <c r="G281" s="2" t="s">
        <v>396</v>
      </c>
      <c r="H281" s="7" t="s">
        <v>748</v>
      </c>
      <c r="I281" s="2" t="s">
        <v>493</v>
      </c>
      <c r="J281" s="2" t="s">
        <v>416</v>
      </c>
      <c r="M281" s="2" t="s">
        <v>143</v>
      </c>
      <c r="P281" s="2" t="s">
        <v>52</v>
      </c>
      <c r="Q281" s="1" t="e">
        <f t="shared" si="14"/>
        <v>#REF!</v>
      </c>
    </row>
    <row r="282" spans="1:17" ht="12" customHeight="1" outlineLevel="6" x14ac:dyDescent="0.35">
      <c r="A282" s="2" t="str">
        <f t="shared" si="15"/>
        <v>CC415B</v>
      </c>
      <c r="B282" s="1">
        <v>6</v>
      </c>
      <c r="C282" s="1" t="s">
        <v>19</v>
      </c>
      <c r="D282" s="2" t="s">
        <v>30</v>
      </c>
      <c r="E282" s="18" t="s">
        <v>687</v>
      </c>
      <c r="F282" s="7" t="s">
        <v>152</v>
      </c>
      <c r="G282" s="2" t="s">
        <v>22</v>
      </c>
      <c r="H282" s="7" t="s">
        <v>419</v>
      </c>
      <c r="L282" s="1" t="s">
        <v>1169</v>
      </c>
      <c r="M282" s="2" t="s">
        <v>688</v>
      </c>
      <c r="P282" s="2" t="s">
        <v>154</v>
      </c>
      <c r="Q282" s="1" t="e">
        <f t="shared" si="14"/>
        <v>#REF!</v>
      </c>
    </row>
    <row r="283" spans="1:17" ht="12" customHeight="1" outlineLevel="6" x14ac:dyDescent="0.35">
      <c r="A283" s="2" t="str">
        <f t="shared" si="15"/>
        <v>CC415B</v>
      </c>
      <c r="B283" s="1">
        <v>6</v>
      </c>
      <c r="C283" s="1" t="s">
        <v>19</v>
      </c>
      <c r="D283" s="2" t="s">
        <v>30</v>
      </c>
      <c r="E283" s="18" t="s">
        <v>689</v>
      </c>
      <c r="F283" s="7" t="s">
        <v>44</v>
      </c>
      <c r="G283" s="2" t="s">
        <v>22</v>
      </c>
      <c r="H283" s="7" t="s">
        <v>690</v>
      </c>
      <c r="J283" s="2" t="s">
        <v>691</v>
      </c>
      <c r="L283" s="1" t="s">
        <v>1170</v>
      </c>
      <c r="M283" s="2" t="s">
        <v>692</v>
      </c>
      <c r="P283" s="2" t="s">
        <v>693</v>
      </c>
      <c r="Q283" s="1" t="e">
        <f t="shared" si="14"/>
        <v>#REF!</v>
      </c>
    </row>
    <row r="284" spans="1:17" ht="12" customHeight="1" outlineLevel="6" x14ac:dyDescent="0.35">
      <c r="A284" s="3" t="str">
        <f t="shared" si="15"/>
        <v>CC415B</v>
      </c>
      <c r="B284" s="4">
        <v>6</v>
      </c>
      <c r="C284" s="3" t="s">
        <v>24</v>
      </c>
      <c r="D284" s="3" t="s">
        <v>193</v>
      </c>
      <c r="E284" s="19" t="s">
        <v>694</v>
      </c>
      <c r="F284" s="4"/>
      <c r="G284" s="3" t="s">
        <v>22</v>
      </c>
      <c r="H284" s="16" t="s">
        <v>765</v>
      </c>
      <c r="I284" s="4" t="s">
        <v>764</v>
      </c>
      <c r="J284" s="4"/>
      <c r="K284" s="4"/>
      <c r="L284" s="4" t="s">
        <v>1171</v>
      </c>
      <c r="M284" s="3" t="s">
        <v>695</v>
      </c>
      <c r="N284" s="4"/>
      <c r="O284" s="4"/>
      <c r="P284" s="3" t="s">
        <v>696</v>
      </c>
      <c r="Q284" s="1" t="e">
        <f t="shared" si="14"/>
        <v>#REF!</v>
      </c>
    </row>
    <row r="285" spans="1:17" ht="12" customHeight="1" outlineLevel="7" x14ac:dyDescent="0.35">
      <c r="A285" s="2" t="str">
        <f t="shared" si="15"/>
        <v>CC415B</v>
      </c>
      <c r="B285" s="1">
        <v>7</v>
      </c>
      <c r="C285" s="1" t="s">
        <v>19</v>
      </c>
      <c r="D285" s="2" t="s">
        <v>25</v>
      </c>
      <c r="E285" s="20" t="s">
        <v>56</v>
      </c>
      <c r="F285" s="7" t="s">
        <v>57</v>
      </c>
      <c r="G285" s="2" t="s">
        <v>27</v>
      </c>
      <c r="H285" s="7" t="s">
        <v>393</v>
      </c>
      <c r="M285" s="2" t="s">
        <v>58</v>
      </c>
      <c r="P285" s="2" t="s">
        <v>59</v>
      </c>
      <c r="Q285" s="1" t="e">
        <f t="shared" si="14"/>
        <v>#REF!</v>
      </c>
    </row>
    <row r="286" spans="1:17" ht="12" customHeight="1" outlineLevel="7" x14ac:dyDescent="0.35">
      <c r="A286" s="2" t="str">
        <f t="shared" si="15"/>
        <v>CC415B</v>
      </c>
      <c r="B286" s="1">
        <v>7</v>
      </c>
      <c r="C286" s="1" t="s">
        <v>19</v>
      </c>
      <c r="D286" s="2" t="s">
        <v>30</v>
      </c>
      <c r="E286" s="20" t="s">
        <v>697</v>
      </c>
      <c r="F286" s="7" t="s">
        <v>698</v>
      </c>
      <c r="G286" s="2" t="s">
        <v>22</v>
      </c>
      <c r="H286" s="7" t="s">
        <v>680</v>
      </c>
      <c r="L286" s="1" t="s">
        <v>1172</v>
      </c>
      <c r="M286" s="2" t="s">
        <v>699</v>
      </c>
      <c r="P286" s="2" t="s">
        <v>700</v>
      </c>
      <c r="Q286" s="1" t="e">
        <f t="shared" ref="Q286:Q342" si="16">IF($B286=0,$M286,_xlfn.TEXTBEFORE(Q285,"/",$B286,,,Q285)&amp;"/"&amp;$M286)&amp;IF(_xlfn.TEXTAFTER($D286,"..",,,,1)&lt;&gt;"1","[0]","")</f>
        <v>#REF!</v>
      </c>
    </row>
    <row r="287" spans="1:17" ht="12" customHeight="1" outlineLevel="7" x14ac:dyDescent="0.35">
      <c r="A287" s="2" t="str">
        <f t="shared" si="15"/>
        <v>CC415B</v>
      </c>
      <c r="B287" s="1">
        <v>7</v>
      </c>
      <c r="C287" s="1" t="s">
        <v>19</v>
      </c>
      <c r="D287" s="2" t="s">
        <v>30</v>
      </c>
      <c r="E287" s="20" t="s">
        <v>353</v>
      </c>
      <c r="F287" s="7" t="s">
        <v>60</v>
      </c>
      <c r="G287" s="2" t="s">
        <v>396</v>
      </c>
      <c r="H287" s="7" t="s">
        <v>766</v>
      </c>
      <c r="I287" s="2" t="s">
        <v>701</v>
      </c>
      <c r="L287" s="1" t="s">
        <v>1173</v>
      </c>
      <c r="M287" s="2" t="s">
        <v>354</v>
      </c>
      <c r="P287" s="2" t="s">
        <v>355</v>
      </c>
      <c r="Q287" s="1" t="e">
        <f t="shared" si="16"/>
        <v>#REF!</v>
      </c>
    </row>
    <row r="288" spans="1:17" ht="12" customHeight="1" outlineLevel="7" x14ac:dyDescent="0.35">
      <c r="A288" s="2" t="str">
        <f t="shared" si="15"/>
        <v>CC415B</v>
      </c>
      <c r="B288" s="1">
        <v>7</v>
      </c>
      <c r="C288" s="1" t="s">
        <v>19</v>
      </c>
      <c r="D288" s="2" t="s">
        <v>30</v>
      </c>
      <c r="E288" s="20" t="s">
        <v>356</v>
      </c>
      <c r="F288" s="7" t="s">
        <v>50</v>
      </c>
      <c r="G288" s="2" t="s">
        <v>396</v>
      </c>
      <c r="H288" s="7" t="s">
        <v>748</v>
      </c>
      <c r="I288" s="2" t="s">
        <v>493</v>
      </c>
      <c r="J288" s="2" t="s">
        <v>416</v>
      </c>
      <c r="M288" s="2" t="s">
        <v>357</v>
      </c>
      <c r="P288" s="2" t="s">
        <v>52</v>
      </c>
      <c r="Q288" s="1" t="e">
        <f t="shared" si="16"/>
        <v>#REF!</v>
      </c>
    </row>
    <row r="289" spans="1:17" ht="12" customHeight="1" outlineLevel="7" x14ac:dyDescent="0.35">
      <c r="A289" s="2" t="str">
        <f t="shared" si="15"/>
        <v>CC415B</v>
      </c>
      <c r="B289" s="1">
        <v>7</v>
      </c>
      <c r="C289" s="1" t="s">
        <v>19</v>
      </c>
      <c r="D289" s="2" t="s">
        <v>30</v>
      </c>
      <c r="E289" s="20" t="s">
        <v>358</v>
      </c>
      <c r="F289" s="7" t="s">
        <v>311</v>
      </c>
      <c r="G289" s="2" t="s">
        <v>396</v>
      </c>
      <c r="H289" s="14"/>
      <c r="I289" s="2" t="s">
        <v>702</v>
      </c>
      <c r="L289" s="1" t="s">
        <v>1174</v>
      </c>
      <c r="M289" s="2" t="s">
        <v>359</v>
      </c>
      <c r="P289" s="2" t="s">
        <v>313</v>
      </c>
      <c r="Q289" s="1" t="e">
        <f t="shared" si="16"/>
        <v>#REF!</v>
      </c>
    </row>
    <row r="290" spans="1:17" ht="12" customHeight="1" outlineLevel="7" x14ac:dyDescent="0.35">
      <c r="A290" s="2" t="str">
        <f t="shared" si="15"/>
        <v>CC415B</v>
      </c>
      <c r="B290" s="1">
        <v>7</v>
      </c>
      <c r="C290" s="1" t="s">
        <v>19</v>
      </c>
      <c r="D290" s="2" t="s">
        <v>30</v>
      </c>
      <c r="E290" s="20" t="s">
        <v>524</v>
      </c>
      <c r="F290" s="7" t="s">
        <v>181</v>
      </c>
      <c r="G290" s="2" t="s">
        <v>396</v>
      </c>
      <c r="H290" s="14"/>
      <c r="I290" s="2" t="s">
        <v>703</v>
      </c>
      <c r="L290" s="1" t="s">
        <v>1175</v>
      </c>
      <c r="M290" s="2" t="s">
        <v>525</v>
      </c>
      <c r="P290" s="2" t="s">
        <v>183</v>
      </c>
      <c r="Q290" s="1" t="e">
        <f t="shared" si="16"/>
        <v>#REF!</v>
      </c>
    </row>
    <row r="291" spans="1:17" ht="12" customHeight="1" outlineLevel="7" x14ac:dyDescent="0.35">
      <c r="A291" s="2" t="str">
        <f t="shared" si="15"/>
        <v>CC415B</v>
      </c>
      <c r="B291" s="1">
        <v>7</v>
      </c>
      <c r="C291" s="1" t="s">
        <v>19</v>
      </c>
      <c r="D291" s="2" t="s">
        <v>30</v>
      </c>
      <c r="E291" s="20" t="s">
        <v>704</v>
      </c>
      <c r="F291" s="7" t="s">
        <v>181</v>
      </c>
      <c r="G291" s="2" t="s">
        <v>22</v>
      </c>
      <c r="H291" s="7" t="s">
        <v>705</v>
      </c>
      <c r="L291" s="1" t="s">
        <v>1176</v>
      </c>
      <c r="M291" s="2" t="s">
        <v>706</v>
      </c>
      <c r="P291" s="2" t="s">
        <v>183</v>
      </c>
      <c r="Q291" s="1" t="e">
        <f>IF($B291=0,$M291,_xlfn.TEXTBEFORE(#REF!,"/",$B291,,,#REF!)&amp;"/"&amp;$M291)&amp;IF(_xlfn.TEXTAFTER($D291,"..",,,,1)&lt;&gt;"1","[0]","")</f>
        <v>#REF!</v>
      </c>
    </row>
    <row r="292" spans="1:17" ht="12" customHeight="1" outlineLevel="3" x14ac:dyDescent="0.35">
      <c r="A292" s="3" t="str">
        <f t="shared" si="15"/>
        <v>CC415B</v>
      </c>
      <c r="B292" s="4">
        <v>3</v>
      </c>
      <c r="C292" s="3" t="s">
        <v>24</v>
      </c>
      <c r="D292" s="3" t="s">
        <v>134</v>
      </c>
      <c r="E292" s="10" t="s">
        <v>343</v>
      </c>
      <c r="F292" s="4"/>
      <c r="G292" s="3" t="s">
        <v>27</v>
      </c>
      <c r="H292" s="15"/>
      <c r="I292" s="4"/>
      <c r="J292" s="4"/>
      <c r="K292" s="4"/>
      <c r="L292" s="4" t="s">
        <v>1177</v>
      </c>
      <c r="M292" s="3" t="s">
        <v>343</v>
      </c>
      <c r="N292" s="4"/>
      <c r="O292" s="4"/>
      <c r="P292" s="3" t="s">
        <v>707</v>
      </c>
      <c r="Q292" s="1" t="e">
        <f t="shared" si="16"/>
        <v>#REF!</v>
      </c>
    </row>
    <row r="293" spans="1:17" ht="12" customHeight="1" outlineLevel="4" x14ac:dyDescent="0.35">
      <c r="A293" s="2" t="str">
        <f t="shared" si="15"/>
        <v>CC415B</v>
      </c>
      <c r="B293" s="1">
        <v>4</v>
      </c>
      <c r="C293" s="1" t="s">
        <v>19</v>
      </c>
      <c r="D293" s="2" t="s">
        <v>30</v>
      </c>
      <c r="E293" s="11" t="s">
        <v>56</v>
      </c>
      <c r="F293" s="7" t="s">
        <v>57</v>
      </c>
      <c r="G293" s="2" t="s">
        <v>22</v>
      </c>
      <c r="H293" s="7" t="s">
        <v>393</v>
      </c>
      <c r="M293" s="2" t="s">
        <v>58</v>
      </c>
      <c r="P293" s="2" t="s">
        <v>59</v>
      </c>
      <c r="Q293" s="1" t="e">
        <f t="shared" si="16"/>
        <v>#REF!</v>
      </c>
    </row>
    <row r="294" spans="1:17" ht="12" customHeight="1" outlineLevel="4" x14ac:dyDescent="0.35">
      <c r="A294" s="2" t="str">
        <f t="shared" si="15"/>
        <v>CC415B</v>
      </c>
      <c r="B294" s="1">
        <v>4</v>
      </c>
      <c r="C294" s="1" t="s">
        <v>19</v>
      </c>
      <c r="D294" s="2" t="s">
        <v>30</v>
      </c>
      <c r="E294" s="11" t="s">
        <v>345</v>
      </c>
      <c r="F294" s="7" t="s">
        <v>325</v>
      </c>
      <c r="G294" s="2" t="s">
        <v>22</v>
      </c>
      <c r="H294" s="14"/>
      <c r="J294" s="2" t="s">
        <v>708</v>
      </c>
      <c r="L294" s="1" t="s">
        <v>1178</v>
      </c>
      <c r="M294" s="2" t="s">
        <v>346</v>
      </c>
      <c r="P294" s="2" t="s">
        <v>347</v>
      </c>
      <c r="Q294" s="1" t="e">
        <f t="shared" si="16"/>
        <v>#REF!</v>
      </c>
    </row>
    <row r="295" spans="1:17" ht="12" customHeight="1" outlineLevel="4" x14ac:dyDescent="0.35">
      <c r="A295" s="2" t="str">
        <f t="shared" si="15"/>
        <v>CC415B</v>
      </c>
      <c r="B295" s="1">
        <v>4</v>
      </c>
      <c r="C295" s="1" t="s">
        <v>19</v>
      </c>
      <c r="D295" s="2" t="s">
        <v>30</v>
      </c>
      <c r="E295" s="11" t="s">
        <v>348</v>
      </c>
      <c r="F295" s="7" t="s">
        <v>349</v>
      </c>
      <c r="G295" s="2" t="s">
        <v>396</v>
      </c>
      <c r="H295" s="7" t="s">
        <v>767</v>
      </c>
      <c r="I295" s="2" t="s">
        <v>709</v>
      </c>
      <c r="L295" s="1" t="s">
        <v>1179</v>
      </c>
      <c r="M295" s="2" t="s">
        <v>350</v>
      </c>
      <c r="P295" s="2" t="s">
        <v>351</v>
      </c>
      <c r="Q295" s="1" t="e">
        <f t="shared" si="16"/>
        <v>#REF!</v>
      </c>
    </row>
    <row r="296" spans="1:17" ht="12" customHeight="1" outlineLevel="4" x14ac:dyDescent="0.35">
      <c r="A296" s="2" t="str">
        <f t="shared" si="15"/>
        <v>CC415B</v>
      </c>
      <c r="B296" s="1">
        <v>4</v>
      </c>
      <c r="C296" s="1" t="s">
        <v>19</v>
      </c>
      <c r="D296" s="2" t="s">
        <v>30</v>
      </c>
      <c r="E296" s="11" t="s">
        <v>710</v>
      </c>
      <c r="F296" s="7" t="s">
        <v>216</v>
      </c>
      <c r="G296" s="2" t="s">
        <v>396</v>
      </c>
      <c r="H296" s="7" t="s">
        <v>711</v>
      </c>
      <c r="I296" s="7" t="s">
        <v>768</v>
      </c>
      <c r="L296" s="1" t="s">
        <v>1180</v>
      </c>
      <c r="M296" s="2" t="s">
        <v>712</v>
      </c>
      <c r="P296" s="2" t="s">
        <v>218</v>
      </c>
      <c r="Q296" s="1" t="e">
        <f t="shared" si="16"/>
        <v>#REF!</v>
      </c>
    </row>
    <row r="297" spans="1:17" ht="12" customHeight="1" outlineLevel="3" x14ac:dyDescent="0.35">
      <c r="A297" s="3" t="str">
        <f t="shared" si="15"/>
        <v>CC415B</v>
      </c>
      <c r="B297" s="4">
        <v>3</v>
      </c>
      <c r="C297" s="3" t="s">
        <v>24</v>
      </c>
      <c r="D297" s="3" t="s">
        <v>193</v>
      </c>
      <c r="E297" s="10" t="s">
        <v>303</v>
      </c>
      <c r="F297" s="4"/>
      <c r="G297" s="3" t="s">
        <v>22</v>
      </c>
      <c r="H297" s="16" t="s">
        <v>769</v>
      </c>
      <c r="I297" s="4"/>
      <c r="J297" s="4"/>
      <c r="K297" s="4"/>
      <c r="L297" s="4" t="s">
        <v>1083</v>
      </c>
      <c r="M297" s="3" t="s">
        <v>304</v>
      </c>
      <c r="N297" s="4"/>
      <c r="O297" s="4"/>
      <c r="P297" s="3" t="s">
        <v>844</v>
      </c>
      <c r="Q297" s="1" t="e">
        <f t="shared" si="16"/>
        <v>#REF!</v>
      </c>
    </row>
    <row r="298" spans="1:17" ht="12" customHeight="1" outlineLevel="4" x14ac:dyDescent="0.35">
      <c r="A298" s="2" t="str">
        <f t="shared" si="15"/>
        <v>CC415B</v>
      </c>
      <c r="B298" s="1">
        <v>4</v>
      </c>
      <c r="C298" s="1" t="s">
        <v>19</v>
      </c>
      <c r="D298" s="2" t="s">
        <v>25</v>
      </c>
      <c r="E298" s="11" t="s">
        <v>56</v>
      </c>
      <c r="F298" s="7" t="s">
        <v>57</v>
      </c>
      <c r="G298" s="2" t="s">
        <v>27</v>
      </c>
      <c r="H298" s="7" t="s">
        <v>393</v>
      </c>
      <c r="M298" s="2" t="s">
        <v>58</v>
      </c>
      <c r="P298" s="2" t="s">
        <v>59</v>
      </c>
      <c r="Q298" s="1" t="e">
        <f t="shared" si="16"/>
        <v>#REF!</v>
      </c>
    </row>
    <row r="299" spans="1:17" ht="12" customHeight="1" outlineLevel="4" x14ac:dyDescent="0.35">
      <c r="A299" s="2" t="str">
        <f t="shared" si="15"/>
        <v>CC415B</v>
      </c>
      <c r="B299" s="1">
        <v>4</v>
      </c>
      <c r="C299" s="1" t="s">
        <v>19</v>
      </c>
      <c r="D299" s="2" t="s">
        <v>25</v>
      </c>
      <c r="E299" s="11" t="s">
        <v>2</v>
      </c>
      <c r="F299" s="7" t="s">
        <v>306</v>
      </c>
      <c r="G299" s="2" t="s">
        <v>27</v>
      </c>
      <c r="H299" s="7" t="s">
        <v>747</v>
      </c>
      <c r="J299" s="2" t="s">
        <v>491</v>
      </c>
      <c r="L299" s="1" t="s">
        <v>1084</v>
      </c>
      <c r="M299" s="2" t="s">
        <v>61</v>
      </c>
      <c r="P299" s="2" t="s">
        <v>307</v>
      </c>
      <c r="Q299" s="1" t="e">
        <f t="shared" si="16"/>
        <v>#REF!</v>
      </c>
    </row>
    <row r="300" spans="1:17" ht="12" customHeight="1" outlineLevel="4" x14ac:dyDescent="0.35">
      <c r="A300" s="2" t="str">
        <f t="shared" si="15"/>
        <v>CC415B</v>
      </c>
      <c r="B300" s="1">
        <v>4</v>
      </c>
      <c r="C300" s="1" t="s">
        <v>19</v>
      </c>
      <c r="D300" s="2" t="s">
        <v>30</v>
      </c>
      <c r="E300" s="11" t="s">
        <v>142</v>
      </c>
      <c r="F300" s="7" t="s">
        <v>50</v>
      </c>
      <c r="G300" s="2" t="s">
        <v>396</v>
      </c>
      <c r="H300" s="7" t="s">
        <v>748</v>
      </c>
      <c r="I300" s="2" t="s">
        <v>493</v>
      </c>
      <c r="J300" s="2" t="s">
        <v>416</v>
      </c>
      <c r="M300" s="2" t="s">
        <v>143</v>
      </c>
      <c r="P300" s="2" t="s">
        <v>52</v>
      </c>
      <c r="Q300" s="1" t="e">
        <f t="shared" si="16"/>
        <v>#REF!</v>
      </c>
    </row>
    <row r="301" spans="1:17" ht="12" customHeight="1" outlineLevel="4" x14ac:dyDescent="0.35">
      <c r="A301" s="2" t="str">
        <f t="shared" ref="A301:A358" si="17">$E$2</f>
        <v>CC415B</v>
      </c>
      <c r="B301" s="1">
        <v>4</v>
      </c>
      <c r="C301" s="1" t="s">
        <v>19</v>
      </c>
      <c r="D301" s="2" t="s">
        <v>25</v>
      </c>
      <c r="E301" s="11" t="s">
        <v>63</v>
      </c>
      <c r="F301" s="7" t="s">
        <v>83</v>
      </c>
      <c r="G301" s="2" t="s">
        <v>27</v>
      </c>
      <c r="H301" s="7" t="s">
        <v>494</v>
      </c>
      <c r="L301" s="1" t="s">
        <v>1085</v>
      </c>
      <c r="M301" s="2" t="s">
        <v>65</v>
      </c>
      <c r="P301" s="2" t="s">
        <v>308</v>
      </c>
      <c r="Q301" s="1" t="e">
        <f t="shared" si="16"/>
        <v>#REF!</v>
      </c>
    </row>
    <row r="302" spans="1:17" ht="12" customHeight="1" outlineLevel="4" x14ac:dyDescent="0.35">
      <c r="A302" s="2" t="str">
        <f t="shared" si="17"/>
        <v>CC415B</v>
      </c>
      <c r="B302" s="1">
        <v>4</v>
      </c>
      <c r="C302" s="1" t="s">
        <v>19</v>
      </c>
      <c r="D302" s="2" t="s">
        <v>30</v>
      </c>
      <c r="E302" s="11" t="s">
        <v>345</v>
      </c>
      <c r="F302" s="7" t="s">
        <v>325</v>
      </c>
      <c r="G302" s="2" t="s">
        <v>22</v>
      </c>
      <c r="H302" s="7" t="s">
        <v>714</v>
      </c>
      <c r="J302" s="2" t="s">
        <v>708</v>
      </c>
      <c r="L302" s="1" t="s">
        <v>1181</v>
      </c>
      <c r="M302" s="2" t="s">
        <v>346</v>
      </c>
      <c r="P302" s="2" t="s">
        <v>347</v>
      </c>
      <c r="Q302" s="1" t="e">
        <f t="shared" si="16"/>
        <v>#REF!</v>
      </c>
    </row>
    <row r="303" spans="1:17" ht="12" customHeight="1" outlineLevel="4" x14ac:dyDescent="0.35">
      <c r="A303" s="2" t="str">
        <f t="shared" si="17"/>
        <v>CC415B</v>
      </c>
      <c r="B303" s="1">
        <v>4</v>
      </c>
      <c r="C303" s="1" t="s">
        <v>19</v>
      </c>
      <c r="D303" s="2" t="s">
        <v>30</v>
      </c>
      <c r="E303" s="11" t="s">
        <v>348</v>
      </c>
      <c r="F303" s="7" t="s">
        <v>349</v>
      </c>
      <c r="G303" s="2" t="s">
        <v>22</v>
      </c>
      <c r="H303" s="7" t="s">
        <v>770</v>
      </c>
      <c r="L303" s="1" t="s">
        <v>1182</v>
      </c>
      <c r="M303" s="2" t="s">
        <v>350</v>
      </c>
      <c r="P303" s="2" t="s">
        <v>351</v>
      </c>
      <c r="Q303" s="1" t="e">
        <f t="shared" si="16"/>
        <v>#REF!</v>
      </c>
    </row>
    <row r="304" spans="1:17" ht="12" customHeight="1" outlineLevel="4" x14ac:dyDescent="0.35">
      <c r="A304" s="2" t="str">
        <f t="shared" si="17"/>
        <v>CC415B</v>
      </c>
      <c r="B304" s="1">
        <v>4</v>
      </c>
      <c r="C304" s="1" t="s">
        <v>19</v>
      </c>
      <c r="D304" s="2" t="s">
        <v>30</v>
      </c>
      <c r="E304" s="11" t="s">
        <v>353</v>
      </c>
      <c r="F304" s="7" t="s">
        <v>60</v>
      </c>
      <c r="G304" s="2" t="s">
        <v>396</v>
      </c>
      <c r="H304" s="7" t="s">
        <v>714</v>
      </c>
      <c r="I304" s="2" t="s">
        <v>701</v>
      </c>
      <c r="J304" s="2" t="s">
        <v>715</v>
      </c>
      <c r="L304" s="1" t="s">
        <v>1183</v>
      </c>
      <c r="M304" s="2" t="s">
        <v>354</v>
      </c>
      <c r="P304" s="2" t="s">
        <v>355</v>
      </c>
      <c r="Q304" s="1" t="e">
        <f t="shared" si="16"/>
        <v>#REF!</v>
      </c>
    </row>
    <row r="305" spans="1:17" ht="12" customHeight="1" outlineLevel="4" x14ac:dyDescent="0.35">
      <c r="A305" s="2" t="str">
        <f t="shared" si="17"/>
        <v>CC415B</v>
      </c>
      <c r="B305" s="1">
        <v>4</v>
      </c>
      <c r="C305" s="1" t="s">
        <v>19</v>
      </c>
      <c r="D305" s="2" t="s">
        <v>30</v>
      </c>
      <c r="E305" s="11" t="s">
        <v>356</v>
      </c>
      <c r="F305" s="7" t="s">
        <v>50</v>
      </c>
      <c r="G305" s="2" t="s">
        <v>396</v>
      </c>
      <c r="H305" s="7" t="s">
        <v>748</v>
      </c>
      <c r="I305" s="2" t="s">
        <v>493</v>
      </c>
      <c r="J305" s="2" t="s">
        <v>416</v>
      </c>
      <c r="M305" s="2" t="s">
        <v>357</v>
      </c>
      <c r="P305" s="2" t="s">
        <v>52</v>
      </c>
      <c r="Q305" s="1" t="e">
        <f t="shared" si="16"/>
        <v>#REF!</v>
      </c>
    </row>
    <row r="306" spans="1:17" ht="12" customHeight="1" outlineLevel="4" x14ac:dyDescent="0.35">
      <c r="A306" s="2" t="str">
        <f t="shared" si="17"/>
        <v>CC415B</v>
      </c>
      <c r="B306" s="1">
        <v>4</v>
      </c>
      <c r="C306" s="1" t="s">
        <v>19</v>
      </c>
      <c r="D306" s="2" t="s">
        <v>30</v>
      </c>
      <c r="E306" s="11" t="s">
        <v>358</v>
      </c>
      <c r="F306" s="7" t="s">
        <v>311</v>
      </c>
      <c r="G306" s="2" t="s">
        <v>22</v>
      </c>
      <c r="H306" s="7" t="s">
        <v>714</v>
      </c>
      <c r="L306" s="1" t="s">
        <v>1184</v>
      </c>
      <c r="M306" s="2" t="s">
        <v>359</v>
      </c>
      <c r="P306" s="2" t="s">
        <v>313</v>
      </c>
      <c r="Q306" s="1" t="e">
        <f t="shared" si="16"/>
        <v>#REF!</v>
      </c>
    </row>
    <row r="307" spans="1:17" ht="12" customHeight="1" outlineLevel="4" x14ac:dyDescent="0.35">
      <c r="A307" s="2" t="str">
        <f t="shared" si="17"/>
        <v>CC415B</v>
      </c>
      <c r="B307" s="1">
        <v>4</v>
      </c>
      <c r="C307" s="1" t="s">
        <v>19</v>
      </c>
      <c r="D307" s="2" t="s">
        <v>30</v>
      </c>
      <c r="E307" s="11" t="s">
        <v>360</v>
      </c>
      <c r="F307" s="7" t="s">
        <v>57</v>
      </c>
      <c r="G307" s="2" t="s">
        <v>22</v>
      </c>
      <c r="H307" s="7" t="s">
        <v>716</v>
      </c>
      <c r="L307" s="1" t="s">
        <v>1185</v>
      </c>
      <c r="M307" s="2" t="s">
        <v>361</v>
      </c>
      <c r="P307" s="2" t="s">
        <v>255</v>
      </c>
      <c r="Q307" s="1" t="e">
        <f t="shared" si="16"/>
        <v>#REF!</v>
      </c>
    </row>
    <row r="308" spans="1:17" ht="12" customHeight="1" outlineLevel="3" x14ac:dyDescent="0.35">
      <c r="A308" s="3" t="str">
        <f t="shared" si="17"/>
        <v>CC415B</v>
      </c>
      <c r="B308" s="4">
        <v>3</v>
      </c>
      <c r="C308" s="3" t="s">
        <v>24</v>
      </c>
      <c r="D308" s="3" t="s">
        <v>193</v>
      </c>
      <c r="E308" s="10" t="s">
        <v>495</v>
      </c>
      <c r="F308" s="4"/>
      <c r="G308" s="3" t="s">
        <v>22</v>
      </c>
      <c r="H308" s="16" t="s">
        <v>489</v>
      </c>
      <c r="I308" s="4"/>
      <c r="J308" s="4"/>
      <c r="K308" s="4"/>
      <c r="L308" s="4" t="s">
        <v>1086</v>
      </c>
      <c r="M308" s="3" t="s">
        <v>496</v>
      </c>
      <c r="N308" s="4"/>
      <c r="O308" s="4"/>
      <c r="P308" s="3" t="s">
        <v>717</v>
      </c>
      <c r="Q308" s="1" t="e">
        <f t="shared" si="16"/>
        <v>#REF!</v>
      </c>
    </row>
    <row r="309" spans="1:17" ht="12" customHeight="1" outlineLevel="4" x14ac:dyDescent="0.35">
      <c r="A309" s="2" t="str">
        <f t="shared" si="17"/>
        <v>CC415B</v>
      </c>
      <c r="B309" s="1">
        <v>4</v>
      </c>
      <c r="C309" s="1" t="s">
        <v>19</v>
      </c>
      <c r="D309" s="2" t="s">
        <v>25</v>
      </c>
      <c r="E309" s="11" t="s">
        <v>56</v>
      </c>
      <c r="F309" s="7" t="s">
        <v>57</v>
      </c>
      <c r="G309" s="2" t="s">
        <v>27</v>
      </c>
      <c r="H309" s="7" t="s">
        <v>393</v>
      </c>
      <c r="M309" s="2" t="s">
        <v>58</v>
      </c>
      <c r="P309" s="2" t="s">
        <v>59</v>
      </c>
      <c r="Q309" s="1" t="e">
        <f t="shared" si="16"/>
        <v>#REF!</v>
      </c>
    </row>
    <row r="310" spans="1:17" ht="12" customHeight="1" outlineLevel="4" x14ac:dyDescent="0.35">
      <c r="A310" s="2" t="str">
        <f t="shared" si="17"/>
        <v>CC415B</v>
      </c>
      <c r="B310" s="1">
        <v>4</v>
      </c>
      <c r="C310" s="1" t="s">
        <v>19</v>
      </c>
      <c r="D310" s="2" t="s">
        <v>25</v>
      </c>
      <c r="E310" s="11" t="s">
        <v>2</v>
      </c>
      <c r="F310" s="7" t="s">
        <v>306</v>
      </c>
      <c r="G310" s="2" t="s">
        <v>27</v>
      </c>
      <c r="H310" s="7" t="s">
        <v>477</v>
      </c>
      <c r="J310" s="2" t="s">
        <v>498</v>
      </c>
      <c r="L310" s="1" t="s">
        <v>1087</v>
      </c>
      <c r="M310" s="2" t="s">
        <v>61</v>
      </c>
      <c r="P310" s="2" t="s">
        <v>307</v>
      </c>
      <c r="Q310" s="1" t="e">
        <f t="shared" si="16"/>
        <v>#REF!</v>
      </c>
    </row>
    <row r="311" spans="1:17" ht="12" customHeight="1" outlineLevel="4" x14ac:dyDescent="0.35">
      <c r="A311" s="2" t="str">
        <f t="shared" si="17"/>
        <v>CC415B</v>
      </c>
      <c r="B311" s="1">
        <v>4</v>
      </c>
      <c r="C311" s="1" t="s">
        <v>19</v>
      </c>
      <c r="D311" s="2" t="s">
        <v>30</v>
      </c>
      <c r="E311" s="11" t="s">
        <v>142</v>
      </c>
      <c r="F311" s="7" t="s">
        <v>50</v>
      </c>
      <c r="G311" s="2" t="s">
        <v>396</v>
      </c>
      <c r="H311" s="7" t="s">
        <v>748</v>
      </c>
      <c r="I311" s="2" t="s">
        <v>493</v>
      </c>
      <c r="J311" s="2" t="s">
        <v>416</v>
      </c>
      <c r="M311" s="2" t="s">
        <v>143</v>
      </c>
      <c r="P311" s="2" t="s">
        <v>52</v>
      </c>
      <c r="Q311" s="1" t="e">
        <f t="shared" si="16"/>
        <v>#REF!</v>
      </c>
    </row>
    <row r="312" spans="1:17" ht="12" customHeight="1" outlineLevel="4" x14ac:dyDescent="0.35">
      <c r="A312" s="2" t="str">
        <f t="shared" si="17"/>
        <v>CC415B</v>
      </c>
      <c r="B312" s="1">
        <v>4</v>
      </c>
      <c r="C312" s="1" t="s">
        <v>19</v>
      </c>
      <c r="D312" s="2" t="s">
        <v>30</v>
      </c>
      <c r="E312" s="11" t="s">
        <v>63</v>
      </c>
      <c r="F312" s="7" t="s">
        <v>83</v>
      </c>
      <c r="G312" s="2" t="s">
        <v>22</v>
      </c>
      <c r="H312" s="7" t="s">
        <v>494</v>
      </c>
      <c r="L312" s="1" t="s">
        <v>1088</v>
      </c>
      <c r="M312" s="2" t="s">
        <v>65</v>
      </c>
      <c r="P312" s="2" t="s">
        <v>308</v>
      </c>
      <c r="Q312" s="1" t="e">
        <f t="shared" si="16"/>
        <v>#REF!</v>
      </c>
    </row>
    <row r="313" spans="1:17" ht="12" customHeight="1" outlineLevel="4" x14ac:dyDescent="0.35">
      <c r="A313" s="2" t="str">
        <f t="shared" si="17"/>
        <v>CC415B</v>
      </c>
      <c r="B313" s="1">
        <v>4</v>
      </c>
      <c r="C313" s="1" t="s">
        <v>19</v>
      </c>
      <c r="D313" s="2" t="s">
        <v>30</v>
      </c>
      <c r="E313" s="11" t="s">
        <v>499</v>
      </c>
      <c r="F313" s="7" t="s">
        <v>57</v>
      </c>
      <c r="G313" s="2" t="s">
        <v>22</v>
      </c>
      <c r="H313" s="7" t="s">
        <v>718</v>
      </c>
      <c r="L313" s="1" t="s">
        <v>1089</v>
      </c>
      <c r="M313" s="2" t="s">
        <v>500</v>
      </c>
      <c r="P313" s="2" t="s">
        <v>255</v>
      </c>
      <c r="Q313" s="1" t="e">
        <f t="shared" si="16"/>
        <v>#REF!</v>
      </c>
    </row>
    <row r="314" spans="1:17" ht="12" customHeight="1" outlineLevel="4" x14ac:dyDescent="0.35">
      <c r="A314" s="2" t="str">
        <f t="shared" si="17"/>
        <v>CC415B</v>
      </c>
      <c r="B314" s="1">
        <v>4</v>
      </c>
      <c r="C314" s="1" t="s">
        <v>19</v>
      </c>
      <c r="D314" s="2" t="s">
        <v>30</v>
      </c>
      <c r="E314" s="11" t="s">
        <v>501</v>
      </c>
      <c r="F314" s="7" t="s">
        <v>83</v>
      </c>
      <c r="G314" s="2" t="s">
        <v>22</v>
      </c>
      <c r="H314" s="7" t="s">
        <v>718</v>
      </c>
      <c r="L314" s="1" t="s">
        <v>1090</v>
      </c>
      <c r="M314" s="2" t="s">
        <v>502</v>
      </c>
      <c r="P314" s="2" t="s">
        <v>503</v>
      </c>
      <c r="Q314" s="1" t="e">
        <f t="shared" si="16"/>
        <v>#REF!</v>
      </c>
    </row>
    <row r="315" spans="1:17" ht="12" customHeight="1" outlineLevel="4" x14ac:dyDescent="0.35">
      <c r="A315" s="2" t="str">
        <f t="shared" si="17"/>
        <v>CC415B</v>
      </c>
      <c r="B315" s="1">
        <v>4</v>
      </c>
      <c r="C315" s="1" t="s">
        <v>19</v>
      </c>
      <c r="D315" s="2" t="s">
        <v>30</v>
      </c>
      <c r="E315" s="11" t="s">
        <v>504</v>
      </c>
      <c r="F315" s="2" t="s">
        <v>505</v>
      </c>
      <c r="G315" s="2" t="s">
        <v>22</v>
      </c>
      <c r="H315" s="7" t="s">
        <v>718</v>
      </c>
      <c r="L315" s="1" t="s">
        <v>1091</v>
      </c>
      <c r="M315" s="2" t="s">
        <v>506</v>
      </c>
      <c r="P315" s="2" t="s">
        <v>507</v>
      </c>
      <c r="Q315" s="1" t="e">
        <f t="shared" si="16"/>
        <v>#REF!</v>
      </c>
    </row>
    <row r="316" spans="1:17" ht="12" customHeight="1" outlineLevel="4" x14ac:dyDescent="0.35">
      <c r="A316" s="2" t="str">
        <f t="shared" si="17"/>
        <v>CC415B</v>
      </c>
      <c r="B316" s="1">
        <v>4</v>
      </c>
      <c r="C316" s="1" t="s">
        <v>19</v>
      </c>
      <c r="D316" s="2" t="s">
        <v>30</v>
      </c>
      <c r="E316" s="11" t="s">
        <v>353</v>
      </c>
      <c r="F316" s="7" t="s">
        <v>60</v>
      </c>
      <c r="G316" s="2" t="s">
        <v>396</v>
      </c>
      <c r="H316" s="7" t="s">
        <v>719</v>
      </c>
      <c r="I316" s="2" t="s">
        <v>701</v>
      </c>
      <c r="J316" s="2" t="s">
        <v>715</v>
      </c>
      <c r="L316" s="1" t="s">
        <v>1186</v>
      </c>
      <c r="M316" s="2" t="s">
        <v>354</v>
      </c>
      <c r="P316" s="2" t="s">
        <v>355</v>
      </c>
      <c r="Q316" s="1" t="e">
        <f t="shared" si="16"/>
        <v>#REF!</v>
      </c>
    </row>
    <row r="317" spans="1:17" ht="12" customHeight="1" outlineLevel="4" x14ac:dyDescent="0.35">
      <c r="A317" s="2" t="str">
        <f t="shared" si="17"/>
        <v>CC415B</v>
      </c>
      <c r="B317" s="1">
        <v>4</v>
      </c>
      <c r="C317" s="1" t="s">
        <v>19</v>
      </c>
      <c r="D317" s="2" t="s">
        <v>30</v>
      </c>
      <c r="E317" s="11" t="s">
        <v>356</v>
      </c>
      <c r="F317" s="7" t="s">
        <v>50</v>
      </c>
      <c r="G317" s="2" t="s">
        <v>396</v>
      </c>
      <c r="H317" s="7" t="s">
        <v>748</v>
      </c>
      <c r="I317" s="2" t="s">
        <v>493</v>
      </c>
      <c r="J317" s="2" t="s">
        <v>416</v>
      </c>
      <c r="M317" s="2" t="s">
        <v>357</v>
      </c>
      <c r="P317" s="2" t="s">
        <v>52</v>
      </c>
      <c r="Q317" s="1" t="e">
        <f t="shared" si="16"/>
        <v>#REF!</v>
      </c>
    </row>
    <row r="318" spans="1:17" ht="12" customHeight="1" outlineLevel="4" x14ac:dyDescent="0.35">
      <c r="A318" s="2" t="str">
        <f t="shared" si="17"/>
        <v>CC415B</v>
      </c>
      <c r="B318" s="1">
        <v>4</v>
      </c>
      <c r="C318" s="1" t="s">
        <v>19</v>
      </c>
      <c r="D318" s="2" t="s">
        <v>30</v>
      </c>
      <c r="E318" s="11" t="s">
        <v>358</v>
      </c>
      <c r="F318" s="7" t="s">
        <v>311</v>
      </c>
      <c r="G318" s="2" t="s">
        <v>22</v>
      </c>
      <c r="H318" s="7" t="s">
        <v>719</v>
      </c>
      <c r="L318" s="1" t="s">
        <v>1187</v>
      </c>
      <c r="M318" s="2" t="s">
        <v>359</v>
      </c>
      <c r="P318" s="2" t="s">
        <v>313</v>
      </c>
      <c r="Q318" s="1" t="e">
        <f t="shared" si="16"/>
        <v>#REF!</v>
      </c>
    </row>
    <row r="319" spans="1:17" ht="12" customHeight="1" outlineLevel="4" x14ac:dyDescent="0.35">
      <c r="A319" s="2" t="str">
        <f t="shared" si="17"/>
        <v>CC415B</v>
      </c>
      <c r="B319" s="1">
        <v>4</v>
      </c>
      <c r="C319" s="1" t="s">
        <v>19</v>
      </c>
      <c r="D319" s="2" t="s">
        <v>30</v>
      </c>
      <c r="E319" s="11" t="s">
        <v>521</v>
      </c>
      <c r="F319" s="7" t="s">
        <v>148</v>
      </c>
      <c r="G319" s="2" t="s">
        <v>22</v>
      </c>
      <c r="H319" s="7" t="s">
        <v>719</v>
      </c>
      <c r="J319" s="2" t="s">
        <v>429</v>
      </c>
      <c r="L319" s="1" t="s">
        <v>1188</v>
      </c>
      <c r="M319" s="2" t="s">
        <v>522</v>
      </c>
      <c r="P319" s="2" t="s">
        <v>150</v>
      </c>
      <c r="Q319" s="1" t="e">
        <f t="shared" si="16"/>
        <v>#REF!</v>
      </c>
    </row>
    <row r="320" spans="1:17" ht="12" customHeight="1" outlineLevel="4" x14ac:dyDescent="0.35">
      <c r="A320" s="2" t="str">
        <f t="shared" si="17"/>
        <v>CC415B</v>
      </c>
      <c r="B320" s="1">
        <v>4</v>
      </c>
      <c r="C320" s="1" t="s">
        <v>19</v>
      </c>
      <c r="D320" s="2" t="s">
        <v>30</v>
      </c>
      <c r="E320" s="11" t="s">
        <v>524</v>
      </c>
      <c r="F320" s="7" t="s">
        <v>181</v>
      </c>
      <c r="G320" s="2" t="s">
        <v>22</v>
      </c>
      <c r="H320" s="7" t="s">
        <v>719</v>
      </c>
      <c r="L320" s="1" t="s">
        <v>1189</v>
      </c>
      <c r="M320" s="2" t="s">
        <v>525</v>
      </c>
      <c r="P320" s="2" t="s">
        <v>183</v>
      </c>
      <c r="Q320" s="1" t="e">
        <f t="shared" si="16"/>
        <v>#REF!</v>
      </c>
    </row>
    <row r="321" spans="1:17" ht="12" customHeight="1" outlineLevel="3" x14ac:dyDescent="0.35">
      <c r="A321" s="3" t="str">
        <f t="shared" si="17"/>
        <v>CC415B</v>
      </c>
      <c r="B321" s="4">
        <v>3</v>
      </c>
      <c r="C321" s="3" t="s">
        <v>24</v>
      </c>
      <c r="D321" s="3" t="s">
        <v>193</v>
      </c>
      <c r="E321" s="10" t="s">
        <v>583</v>
      </c>
      <c r="F321" s="4"/>
      <c r="G321" s="3" t="s">
        <v>22</v>
      </c>
      <c r="H321" s="16" t="s">
        <v>489</v>
      </c>
      <c r="I321" s="4"/>
      <c r="J321" s="4"/>
      <c r="K321" s="4"/>
      <c r="L321" s="4" t="s">
        <v>1138</v>
      </c>
      <c r="M321" s="3" t="s">
        <v>584</v>
      </c>
      <c r="N321" s="4"/>
      <c r="O321" s="4"/>
      <c r="P321" s="3" t="s">
        <v>585</v>
      </c>
      <c r="Q321" s="1" t="e">
        <f t="shared" si="16"/>
        <v>#REF!</v>
      </c>
    </row>
    <row r="322" spans="1:17" ht="12" customHeight="1" outlineLevel="4" x14ac:dyDescent="0.35">
      <c r="A322" s="2" t="str">
        <f t="shared" si="17"/>
        <v>CC415B</v>
      </c>
      <c r="B322" s="1">
        <v>4</v>
      </c>
      <c r="C322" s="1" t="s">
        <v>19</v>
      </c>
      <c r="D322" s="2" t="s">
        <v>25</v>
      </c>
      <c r="E322" s="11" t="s">
        <v>56</v>
      </c>
      <c r="F322" s="7" t="s">
        <v>57</v>
      </c>
      <c r="G322" s="2" t="s">
        <v>27</v>
      </c>
      <c r="H322" s="7" t="s">
        <v>393</v>
      </c>
      <c r="M322" s="2" t="s">
        <v>58</v>
      </c>
      <c r="P322" s="2" t="s">
        <v>59</v>
      </c>
      <c r="Q322" s="1" t="e">
        <f t="shared" si="16"/>
        <v>#REF!</v>
      </c>
    </row>
    <row r="323" spans="1:17" ht="12" customHeight="1" outlineLevel="4" x14ac:dyDescent="0.35">
      <c r="A323" s="2" t="str">
        <f t="shared" si="17"/>
        <v>CC415B</v>
      </c>
      <c r="B323" s="1">
        <v>4</v>
      </c>
      <c r="C323" s="1" t="s">
        <v>19</v>
      </c>
      <c r="D323" s="2" t="s">
        <v>25</v>
      </c>
      <c r="E323" s="11" t="s">
        <v>2</v>
      </c>
      <c r="F323" s="7" t="s">
        <v>306</v>
      </c>
      <c r="G323" s="2" t="s">
        <v>27</v>
      </c>
      <c r="H323" s="14"/>
      <c r="J323" s="2" t="s">
        <v>586</v>
      </c>
      <c r="L323" s="1" t="s">
        <v>1139</v>
      </c>
      <c r="M323" s="2" t="s">
        <v>61</v>
      </c>
      <c r="P323" s="2" t="s">
        <v>307</v>
      </c>
      <c r="Q323" s="1" t="e">
        <f t="shared" si="16"/>
        <v>#REF!</v>
      </c>
    </row>
    <row r="324" spans="1:17" ht="12" customHeight="1" outlineLevel="4" x14ac:dyDescent="0.35">
      <c r="A324" s="2" t="str">
        <f t="shared" si="17"/>
        <v>CC415B</v>
      </c>
      <c r="B324" s="1">
        <v>4</v>
      </c>
      <c r="C324" s="1" t="s">
        <v>19</v>
      </c>
      <c r="D324" s="2" t="s">
        <v>25</v>
      </c>
      <c r="E324" s="11" t="s">
        <v>63</v>
      </c>
      <c r="F324" s="7" t="s">
        <v>83</v>
      </c>
      <c r="G324" s="2" t="s">
        <v>27</v>
      </c>
      <c r="H324" s="7" t="s">
        <v>494</v>
      </c>
      <c r="L324" s="1" t="s">
        <v>1140</v>
      </c>
      <c r="M324" s="2" t="s">
        <v>65</v>
      </c>
      <c r="P324" s="2" t="s">
        <v>308</v>
      </c>
      <c r="Q324" s="1" t="e">
        <f t="shared" si="16"/>
        <v>#REF!</v>
      </c>
    </row>
    <row r="325" spans="1:17" ht="12" customHeight="1" outlineLevel="3" x14ac:dyDescent="0.35">
      <c r="A325" s="3" t="str">
        <f t="shared" si="17"/>
        <v>CC415B</v>
      </c>
      <c r="B325" s="4">
        <v>3</v>
      </c>
      <c r="C325" s="3" t="s">
        <v>24</v>
      </c>
      <c r="D325" s="3" t="s">
        <v>193</v>
      </c>
      <c r="E325" s="10" t="s">
        <v>508</v>
      </c>
      <c r="F325" s="4"/>
      <c r="G325" s="3" t="s">
        <v>22</v>
      </c>
      <c r="H325" s="16" t="s">
        <v>749</v>
      </c>
      <c r="I325" s="4"/>
      <c r="J325" s="4"/>
      <c r="K325" s="4"/>
      <c r="L325" s="4" t="s">
        <v>1092</v>
      </c>
      <c r="M325" s="3" t="s">
        <v>509</v>
      </c>
      <c r="N325" s="4"/>
      <c r="O325" s="4"/>
      <c r="P325" s="3" t="s">
        <v>510</v>
      </c>
      <c r="Q325" s="1" t="e">
        <f t="shared" si="16"/>
        <v>#REF!</v>
      </c>
    </row>
    <row r="326" spans="1:17" ht="12" customHeight="1" outlineLevel="4" x14ac:dyDescent="0.35">
      <c r="A326" s="2" t="str">
        <f t="shared" si="17"/>
        <v>CC415B</v>
      </c>
      <c r="B326" s="1">
        <v>4</v>
      </c>
      <c r="C326" s="1" t="s">
        <v>19</v>
      </c>
      <c r="D326" s="2" t="s">
        <v>25</v>
      </c>
      <c r="E326" s="11" t="s">
        <v>56</v>
      </c>
      <c r="F326" s="7" t="s">
        <v>57</v>
      </c>
      <c r="G326" s="2" t="s">
        <v>27</v>
      </c>
      <c r="H326" s="7" t="s">
        <v>393</v>
      </c>
      <c r="M326" s="2" t="s">
        <v>58</v>
      </c>
      <c r="P326" s="2" t="s">
        <v>59</v>
      </c>
      <c r="Q326" s="1" t="e">
        <f t="shared" si="16"/>
        <v>#REF!</v>
      </c>
    </row>
    <row r="327" spans="1:17" ht="12" customHeight="1" outlineLevel="4" x14ac:dyDescent="0.35">
      <c r="A327" s="2" t="str">
        <f t="shared" si="17"/>
        <v>CC415B</v>
      </c>
      <c r="B327" s="1">
        <v>4</v>
      </c>
      <c r="C327" s="1" t="s">
        <v>19</v>
      </c>
      <c r="D327" s="2" t="s">
        <v>25</v>
      </c>
      <c r="E327" s="11" t="s">
        <v>2</v>
      </c>
      <c r="F327" s="7" t="s">
        <v>306</v>
      </c>
      <c r="G327" s="2" t="s">
        <v>27</v>
      </c>
      <c r="H327" s="14"/>
      <c r="J327" s="2" t="s">
        <v>511</v>
      </c>
      <c r="L327" s="1" t="s">
        <v>1093</v>
      </c>
      <c r="M327" s="2" t="s">
        <v>61</v>
      </c>
      <c r="P327" s="2" t="s">
        <v>307</v>
      </c>
      <c r="Q327" s="1" t="e">
        <f t="shared" si="16"/>
        <v>#REF!</v>
      </c>
    </row>
    <row r="328" spans="1:17" ht="12" customHeight="1" outlineLevel="4" x14ac:dyDescent="0.35">
      <c r="A328" s="2" t="str">
        <f t="shared" si="17"/>
        <v>CC415B</v>
      </c>
      <c r="B328" s="1">
        <v>4</v>
      </c>
      <c r="C328" s="1" t="s">
        <v>19</v>
      </c>
      <c r="D328" s="2" t="s">
        <v>30</v>
      </c>
      <c r="E328" s="11" t="s">
        <v>142</v>
      </c>
      <c r="F328" s="7" t="s">
        <v>50</v>
      </c>
      <c r="G328" s="2" t="s">
        <v>396</v>
      </c>
      <c r="H328" s="7" t="s">
        <v>748</v>
      </c>
      <c r="I328" s="2" t="s">
        <v>493</v>
      </c>
      <c r="J328" s="2" t="s">
        <v>416</v>
      </c>
      <c r="M328" s="2" t="s">
        <v>143</v>
      </c>
      <c r="P328" s="2" t="s">
        <v>52</v>
      </c>
      <c r="Q328" s="1" t="e">
        <f t="shared" si="16"/>
        <v>#REF!</v>
      </c>
    </row>
    <row r="329" spans="1:17" ht="12" customHeight="1" outlineLevel="4" x14ac:dyDescent="0.35">
      <c r="A329" s="2" t="str">
        <f t="shared" si="17"/>
        <v>CC415B</v>
      </c>
      <c r="B329" s="1">
        <v>4</v>
      </c>
      <c r="C329" s="1" t="s">
        <v>19</v>
      </c>
      <c r="D329" s="2" t="s">
        <v>30</v>
      </c>
      <c r="E329" s="11" t="s">
        <v>63</v>
      </c>
      <c r="F329" s="7" t="s">
        <v>83</v>
      </c>
      <c r="G329" s="2" t="s">
        <v>22</v>
      </c>
      <c r="H329" s="7" t="s">
        <v>494</v>
      </c>
      <c r="L329" s="1" t="s">
        <v>1094</v>
      </c>
      <c r="M329" s="2" t="s">
        <v>65</v>
      </c>
      <c r="P329" s="2" t="s">
        <v>308</v>
      </c>
      <c r="Q329" s="1" t="e">
        <f t="shared" si="16"/>
        <v>#REF!</v>
      </c>
    </row>
    <row r="330" spans="1:17" ht="12" customHeight="1" outlineLevel="3" x14ac:dyDescent="0.35">
      <c r="A330" s="3" t="str">
        <f t="shared" si="17"/>
        <v>CC415B</v>
      </c>
      <c r="B330" s="4">
        <v>3</v>
      </c>
      <c r="C330" s="3" t="s">
        <v>24</v>
      </c>
      <c r="D330" s="3" t="s">
        <v>193</v>
      </c>
      <c r="E330" s="10" t="s">
        <v>219</v>
      </c>
      <c r="F330" s="4"/>
      <c r="G330" s="3" t="s">
        <v>22</v>
      </c>
      <c r="H330" s="16" t="s">
        <v>489</v>
      </c>
      <c r="I330" s="4"/>
      <c r="J330" s="4"/>
      <c r="K330" s="4"/>
      <c r="L330" s="4" t="s">
        <v>1095</v>
      </c>
      <c r="M330" s="3" t="s">
        <v>220</v>
      </c>
      <c r="N330" s="4"/>
      <c r="O330" s="4"/>
      <c r="P330" s="3" t="s">
        <v>221</v>
      </c>
      <c r="Q330" s="1" t="e">
        <f t="shared" si="16"/>
        <v>#REF!</v>
      </c>
    </row>
    <row r="331" spans="1:17" ht="12" customHeight="1" outlineLevel="4" x14ac:dyDescent="0.35">
      <c r="A331" s="2" t="str">
        <f t="shared" si="17"/>
        <v>CC415B</v>
      </c>
      <c r="B331" s="1">
        <v>4</v>
      </c>
      <c r="C331" s="1" t="s">
        <v>19</v>
      </c>
      <c r="D331" s="2" t="s">
        <v>25</v>
      </c>
      <c r="E331" s="11" t="s">
        <v>56</v>
      </c>
      <c r="F331" s="7" t="s">
        <v>57</v>
      </c>
      <c r="G331" s="2" t="s">
        <v>27</v>
      </c>
      <c r="H331" s="7" t="s">
        <v>393</v>
      </c>
      <c r="M331" s="2" t="s">
        <v>58</v>
      </c>
      <c r="P331" s="2" t="s">
        <v>59</v>
      </c>
      <c r="Q331" s="1" t="e">
        <f t="shared" si="16"/>
        <v>#REF!</v>
      </c>
    </row>
    <row r="332" spans="1:17" ht="12" customHeight="1" outlineLevel="4" x14ac:dyDescent="0.35">
      <c r="A332" s="2" t="str">
        <f t="shared" si="17"/>
        <v>CC415B</v>
      </c>
      <c r="B332" s="1">
        <v>4</v>
      </c>
      <c r="C332" s="1" t="s">
        <v>19</v>
      </c>
      <c r="D332" s="2" t="s">
        <v>25</v>
      </c>
      <c r="E332" s="11" t="s">
        <v>222</v>
      </c>
      <c r="F332" s="7" t="s">
        <v>223</v>
      </c>
      <c r="G332" s="2" t="s">
        <v>27</v>
      </c>
      <c r="H332" s="7" t="s">
        <v>477</v>
      </c>
      <c r="J332" s="2" t="s">
        <v>513</v>
      </c>
      <c r="L332" s="1" t="s">
        <v>1096</v>
      </c>
      <c r="M332" s="2" t="s">
        <v>224</v>
      </c>
      <c r="P332" s="2" t="s">
        <v>225</v>
      </c>
      <c r="Q332" s="1" t="e">
        <f t="shared" si="16"/>
        <v>#REF!</v>
      </c>
    </row>
    <row r="333" spans="1:17" ht="12" customHeight="1" outlineLevel="4" x14ac:dyDescent="0.35">
      <c r="A333" s="2" t="str">
        <f t="shared" si="17"/>
        <v>CC415B</v>
      </c>
      <c r="B333" s="1">
        <v>4</v>
      </c>
      <c r="C333" s="1" t="s">
        <v>19</v>
      </c>
      <c r="D333" s="2" t="s">
        <v>30</v>
      </c>
      <c r="E333" s="11" t="s">
        <v>142</v>
      </c>
      <c r="F333" s="7" t="s">
        <v>50</v>
      </c>
      <c r="G333" s="2" t="s">
        <v>396</v>
      </c>
      <c r="H333" s="7" t="s">
        <v>748</v>
      </c>
      <c r="I333" s="2" t="s">
        <v>493</v>
      </c>
      <c r="J333" s="2" t="s">
        <v>416</v>
      </c>
      <c r="M333" s="2" t="s">
        <v>143</v>
      </c>
      <c r="P333" s="2" t="s">
        <v>52</v>
      </c>
      <c r="Q333" s="1" t="e">
        <f t="shared" si="16"/>
        <v>#REF!</v>
      </c>
    </row>
    <row r="334" spans="1:17" ht="12" customHeight="1" outlineLevel="4" x14ac:dyDescent="0.35">
      <c r="A334" s="2" t="str">
        <f t="shared" si="17"/>
        <v>CC415B</v>
      </c>
      <c r="B334" s="1">
        <v>4</v>
      </c>
      <c r="C334" s="1" t="s">
        <v>19</v>
      </c>
      <c r="D334" s="2" t="s">
        <v>30</v>
      </c>
      <c r="E334" s="11" t="s">
        <v>226</v>
      </c>
      <c r="F334" s="7" t="s">
        <v>216</v>
      </c>
      <c r="G334" s="2" t="s">
        <v>22</v>
      </c>
      <c r="H334" s="14"/>
      <c r="L334" s="1" t="s">
        <v>1097</v>
      </c>
      <c r="M334" s="2" t="s">
        <v>227</v>
      </c>
      <c r="P334" s="2" t="s">
        <v>218</v>
      </c>
      <c r="Q334" s="1" t="e">
        <f t="shared" si="16"/>
        <v>#REF!</v>
      </c>
    </row>
    <row r="335" spans="1:17" ht="12" customHeight="1" outlineLevel="3" x14ac:dyDescent="0.35">
      <c r="A335" s="3" t="str">
        <f t="shared" si="17"/>
        <v>CC415B</v>
      </c>
      <c r="B335" s="4">
        <v>3</v>
      </c>
      <c r="C335" s="3" t="s">
        <v>24</v>
      </c>
      <c r="D335" s="3" t="s">
        <v>30</v>
      </c>
      <c r="E335" s="10" t="s">
        <v>720</v>
      </c>
      <c r="F335" s="4"/>
      <c r="G335" s="3" t="s">
        <v>396</v>
      </c>
      <c r="H335" s="15"/>
      <c r="I335" s="3" t="s">
        <v>721</v>
      </c>
      <c r="J335" s="4"/>
      <c r="K335" s="4"/>
      <c r="L335" s="4" t="s">
        <v>1190</v>
      </c>
      <c r="M335" s="3" t="s">
        <v>722</v>
      </c>
      <c r="N335" s="4"/>
      <c r="O335" s="4"/>
      <c r="P335" s="3" t="s">
        <v>845</v>
      </c>
      <c r="Q335" s="1" t="e">
        <f t="shared" si="16"/>
        <v>#REF!</v>
      </c>
    </row>
    <row r="336" spans="1:17" ht="12" customHeight="1" outlineLevel="4" x14ac:dyDescent="0.35">
      <c r="A336" s="2" t="str">
        <f t="shared" si="17"/>
        <v>CC415B</v>
      </c>
      <c r="B336" s="1">
        <v>4</v>
      </c>
      <c r="C336" s="1" t="s">
        <v>19</v>
      </c>
      <c r="D336" s="2" t="s">
        <v>25</v>
      </c>
      <c r="E336" s="11" t="s">
        <v>724</v>
      </c>
      <c r="F336" s="7" t="s">
        <v>123</v>
      </c>
      <c r="G336" s="2" t="s">
        <v>27</v>
      </c>
      <c r="H336" s="14"/>
      <c r="J336" s="2" t="s">
        <v>725</v>
      </c>
      <c r="L336" s="1" t="s">
        <v>1191</v>
      </c>
      <c r="M336" s="2" t="s">
        <v>726</v>
      </c>
      <c r="P336" s="2" t="s">
        <v>727</v>
      </c>
      <c r="Q336" s="1" t="e">
        <f t="shared" si="16"/>
        <v>#REF!</v>
      </c>
    </row>
    <row r="337" spans="1:18" ht="12" customHeight="1" outlineLevel="4" x14ac:dyDescent="0.35">
      <c r="A337" s="3" t="str">
        <f t="shared" si="17"/>
        <v>CC415B</v>
      </c>
      <c r="B337" s="4">
        <v>4</v>
      </c>
      <c r="C337" s="3" t="s">
        <v>24</v>
      </c>
      <c r="D337" s="3" t="s">
        <v>193</v>
      </c>
      <c r="E337" s="12" t="s">
        <v>514</v>
      </c>
      <c r="F337" s="4"/>
      <c r="G337" s="3" t="s">
        <v>396</v>
      </c>
      <c r="H337" s="16" t="s">
        <v>771</v>
      </c>
      <c r="I337" s="16" t="s">
        <v>728</v>
      </c>
      <c r="J337" s="4"/>
      <c r="K337" s="4"/>
      <c r="L337" s="4" t="s">
        <v>1098</v>
      </c>
      <c r="M337" s="3" t="s">
        <v>516</v>
      </c>
      <c r="N337" s="4"/>
      <c r="O337" s="4"/>
      <c r="P337" s="3" t="s">
        <v>846</v>
      </c>
      <c r="Q337" s="1" t="e">
        <f t="shared" si="16"/>
        <v>#REF!</v>
      </c>
    </row>
    <row r="338" spans="1:18" ht="12" customHeight="1" outlineLevel="5" x14ac:dyDescent="0.35">
      <c r="A338" s="2" t="str">
        <f t="shared" si="17"/>
        <v>CC415B</v>
      </c>
      <c r="B338" s="1">
        <v>5</v>
      </c>
      <c r="C338" s="1" t="s">
        <v>19</v>
      </c>
      <c r="D338" s="2" t="s">
        <v>25</v>
      </c>
      <c r="E338" s="13" t="s">
        <v>56</v>
      </c>
      <c r="F338" s="7" t="s">
        <v>57</v>
      </c>
      <c r="G338" s="2" t="s">
        <v>27</v>
      </c>
      <c r="H338" s="7" t="s">
        <v>393</v>
      </c>
      <c r="M338" s="2" t="s">
        <v>58</v>
      </c>
      <c r="P338" s="2" t="s">
        <v>59</v>
      </c>
      <c r="Q338" s="1" t="e">
        <f t="shared" si="16"/>
        <v>#REF!</v>
      </c>
    </row>
    <row r="339" spans="1:18" ht="12" customHeight="1" outlineLevel="5" x14ac:dyDescent="0.35">
      <c r="A339" s="2" t="str">
        <f t="shared" si="17"/>
        <v>CC415B</v>
      </c>
      <c r="B339" s="1">
        <v>5</v>
      </c>
      <c r="C339" s="1" t="s">
        <v>19</v>
      </c>
      <c r="D339" s="2" t="s">
        <v>25</v>
      </c>
      <c r="E339" s="13" t="s">
        <v>222</v>
      </c>
      <c r="F339" s="7" t="s">
        <v>518</v>
      </c>
      <c r="G339" s="2" t="s">
        <v>27</v>
      </c>
      <c r="H339" s="14"/>
      <c r="J339" s="2" t="s">
        <v>519</v>
      </c>
      <c r="L339" s="1" t="s">
        <v>1099</v>
      </c>
      <c r="M339" s="2" t="s">
        <v>224</v>
      </c>
      <c r="P339" s="2" t="s">
        <v>520</v>
      </c>
      <c r="Q339" s="1" t="e">
        <f t="shared" si="16"/>
        <v>#REF!</v>
      </c>
    </row>
    <row r="340" spans="1:18" ht="12" customHeight="1" outlineLevel="5" x14ac:dyDescent="0.35">
      <c r="A340" s="2" t="str">
        <f t="shared" si="17"/>
        <v>CC415B</v>
      </c>
      <c r="B340" s="1">
        <v>5</v>
      </c>
      <c r="C340" s="1" t="s">
        <v>19</v>
      </c>
      <c r="D340" s="2" t="s">
        <v>30</v>
      </c>
      <c r="E340" s="13" t="s">
        <v>524</v>
      </c>
      <c r="F340" s="7" t="s">
        <v>152</v>
      </c>
      <c r="G340" s="2" t="s">
        <v>22</v>
      </c>
      <c r="H340" s="14"/>
      <c r="L340" s="1" t="s">
        <v>1100</v>
      </c>
      <c r="M340" s="2" t="s">
        <v>525</v>
      </c>
      <c r="P340" s="2" t="s">
        <v>154</v>
      </c>
      <c r="Q340" s="1" t="e">
        <f>IF($B340=0,$M340,_xlfn.TEXTBEFORE(#REF!,"/",$B340,,,#REF!)&amp;"/"&amp;$M340)&amp;IF(_xlfn.TEXTAFTER($D340,"..",,,,1)&lt;&gt;"1","[0]","")</f>
        <v>#REF!</v>
      </c>
    </row>
    <row r="341" spans="1:18" ht="12" customHeight="1" outlineLevel="3" x14ac:dyDescent="0.35">
      <c r="A341" s="3" t="str">
        <f t="shared" si="17"/>
        <v>CC415B</v>
      </c>
      <c r="B341" s="4">
        <v>3</v>
      </c>
      <c r="C341" s="3" t="s">
        <v>24</v>
      </c>
      <c r="D341" s="3" t="s">
        <v>30</v>
      </c>
      <c r="E341" s="10" t="s">
        <v>730</v>
      </c>
      <c r="F341" s="4"/>
      <c r="G341" s="3" t="s">
        <v>396</v>
      </c>
      <c r="H341" s="16" t="s">
        <v>772</v>
      </c>
      <c r="I341" s="3" t="s">
        <v>731</v>
      </c>
      <c r="J341" s="4"/>
      <c r="K341" s="4"/>
      <c r="L341" s="4" t="s">
        <v>1192</v>
      </c>
      <c r="M341" s="3" t="s">
        <v>732</v>
      </c>
      <c r="N341" s="4"/>
      <c r="O341" s="4"/>
      <c r="P341" s="3" t="s">
        <v>733</v>
      </c>
      <c r="Q341" s="1" t="e">
        <f>IF($B341=0,$M341,_xlfn.TEXTBEFORE(#REF!,"/",$B341,,,#REF!)&amp;"/"&amp;$M341)&amp;IF(_xlfn.TEXTAFTER($D341,"..",,,,1)&lt;&gt;"1","[0]","")</f>
        <v>#REF!</v>
      </c>
    </row>
    <row r="342" spans="1:18" ht="12" customHeight="1" outlineLevel="4" x14ac:dyDescent="0.35">
      <c r="A342" s="2" t="str">
        <f t="shared" si="17"/>
        <v>CC415B</v>
      </c>
      <c r="B342" s="1">
        <v>4</v>
      </c>
      <c r="C342" s="1" t="s">
        <v>19</v>
      </c>
      <c r="D342" s="2" t="s">
        <v>25</v>
      </c>
      <c r="E342" s="11" t="s">
        <v>734</v>
      </c>
      <c r="F342" s="7" t="s">
        <v>735</v>
      </c>
      <c r="G342" s="2" t="s">
        <v>27</v>
      </c>
      <c r="H342" s="7" t="s">
        <v>736</v>
      </c>
      <c r="L342" s="1" t="s">
        <v>1193</v>
      </c>
      <c r="M342" s="2" t="s">
        <v>737</v>
      </c>
      <c r="P342" s="2" t="s">
        <v>738</v>
      </c>
      <c r="Q342" s="1" t="e">
        <f t="shared" si="16"/>
        <v>#REF!</v>
      </c>
    </row>
    <row r="343" spans="1:18" ht="12" customHeight="1" outlineLevel="3" x14ac:dyDescent="0.35">
      <c r="A343" s="3" t="str">
        <f t="shared" si="17"/>
        <v>CC415B</v>
      </c>
      <c r="B343" s="4">
        <v>3</v>
      </c>
      <c r="C343" s="3" t="s">
        <v>24</v>
      </c>
      <c r="D343" s="3" t="s">
        <v>193</v>
      </c>
      <c r="E343" s="10" t="s">
        <v>528</v>
      </c>
      <c r="F343" s="4"/>
      <c r="G343" s="3" t="s">
        <v>396</v>
      </c>
      <c r="H343" s="16" t="s">
        <v>773</v>
      </c>
      <c r="I343" s="3" t="s">
        <v>529</v>
      </c>
      <c r="J343" s="4"/>
      <c r="K343" s="4"/>
      <c r="L343" s="4" t="s">
        <v>1101</v>
      </c>
      <c r="M343" s="3" t="s">
        <v>530</v>
      </c>
      <c r="N343" s="4"/>
      <c r="O343" s="4"/>
      <c r="P343" s="3" t="s">
        <v>531</v>
      </c>
      <c r="Q343" s="1" t="e">
        <f t="shared" ref="Q343:Q406" si="18">IF($B343=0,$M343,_xlfn.TEXTBEFORE(Q342,"/",$B343,,,Q342)&amp;"/"&amp;$M343)&amp;IF(_xlfn.TEXTAFTER($D343,"..",,,,1)&lt;&gt;"1","[0]","")</f>
        <v>#REF!</v>
      </c>
    </row>
    <row r="344" spans="1:18" ht="12" customHeight="1" outlineLevel="4" x14ac:dyDescent="0.35">
      <c r="A344" s="2" t="str">
        <f t="shared" si="17"/>
        <v>CC415B</v>
      </c>
      <c r="B344" s="1">
        <v>4</v>
      </c>
      <c r="C344" s="1" t="s">
        <v>19</v>
      </c>
      <c r="D344" s="2" t="s">
        <v>25</v>
      </c>
      <c r="E344" s="11" t="s">
        <v>56</v>
      </c>
      <c r="F344" s="7" t="s">
        <v>57</v>
      </c>
      <c r="G344" s="2" t="s">
        <v>27</v>
      </c>
      <c r="H344" s="7" t="s">
        <v>393</v>
      </c>
      <c r="M344" s="2" t="s">
        <v>58</v>
      </c>
      <c r="P344" s="2" t="s">
        <v>59</v>
      </c>
      <c r="Q344" s="1" t="e">
        <f t="shared" si="18"/>
        <v>#REF!</v>
      </c>
    </row>
    <row r="345" spans="1:18" ht="12" customHeight="1" outlineLevel="4" x14ac:dyDescent="0.35">
      <c r="A345" s="2" t="str">
        <f t="shared" si="17"/>
        <v>CC415B</v>
      </c>
      <c r="B345" s="1">
        <v>4</v>
      </c>
      <c r="C345" s="1" t="s">
        <v>19</v>
      </c>
      <c r="D345" s="2" t="s">
        <v>25</v>
      </c>
      <c r="E345" s="11" t="s">
        <v>197</v>
      </c>
      <c r="F345" s="7" t="s">
        <v>333</v>
      </c>
      <c r="G345" s="2" t="s">
        <v>27</v>
      </c>
      <c r="J345" s="2" t="s">
        <v>532</v>
      </c>
      <c r="L345" s="1" t="s">
        <v>1102</v>
      </c>
      <c r="M345" s="2" t="s">
        <v>199</v>
      </c>
      <c r="P345" s="2" t="s">
        <v>533</v>
      </c>
      <c r="Q345" s="1" t="e">
        <f t="shared" si="18"/>
        <v>#REF!</v>
      </c>
    </row>
    <row r="346" spans="1:18" ht="12" customHeight="1" outlineLevel="4" x14ac:dyDescent="0.35">
      <c r="A346" s="2" t="str">
        <f t="shared" si="17"/>
        <v>CC415B</v>
      </c>
      <c r="B346" s="1">
        <v>4</v>
      </c>
      <c r="C346" s="1" t="s">
        <v>19</v>
      </c>
      <c r="D346" s="2" t="s">
        <v>25</v>
      </c>
      <c r="E346" s="11" t="s">
        <v>534</v>
      </c>
      <c r="F346" s="7" t="s">
        <v>103</v>
      </c>
      <c r="G346" s="2" t="s">
        <v>27</v>
      </c>
      <c r="L346" s="1" t="s">
        <v>1103</v>
      </c>
      <c r="M346" s="2" t="s">
        <v>535</v>
      </c>
      <c r="P346" s="2" t="s">
        <v>536</v>
      </c>
      <c r="Q346" s="1" t="e">
        <f t="shared" si="18"/>
        <v>#REF!</v>
      </c>
    </row>
    <row r="347" spans="1:18" ht="12" customHeight="1" outlineLevel="1" x14ac:dyDescent="0.35">
      <c r="A347" s="3" t="str">
        <f t="shared" si="17"/>
        <v>CC415B</v>
      </c>
      <c r="B347" s="4">
        <v>1</v>
      </c>
      <c r="C347" s="3" t="s">
        <v>24</v>
      </c>
      <c r="D347" s="3" t="s">
        <v>30</v>
      </c>
      <c r="E347" s="5" t="s">
        <v>847</v>
      </c>
      <c r="F347" s="4"/>
      <c r="G347" s="3" t="s">
        <v>22</v>
      </c>
      <c r="H347" s="4"/>
      <c r="I347" s="4"/>
      <c r="J347" s="4"/>
      <c r="K347" s="4"/>
      <c r="L347" s="4"/>
      <c r="M347" s="3" t="s">
        <v>848</v>
      </c>
      <c r="N347" s="4"/>
      <c r="O347" s="4"/>
      <c r="P347" s="3" t="s">
        <v>848</v>
      </c>
      <c r="Q347" s="1" t="e">
        <f t="shared" si="18"/>
        <v>#REF!</v>
      </c>
    </row>
    <row r="348" spans="1:18" ht="12" customHeight="1" outlineLevel="2" x14ac:dyDescent="0.35">
      <c r="A348" s="3" t="str">
        <f t="shared" si="17"/>
        <v>CC415B</v>
      </c>
      <c r="B348" s="4">
        <v>2</v>
      </c>
      <c r="C348" s="3" t="s">
        <v>24</v>
      </c>
      <c r="D348" s="3" t="s">
        <v>193</v>
      </c>
      <c r="E348" s="8" t="s">
        <v>849</v>
      </c>
      <c r="F348" s="4"/>
      <c r="G348" s="3" t="s">
        <v>22</v>
      </c>
      <c r="H348" s="4"/>
      <c r="I348" s="4"/>
      <c r="J348" s="4"/>
      <c r="K348" s="4"/>
      <c r="L348" s="4" t="s">
        <v>1205</v>
      </c>
      <c r="M348" s="3" t="s">
        <v>850</v>
      </c>
      <c r="N348" s="4"/>
      <c r="O348" s="4"/>
      <c r="P348" s="3" t="s">
        <v>851</v>
      </c>
      <c r="Q348" s="1" t="e">
        <f t="shared" si="18"/>
        <v>#REF!</v>
      </c>
      <c r="R348" s="2" t="s">
        <v>852</v>
      </c>
    </row>
    <row r="349" spans="1:18" ht="12" customHeight="1" outlineLevel="3" x14ac:dyDescent="0.35">
      <c r="A349" s="2" t="str">
        <f t="shared" si="17"/>
        <v>CC415B</v>
      </c>
      <c r="B349" s="1">
        <v>3</v>
      </c>
      <c r="C349" s="1" t="s">
        <v>19</v>
      </c>
      <c r="D349" s="2" t="s">
        <v>25</v>
      </c>
      <c r="E349" s="9" t="s">
        <v>774</v>
      </c>
      <c r="F349" s="7" t="s">
        <v>853</v>
      </c>
      <c r="G349" s="2" t="s">
        <v>27</v>
      </c>
      <c r="M349" s="2" t="s">
        <v>776</v>
      </c>
      <c r="P349" s="2" t="s">
        <v>854</v>
      </c>
      <c r="Q349" s="1" t="e">
        <f t="shared" si="18"/>
        <v>#REF!</v>
      </c>
      <c r="R349" s="2" t="s">
        <v>855</v>
      </c>
    </row>
    <row r="350" spans="1:18" ht="12" customHeight="1" outlineLevel="2" x14ac:dyDescent="0.35">
      <c r="A350" s="2" t="str">
        <f t="shared" si="17"/>
        <v>CC415B</v>
      </c>
      <c r="B350" s="1">
        <v>2</v>
      </c>
      <c r="C350" s="1" t="s">
        <v>19</v>
      </c>
      <c r="D350" s="2" t="s">
        <v>25</v>
      </c>
      <c r="E350" s="6" t="s">
        <v>819</v>
      </c>
      <c r="F350" s="7" t="s">
        <v>820</v>
      </c>
      <c r="G350" s="2" t="s">
        <v>27</v>
      </c>
      <c r="M350" s="2" t="s">
        <v>821</v>
      </c>
      <c r="P350" s="2" t="s">
        <v>822</v>
      </c>
      <c r="Q350" s="1" t="e">
        <f t="shared" si="18"/>
        <v>#REF!</v>
      </c>
      <c r="R350" s="2" t="s">
        <v>823</v>
      </c>
    </row>
    <row r="351" spans="1:18" ht="12" customHeight="1" outlineLevel="2" x14ac:dyDescent="0.35">
      <c r="A351" s="3" t="str">
        <f t="shared" si="17"/>
        <v>CC415B</v>
      </c>
      <c r="B351" s="4">
        <v>2</v>
      </c>
      <c r="C351" s="3" t="s">
        <v>24</v>
      </c>
      <c r="D351" s="3" t="s">
        <v>30</v>
      </c>
      <c r="E351" s="8" t="s">
        <v>856</v>
      </c>
      <c r="F351" s="4"/>
      <c r="G351" s="3" t="s">
        <v>22</v>
      </c>
      <c r="H351" s="4"/>
      <c r="I351" s="4"/>
      <c r="J351" s="4"/>
      <c r="K351" s="4"/>
      <c r="L351" s="4"/>
      <c r="M351" s="3" t="s">
        <v>857</v>
      </c>
      <c r="N351" s="4"/>
      <c r="O351" s="4"/>
      <c r="P351" s="3" t="s">
        <v>858</v>
      </c>
      <c r="Q351" s="1" t="e">
        <f t="shared" si="18"/>
        <v>#REF!</v>
      </c>
    </row>
    <row r="352" spans="1:18" ht="12" customHeight="1" outlineLevel="3" x14ac:dyDescent="0.35">
      <c r="A352" s="2" t="str">
        <f t="shared" si="17"/>
        <v>CC415B</v>
      </c>
      <c r="B352" s="1">
        <v>3</v>
      </c>
      <c r="C352" s="1" t="s">
        <v>19</v>
      </c>
      <c r="D352" s="2" t="s">
        <v>25</v>
      </c>
      <c r="E352" s="9" t="s">
        <v>774</v>
      </c>
      <c r="F352" s="7" t="s">
        <v>853</v>
      </c>
      <c r="G352" s="2" t="s">
        <v>27</v>
      </c>
      <c r="M352" s="2" t="s">
        <v>776</v>
      </c>
      <c r="P352" s="2" t="s">
        <v>859</v>
      </c>
      <c r="Q352" s="1" t="e">
        <f t="shared" si="18"/>
        <v>#REF!</v>
      </c>
      <c r="R352" s="2" t="s">
        <v>830</v>
      </c>
    </row>
    <row r="353" spans="1:18" ht="12" customHeight="1" outlineLevel="3" x14ac:dyDescent="0.35">
      <c r="A353" s="2" t="str">
        <f t="shared" si="17"/>
        <v>CC415B</v>
      </c>
      <c r="B353" s="1">
        <v>3</v>
      </c>
      <c r="C353" s="1" t="s">
        <v>19</v>
      </c>
      <c r="D353" s="2" t="s">
        <v>30</v>
      </c>
      <c r="E353" s="9" t="s">
        <v>860</v>
      </c>
      <c r="F353" s="7" t="s">
        <v>793</v>
      </c>
      <c r="G353" s="2" t="s">
        <v>22</v>
      </c>
      <c r="M353" s="2" t="s">
        <v>861</v>
      </c>
      <c r="P353" s="2" t="s">
        <v>794</v>
      </c>
      <c r="Q353" s="1" t="e">
        <f t="shared" si="18"/>
        <v>#REF!</v>
      </c>
      <c r="R353" s="2" t="s">
        <v>862</v>
      </c>
    </row>
    <row r="354" spans="1:18" ht="12" customHeight="1" outlineLevel="3" x14ac:dyDescent="0.35">
      <c r="A354" s="2" t="str">
        <f t="shared" si="17"/>
        <v>CC415B</v>
      </c>
      <c r="B354" s="1">
        <v>3</v>
      </c>
      <c r="C354" s="1" t="s">
        <v>19</v>
      </c>
      <c r="D354" s="2" t="s">
        <v>30</v>
      </c>
      <c r="E354" s="9" t="s">
        <v>863</v>
      </c>
      <c r="F354" s="7" t="s">
        <v>795</v>
      </c>
      <c r="G354" s="2" t="s">
        <v>22</v>
      </c>
      <c r="M354" s="2" t="s">
        <v>864</v>
      </c>
      <c r="P354" s="2" t="s">
        <v>796</v>
      </c>
      <c r="Q354" s="1" t="e">
        <f t="shared" si="18"/>
        <v>#REF!</v>
      </c>
      <c r="R354" s="2" t="s">
        <v>865</v>
      </c>
    </row>
    <row r="355" spans="1:18" ht="12" customHeight="1" outlineLevel="3" x14ac:dyDescent="0.35">
      <c r="A355" s="2" t="str">
        <f t="shared" si="17"/>
        <v>CC415B</v>
      </c>
      <c r="B355" s="1">
        <v>3</v>
      </c>
      <c r="C355" s="1" t="s">
        <v>19</v>
      </c>
      <c r="D355" s="2" t="s">
        <v>30</v>
      </c>
      <c r="E355" s="9" t="s">
        <v>866</v>
      </c>
      <c r="F355" s="7" t="s">
        <v>867</v>
      </c>
      <c r="G355" s="2" t="s">
        <v>22</v>
      </c>
      <c r="M355" s="2" t="s">
        <v>868</v>
      </c>
      <c r="P355" s="2" t="s">
        <v>869</v>
      </c>
      <c r="Q355" s="1" t="e">
        <f t="shared" si="18"/>
        <v>#REF!</v>
      </c>
      <c r="R355" s="2" t="s">
        <v>865</v>
      </c>
    </row>
    <row r="356" spans="1:18" ht="12" customHeight="1" outlineLevel="3" x14ac:dyDescent="0.35">
      <c r="A356" s="2" t="str">
        <f t="shared" si="17"/>
        <v>CC415B</v>
      </c>
      <c r="B356" s="1">
        <v>3</v>
      </c>
      <c r="C356" s="1" t="s">
        <v>19</v>
      </c>
      <c r="D356" s="2" t="s">
        <v>30</v>
      </c>
      <c r="E356" s="9" t="s">
        <v>267</v>
      </c>
      <c r="F356" s="7" t="s">
        <v>797</v>
      </c>
      <c r="G356" s="2" t="s">
        <v>22</v>
      </c>
      <c r="M356" s="2" t="s">
        <v>798</v>
      </c>
      <c r="P356" s="2" t="s">
        <v>799</v>
      </c>
      <c r="Q356" s="1" t="e">
        <f t="shared" si="18"/>
        <v>#REF!</v>
      </c>
      <c r="R356" s="2" t="s">
        <v>870</v>
      </c>
    </row>
    <row r="357" spans="1:18" ht="12" customHeight="1" outlineLevel="3" x14ac:dyDescent="0.35">
      <c r="A357" s="2" t="str">
        <f t="shared" si="17"/>
        <v>CC415B</v>
      </c>
      <c r="B357" s="1">
        <v>3</v>
      </c>
      <c r="C357" s="1" t="s">
        <v>19</v>
      </c>
      <c r="D357" s="2" t="s">
        <v>30</v>
      </c>
      <c r="E357" s="9" t="s">
        <v>871</v>
      </c>
      <c r="F357" s="7" t="s">
        <v>801</v>
      </c>
      <c r="G357" s="2" t="s">
        <v>22</v>
      </c>
      <c r="M357" s="2" t="s">
        <v>872</v>
      </c>
      <c r="P357" s="2" t="s">
        <v>873</v>
      </c>
      <c r="Q357" s="1" t="e">
        <f t="shared" si="18"/>
        <v>#REF!</v>
      </c>
    </row>
    <row r="358" spans="1:18" ht="12" customHeight="1" outlineLevel="3" x14ac:dyDescent="0.35">
      <c r="A358" s="3" t="str">
        <f t="shared" si="17"/>
        <v>CC415B</v>
      </c>
      <c r="B358" s="4">
        <v>3</v>
      </c>
      <c r="C358" s="3" t="s">
        <v>24</v>
      </c>
      <c r="D358" s="3" t="s">
        <v>30</v>
      </c>
      <c r="E358" s="10" t="s">
        <v>273</v>
      </c>
      <c r="F358" s="4"/>
      <c r="G358" s="3" t="s">
        <v>22</v>
      </c>
      <c r="H358" s="4"/>
      <c r="I358" s="4"/>
      <c r="J358" s="4"/>
      <c r="K358" s="4"/>
      <c r="L358" s="4"/>
      <c r="M358" s="3" t="s">
        <v>274</v>
      </c>
      <c r="N358" s="4"/>
      <c r="O358" s="4"/>
      <c r="P358" s="3" t="s">
        <v>874</v>
      </c>
      <c r="Q358" s="1" t="e">
        <f t="shared" si="18"/>
        <v>#REF!</v>
      </c>
    </row>
    <row r="359" spans="1:18" ht="12" customHeight="1" outlineLevel="4" x14ac:dyDescent="0.35">
      <c r="A359" s="2" t="str">
        <f t="shared" ref="A359:A422" si="19">$E$2</f>
        <v>CC415B</v>
      </c>
      <c r="B359" s="1">
        <v>4</v>
      </c>
      <c r="C359" s="1" t="s">
        <v>19</v>
      </c>
      <c r="D359" s="2" t="s">
        <v>25</v>
      </c>
      <c r="E359" s="11" t="s">
        <v>875</v>
      </c>
      <c r="F359" s="7" t="s">
        <v>876</v>
      </c>
      <c r="G359" s="2" t="s">
        <v>27</v>
      </c>
      <c r="M359" s="2" t="s">
        <v>875</v>
      </c>
      <c r="P359" s="2" t="s">
        <v>877</v>
      </c>
      <c r="Q359" s="1" t="e">
        <f t="shared" si="18"/>
        <v>#REF!</v>
      </c>
    </row>
    <row r="360" spans="1:18" ht="12" customHeight="1" outlineLevel="3" x14ac:dyDescent="0.35">
      <c r="A360" s="3" t="str">
        <f t="shared" si="19"/>
        <v>CC415B</v>
      </c>
      <c r="B360" s="4">
        <v>3</v>
      </c>
      <c r="C360" s="3" t="s">
        <v>24</v>
      </c>
      <c r="D360" s="3" t="s">
        <v>30</v>
      </c>
      <c r="E360" s="10" t="s">
        <v>276</v>
      </c>
      <c r="F360" s="4"/>
      <c r="G360" s="3" t="s">
        <v>22</v>
      </c>
      <c r="H360" s="4"/>
      <c r="I360" s="4"/>
      <c r="J360" s="4"/>
      <c r="K360" s="4"/>
      <c r="L360" s="4"/>
      <c r="M360" s="3" t="s">
        <v>277</v>
      </c>
      <c r="N360" s="4"/>
      <c r="O360" s="4"/>
      <c r="P360" s="3" t="s">
        <v>800</v>
      </c>
      <c r="Q360" s="1" t="e">
        <f t="shared" si="18"/>
        <v>#REF!</v>
      </c>
    </row>
    <row r="361" spans="1:18" ht="12" customHeight="1" outlineLevel="4" x14ac:dyDescent="0.35">
      <c r="A361" s="2" t="str">
        <f t="shared" si="19"/>
        <v>CC415B</v>
      </c>
      <c r="B361" s="1">
        <v>4</v>
      </c>
      <c r="C361" s="1" t="s">
        <v>19</v>
      </c>
      <c r="D361" s="2" t="s">
        <v>25</v>
      </c>
      <c r="E361" s="11" t="s">
        <v>279</v>
      </c>
      <c r="F361" s="7" t="s">
        <v>801</v>
      </c>
      <c r="G361" s="2" t="s">
        <v>27</v>
      </c>
      <c r="M361" s="2" t="s">
        <v>279</v>
      </c>
      <c r="P361" s="2" t="s">
        <v>802</v>
      </c>
      <c r="Q361" s="1" t="e">
        <f t="shared" si="18"/>
        <v>#REF!</v>
      </c>
    </row>
    <row r="362" spans="1:18" ht="12" customHeight="1" outlineLevel="4" x14ac:dyDescent="0.35">
      <c r="A362" s="2" t="str">
        <f t="shared" si="19"/>
        <v>CC415B</v>
      </c>
      <c r="B362" s="1">
        <v>4</v>
      </c>
      <c r="C362" s="1" t="s">
        <v>19</v>
      </c>
      <c r="D362" s="2" t="s">
        <v>25</v>
      </c>
      <c r="E362" s="11" t="s">
        <v>283</v>
      </c>
      <c r="F362" s="7" t="s">
        <v>801</v>
      </c>
      <c r="G362" s="2" t="s">
        <v>27</v>
      </c>
      <c r="M362" s="2" t="s">
        <v>283</v>
      </c>
      <c r="P362" s="2" t="s">
        <v>802</v>
      </c>
      <c r="Q362" s="1" t="e">
        <f t="shared" si="18"/>
        <v>#REF!</v>
      </c>
    </row>
    <row r="363" spans="1:18" ht="12" customHeight="1" outlineLevel="3" x14ac:dyDescent="0.35">
      <c r="A363" s="3" t="str">
        <f t="shared" si="19"/>
        <v>CC415B</v>
      </c>
      <c r="B363" s="4">
        <v>3</v>
      </c>
      <c r="C363" s="3" t="s">
        <v>24</v>
      </c>
      <c r="D363" s="3" t="s">
        <v>30</v>
      </c>
      <c r="E363" s="10" t="s">
        <v>287</v>
      </c>
      <c r="F363" s="4"/>
      <c r="G363" s="3" t="s">
        <v>22</v>
      </c>
      <c r="H363" s="4"/>
      <c r="I363" s="4"/>
      <c r="J363" s="4"/>
      <c r="K363" s="4"/>
      <c r="L363" s="4"/>
      <c r="M363" s="3" t="s">
        <v>288</v>
      </c>
      <c r="N363" s="4"/>
      <c r="O363" s="4"/>
      <c r="P363" s="3" t="s">
        <v>878</v>
      </c>
      <c r="Q363" s="1" t="e">
        <f t="shared" si="18"/>
        <v>#REF!</v>
      </c>
    </row>
    <row r="364" spans="1:18" ht="12" customHeight="1" outlineLevel="4" x14ac:dyDescent="0.35">
      <c r="A364" s="2" t="str">
        <f t="shared" si="19"/>
        <v>CC415B</v>
      </c>
      <c r="B364" s="1">
        <v>4</v>
      </c>
      <c r="C364" s="1" t="s">
        <v>19</v>
      </c>
      <c r="D364" s="2" t="s">
        <v>25</v>
      </c>
      <c r="E364" s="11" t="s">
        <v>875</v>
      </c>
      <c r="F364" s="7" t="s">
        <v>801</v>
      </c>
      <c r="G364" s="2" t="s">
        <v>27</v>
      </c>
      <c r="M364" s="2" t="s">
        <v>875</v>
      </c>
      <c r="P364" s="2" t="s">
        <v>873</v>
      </c>
      <c r="Q364" s="1" t="e">
        <f t="shared" si="18"/>
        <v>#REF!</v>
      </c>
    </row>
    <row r="365" spans="1:18" ht="12" customHeight="1" outlineLevel="3" x14ac:dyDescent="0.35">
      <c r="A365" s="3" t="str">
        <f t="shared" si="19"/>
        <v>CC415B</v>
      </c>
      <c r="B365" s="4">
        <v>3</v>
      </c>
      <c r="C365" s="3" t="s">
        <v>24</v>
      </c>
      <c r="D365" s="3" t="s">
        <v>30</v>
      </c>
      <c r="E365" s="10" t="s">
        <v>86</v>
      </c>
      <c r="F365" s="4"/>
      <c r="G365" s="3" t="s">
        <v>22</v>
      </c>
      <c r="H365" s="4"/>
      <c r="I365" s="4"/>
      <c r="J365" s="4"/>
      <c r="K365" s="4"/>
      <c r="L365" s="4"/>
      <c r="M365" s="3" t="s">
        <v>86</v>
      </c>
      <c r="N365" s="4"/>
      <c r="O365" s="4"/>
      <c r="P365" s="3" t="s">
        <v>879</v>
      </c>
      <c r="Q365" s="1" t="e">
        <f t="shared" si="18"/>
        <v>#REF!</v>
      </c>
    </row>
    <row r="366" spans="1:18" ht="12" customHeight="1" outlineLevel="4" x14ac:dyDescent="0.35">
      <c r="A366" s="2" t="str">
        <f t="shared" si="19"/>
        <v>CC415B</v>
      </c>
      <c r="B366" s="1">
        <v>4</v>
      </c>
      <c r="C366" s="1" t="s">
        <v>19</v>
      </c>
      <c r="D366" s="2" t="s">
        <v>25</v>
      </c>
      <c r="E366" s="11" t="s">
        <v>88</v>
      </c>
      <c r="F366" s="7" t="s">
        <v>803</v>
      </c>
      <c r="G366" s="2" t="s">
        <v>27</v>
      </c>
      <c r="M366" s="2" t="s">
        <v>804</v>
      </c>
      <c r="P366" s="2" t="s">
        <v>805</v>
      </c>
      <c r="Q366" s="1" t="e">
        <f t="shared" si="18"/>
        <v>#REF!</v>
      </c>
    </row>
    <row r="367" spans="1:18" ht="12" customHeight="1" outlineLevel="4" x14ac:dyDescent="0.35">
      <c r="A367" s="2" t="str">
        <f t="shared" si="19"/>
        <v>CC415B</v>
      </c>
      <c r="B367" s="1">
        <v>4</v>
      </c>
      <c r="C367" s="1" t="s">
        <v>19</v>
      </c>
      <c r="D367" s="2" t="s">
        <v>30</v>
      </c>
      <c r="E367" s="11" t="s">
        <v>806</v>
      </c>
      <c r="G367" s="2" t="s">
        <v>22</v>
      </c>
      <c r="M367" s="2" t="s">
        <v>808</v>
      </c>
      <c r="P367" s="2" t="s">
        <v>809</v>
      </c>
      <c r="Q367" s="1" t="e">
        <f t="shared" si="18"/>
        <v>#REF!</v>
      </c>
    </row>
    <row r="368" spans="1:18" ht="12" customHeight="1" outlineLevel="4" x14ac:dyDescent="0.35">
      <c r="A368" s="2" t="str">
        <f t="shared" si="19"/>
        <v>CC415B</v>
      </c>
      <c r="B368" s="1">
        <v>4</v>
      </c>
      <c r="C368" s="1" t="s">
        <v>19</v>
      </c>
      <c r="D368" s="2" t="s">
        <v>25</v>
      </c>
      <c r="E368" s="11" t="s">
        <v>95</v>
      </c>
      <c r="G368" s="2" t="s">
        <v>27</v>
      </c>
      <c r="M368" s="2" t="s">
        <v>95</v>
      </c>
      <c r="P368" s="2" t="s">
        <v>811</v>
      </c>
      <c r="Q368" s="1" t="e">
        <f t="shared" si="18"/>
        <v>#REF!</v>
      </c>
    </row>
    <row r="369" spans="1:18" ht="12" customHeight="1" outlineLevel="4" x14ac:dyDescent="0.35">
      <c r="A369" s="2" t="str">
        <f t="shared" si="19"/>
        <v>CC415B</v>
      </c>
      <c r="B369" s="1">
        <v>4</v>
      </c>
      <c r="C369" s="1" t="s">
        <v>19</v>
      </c>
      <c r="D369" s="2" t="s">
        <v>25</v>
      </c>
      <c r="E369" s="11" t="s">
        <v>789</v>
      </c>
      <c r="G369" s="2" t="s">
        <v>27</v>
      </c>
      <c r="M369" s="2" t="s">
        <v>791</v>
      </c>
      <c r="P369" s="2" t="s">
        <v>792</v>
      </c>
      <c r="Q369" s="1" t="e">
        <f t="shared" si="18"/>
        <v>#REF!</v>
      </c>
    </row>
    <row r="370" spans="1:18" ht="12" customHeight="1" outlineLevel="3" x14ac:dyDescent="0.35">
      <c r="A370" s="3" t="str">
        <f t="shared" si="19"/>
        <v>CC415B</v>
      </c>
      <c r="B370" s="4">
        <v>3</v>
      </c>
      <c r="C370" s="3" t="s">
        <v>24</v>
      </c>
      <c r="D370" s="3" t="s">
        <v>30</v>
      </c>
      <c r="E370" s="10" t="s">
        <v>290</v>
      </c>
      <c r="F370" s="4"/>
      <c r="G370" s="3" t="s">
        <v>22</v>
      </c>
      <c r="H370" s="4"/>
      <c r="I370" s="4"/>
      <c r="J370" s="4"/>
      <c r="K370" s="4"/>
      <c r="L370" s="4"/>
      <c r="M370" s="3" t="s">
        <v>291</v>
      </c>
      <c r="N370" s="4"/>
      <c r="O370" s="4"/>
      <c r="P370" s="3" t="s">
        <v>880</v>
      </c>
      <c r="Q370" s="1" t="e">
        <f t="shared" si="18"/>
        <v>#REF!</v>
      </c>
    </row>
    <row r="371" spans="1:18" ht="12" customHeight="1" outlineLevel="4" x14ac:dyDescent="0.35">
      <c r="A371" s="2" t="str">
        <f t="shared" si="19"/>
        <v>CC415B</v>
      </c>
      <c r="B371" s="1">
        <v>4</v>
      </c>
      <c r="C371" s="1" t="s">
        <v>19</v>
      </c>
      <c r="D371" s="2" t="s">
        <v>30</v>
      </c>
      <c r="E371" s="11" t="s">
        <v>293</v>
      </c>
      <c r="F371" s="7" t="s">
        <v>881</v>
      </c>
      <c r="G371" s="2" t="s">
        <v>22</v>
      </c>
      <c r="K371" s="2" t="s">
        <v>882</v>
      </c>
      <c r="M371" s="2" t="s">
        <v>812</v>
      </c>
      <c r="P371" s="2" t="s">
        <v>883</v>
      </c>
      <c r="Q371" s="1" t="e">
        <f t="shared" si="18"/>
        <v>#REF!</v>
      </c>
    </row>
    <row r="372" spans="1:18" ht="12" customHeight="1" outlineLevel="4" x14ac:dyDescent="0.35">
      <c r="A372" s="2" t="str">
        <f t="shared" si="19"/>
        <v>CC415B</v>
      </c>
      <c r="B372" s="1">
        <v>4</v>
      </c>
      <c r="C372" s="1" t="s">
        <v>19</v>
      </c>
      <c r="D372" s="2" t="s">
        <v>25</v>
      </c>
      <c r="E372" s="11" t="s">
        <v>806</v>
      </c>
      <c r="G372" s="2" t="s">
        <v>27</v>
      </c>
      <c r="M372" s="2" t="s">
        <v>808</v>
      </c>
      <c r="P372" s="2" t="s">
        <v>809</v>
      </c>
      <c r="Q372" s="1" t="e">
        <f t="shared" si="18"/>
        <v>#REF!</v>
      </c>
    </row>
    <row r="373" spans="1:18" ht="12" customHeight="1" outlineLevel="4" x14ac:dyDescent="0.35">
      <c r="A373" s="2" t="str">
        <f t="shared" si="19"/>
        <v>CC415B</v>
      </c>
      <c r="B373" s="1">
        <v>4</v>
      </c>
      <c r="C373" s="1" t="s">
        <v>19</v>
      </c>
      <c r="D373" s="2" t="s">
        <v>25</v>
      </c>
      <c r="E373" s="11" t="s">
        <v>789</v>
      </c>
      <c r="G373" s="2" t="s">
        <v>27</v>
      </c>
      <c r="M373" s="2" t="s">
        <v>791</v>
      </c>
      <c r="P373" s="2" t="s">
        <v>792</v>
      </c>
      <c r="Q373" s="1" t="e">
        <f t="shared" si="18"/>
        <v>#REF!</v>
      </c>
    </row>
    <row r="374" spans="1:18" ht="12" customHeight="1" outlineLevel="3" x14ac:dyDescent="0.35">
      <c r="A374" s="3" t="str">
        <f t="shared" si="19"/>
        <v>CC415B</v>
      </c>
      <c r="B374" s="4">
        <v>3</v>
      </c>
      <c r="C374" s="3" t="s">
        <v>24</v>
      </c>
      <c r="D374" s="3" t="s">
        <v>53</v>
      </c>
      <c r="E374" s="10" t="s">
        <v>105</v>
      </c>
      <c r="F374" s="4"/>
      <c r="G374" s="3" t="s">
        <v>22</v>
      </c>
      <c r="H374" s="4"/>
      <c r="I374" s="4"/>
      <c r="J374" s="4"/>
      <c r="K374" s="4"/>
      <c r="L374" s="4"/>
      <c r="M374" s="3" t="s">
        <v>106</v>
      </c>
      <c r="N374" s="4"/>
      <c r="O374" s="4"/>
      <c r="P374" s="3" t="s">
        <v>884</v>
      </c>
      <c r="Q374" s="1" t="e">
        <f t="shared" si="18"/>
        <v>#REF!</v>
      </c>
    </row>
    <row r="375" spans="1:18" ht="12" customHeight="1" outlineLevel="4" x14ac:dyDescent="0.35">
      <c r="A375" s="2" t="str">
        <f t="shared" si="19"/>
        <v>CC415B</v>
      </c>
      <c r="B375" s="1">
        <v>4</v>
      </c>
      <c r="C375" s="1" t="s">
        <v>19</v>
      </c>
      <c r="D375" s="2" t="s">
        <v>25</v>
      </c>
      <c r="E375" s="11" t="s">
        <v>774</v>
      </c>
      <c r="F375" s="7" t="s">
        <v>853</v>
      </c>
      <c r="G375" s="2" t="s">
        <v>27</v>
      </c>
      <c r="M375" s="2" t="s">
        <v>776</v>
      </c>
      <c r="P375" s="2" t="s">
        <v>885</v>
      </c>
      <c r="Q375" s="1" t="e">
        <f t="shared" si="18"/>
        <v>#REF!</v>
      </c>
    </row>
    <row r="376" spans="1:18" ht="12" customHeight="1" outlineLevel="4" x14ac:dyDescent="0.35">
      <c r="A376" s="2" t="str">
        <f t="shared" si="19"/>
        <v>CC415B</v>
      </c>
      <c r="B376" s="1">
        <v>4</v>
      </c>
      <c r="C376" s="1" t="s">
        <v>19</v>
      </c>
      <c r="D376" s="2" t="s">
        <v>25</v>
      </c>
      <c r="E376" s="11" t="s">
        <v>4</v>
      </c>
      <c r="F376" s="7" t="s">
        <v>803</v>
      </c>
      <c r="G376" s="2" t="s">
        <v>27</v>
      </c>
      <c r="M376" s="2" t="s">
        <v>4</v>
      </c>
      <c r="P376" s="2" t="s">
        <v>886</v>
      </c>
      <c r="Q376" s="1" t="e">
        <f t="shared" si="18"/>
        <v>#REF!</v>
      </c>
    </row>
    <row r="377" spans="1:18" ht="12" customHeight="1" outlineLevel="4" x14ac:dyDescent="0.35">
      <c r="A377" s="2" t="str">
        <f t="shared" si="19"/>
        <v>CC415B</v>
      </c>
      <c r="B377" s="1">
        <v>4</v>
      </c>
      <c r="C377" s="1" t="s">
        <v>19</v>
      </c>
      <c r="D377" s="2" t="s">
        <v>25</v>
      </c>
      <c r="E377" s="11" t="s">
        <v>813</v>
      </c>
      <c r="F377" s="7" t="s">
        <v>814</v>
      </c>
      <c r="G377" s="2" t="s">
        <v>27</v>
      </c>
      <c r="M377" s="2" t="s">
        <v>815</v>
      </c>
      <c r="P377" s="2" t="s">
        <v>816</v>
      </c>
      <c r="Q377" s="1" t="e">
        <f t="shared" si="18"/>
        <v>#REF!</v>
      </c>
    </row>
    <row r="378" spans="1:18" ht="12" customHeight="1" outlineLevel="4" x14ac:dyDescent="0.35">
      <c r="A378" s="2" t="str">
        <f t="shared" si="19"/>
        <v>CC415B</v>
      </c>
      <c r="B378" s="1">
        <v>4</v>
      </c>
      <c r="C378" s="1" t="s">
        <v>19</v>
      </c>
      <c r="D378" s="2" t="s">
        <v>25</v>
      </c>
      <c r="E378" s="11" t="s">
        <v>111</v>
      </c>
      <c r="F378" s="7" t="s">
        <v>817</v>
      </c>
      <c r="G378" s="2" t="s">
        <v>27</v>
      </c>
      <c r="M378" s="2" t="s">
        <v>887</v>
      </c>
      <c r="P378" s="2" t="s">
        <v>818</v>
      </c>
      <c r="Q378" s="1" t="e">
        <f t="shared" si="18"/>
        <v>#REF!</v>
      </c>
    </row>
    <row r="379" spans="1:18" ht="12" customHeight="1" outlineLevel="2" x14ac:dyDescent="0.35">
      <c r="A379" s="3" t="str">
        <f t="shared" si="19"/>
        <v>CC415B</v>
      </c>
      <c r="B379" s="4">
        <v>2</v>
      </c>
      <c r="C379" s="3" t="s">
        <v>24</v>
      </c>
      <c r="D379" s="3" t="s">
        <v>30</v>
      </c>
      <c r="E379" s="8" t="s">
        <v>888</v>
      </c>
      <c r="F379" s="4"/>
      <c r="G379" s="3" t="s">
        <v>22</v>
      </c>
      <c r="H379" s="4"/>
      <c r="I379" s="4"/>
      <c r="J379" s="4"/>
      <c r="K379" s="4"/>
      <c r="L379" s="4" t="s">
        <v>1206</v>
      </c>
      <c r="M379" s="3" t="s">
        <v>889</v>
      </c>
      <c r="N379" s="4"/>
      <c r="O379" s="4"/>
      <c r="P379" s="3" t="s">
        <v>858</v>
      </c>
      <c r="Q379" s="1" t="e">
        <f t="shared" si="18"/>
        <v>#REF!</v>
      </c>
      <c r="R379" s="2" t="s">
        <v>890</v>
      </c>
    </row>
    <row r="380" spans="1:18" ht="12" customHeight="1" outlineLevel="3" x14ac:dyDescent="0.35">
      <c r="A380" s="2" t="str">
        <f t="shared" si="19"/>
        <v>CC415B</v>
      </c>
      <c r="B380" s="1">
        <v>3</v>
      </c>
      <c r="C380" s="1" t="s">
        <v>19</v>
      </c>
      <c r="D380" s="2" t="s">
        <v>25</v>
      </c>
      <c r="E380" s="9" t="s">
        <v>774</v>
      </c>
      <c r="F380" s="7" t="s">
        <v>853</v>
      </c>
      <c r="G380" s="2" t="s">
        <v>27</v>
      </c>
      <c r="M380" s="2" t="s">
        <v>776</v>
      </c>
      <c r="P380" s="2" t="s">
        <v>859</v>
      </c>
      <c r="Q380" s="1" t="e">
        <f t="shared" si="18"/>
        <v>#REF!</v>
      </c>
      <c r="R380" s="2" t="s">
        <v>830</v>
      </c>
    </row>
    <row r="381" spans="1:18" ht="12" customHeight="1" outlineLevel="3" x14ac:dyDescent="0.35">
      <c r="A381" s="2" t="str">
        <f t="shared" si="19"/>
        <v>CC415B</v>
      </c>
      <c r="B381" s="1">
        <v>3</v>
      </c>
      <c r="C381" s="1" t="s">
        <v>19</v>
      </c>
      <c r="D381" s="2" t="s">
        <v>30</v>
      </c>
      <c r="E381" s="9" t="s">
        <v>860</v>
      </c>
      <c r="F381" s="7" t="s">
        <v>793</v>
      </c>
      <c r="G381" s="2" t="s">
        <v>22</v>
      </c>
      <c r="L381" s="1" t="s">
        <v>1207</v>
      </c>
      <c r="M381" s="2" t="s">
        <v>861</v>
      </c>
      <c r="P381" s="2" t="s">
        <v>794</v>
      </c>
      <c r="Q381" s="1" t="e">
        <f t="shared" si="18"/>
        <v>#REF!</v>
      </c>
      <c r="R381" s="2" t="s">
        <v>862</v>
      </c>
    </row>
    <row r="382" spans="1:18" ht="12" customHeight="1" outlineLevel="3" x14ac:dyDescent="0.35">
      <c r="A382" s="2" t="str">
        <f t="shared" si="19"/>
        <v>CC415B</v>
      </c>
      <c r="B382" s="1">
        <v>3</v>
      </c>
      <c r="C382" s="1" t="s">
        <v>19</v>
      </c>
      <c r="D382" s="2" t="s">
        <v>30</v>
      </c>
      <c r="E382" s="9" t="s">
        <v>863</v>
      </c>
      <c r="F382" s="7" t="s">
        <v>795</v>
      </c>
      <c r="G382" s="2" t="s">
        <v>22</v>
      </c>
      <c r="L382" s="1" t="s">
        <v>1208</v>
      </c>
      <c r="M382" s="2" t="s">
        <v>864</v>
      </c>
      <c r="P382" s="2" t="s">
        <v>796</v>
      </c>
      <c r="Q382" s="1" t="e">
        <f t="shared" si="18"/>
        <v>#REF!</v>
      </c>
      <c r="R382" s="2" t="s">
        <v>865</v>
      </c>
    </row>
    <row r="383" spans="1:18" ht="12" customHeight="1" outlineLevel="3" x14ac:dyDescent="0.35">
      <c r="A383" s="2" t="str">
        <f t="shared" si="19"/>
        <v>CC415B</v>
      </c>
      <c r="B383" s="1">
        <v>3</v>
      </c>
      <c r="C383" s="1" t="s">
        <v>19</v>
      </c>
      <c r="D383" s="2" t="s">
        <v>30</v>
      </c>
      <c r="E383" s="9" t="s">
        <v>866</v>
      </c>
      <c r="F383" s="7" t="s">
        <v>867</v>
      </c>
      <c r="G383" s="2" t="s">
        <v>22</v>
      </c>
      <c r="M383" s="2" t="s">
        <v>868</v>
      </c>
      <c r="P383" s="2" t="s">
        <v>869</v>
      </c>
      <c r="Q383" s="1" t="e">
        <f t="shared" si="18"/>
        <v>#REF!</v>
      </c>
      <c r="R383" s="2" t="s">
        <v>865</v>
      </c>
    </row>
    <row r="384" spans="1:18" ht="12" customHeight="1" outlineLevel="3" x14ac:dyDescent="0.35">
      <c r="A384" s="2" t="str">
        <f t="shared" si="19"/>
        <v>CC415B</v>
      </c>
      <c r="B384" s="1">
        <v>3</v>
      </c>
      <c r="C384" s="1" t="s">
        <v>19</v>
      </c>
      <c r="D384" s="2" t="s">
        <v>30</v>
      </c>
      <c r="E384" s="9" t="s">
        <v>267</v>
      </c>
      <c r="F384" s="7" t="s">
        <v>797</v>
      </c>
      <c r="G384" s="2" t="s">
        <v>22</v>
      </c>
      <c r="L384" s="1" t="s">
        <v>1209</v>
      </c>
      <c r="M384" s="2" t="s">
        <v>798</v>
      </c>
      <c r="P384" s="2" t="s">
        <v>799</v>
      </c>
      <c r="Q384" s="1" t="e">
        <f t="shared" si="18"/>
        <v>#REF!</v>
      </c>
      <c r="R384" s="2" t="s">
        <v>870</v>
      </c>
    </row>
    <row r="385" spans="1:17" ht="12" customHeight="1" outlineLevel="3" x14ac:dyDescent="0.35">
      <c r="A385" s="2" t="str">
        <f t="shared" si="19"/>
        <v>CC415B</v>
      </c>
      <c r="B385" s="1">
        <v>3</v>
      </c>
      <c r="C385" s="1" t="s">
        <v>19</v>
      </c>
      <c r="D385" s="2" t="s">
        <v>30</v>
      </c>
      <c r="E385" s="9" t="s">
        <v>871</v>
      </c>
      <c r="F385" s="7" t="s">
        <v>801</v>
      </c>
      <c r="G385" s="2" t="s">
        <v>22</v>
      </c>
      <c r="M385" s="2" t="s">
        <v>872</v>
      </c>
      <c r="P385" s="2" t="s">
        <v>873</v>
      </c>
      <c r="Q385" s="1" t="e">
        <f t="shared" si="18"/>
        <v>#REF!</v>
      </c>
    </row>
    <row r="386" spans="1:17" ht="12" customHeight="1" outlineLevel="3" x14ac:dyDescent="0.35">
      <c r="A386" s="3" t="str">
        <f t="shared" si="19"/>
        <v>CC415B</v>
      </c>
      <c r="B386" s="4">
        <v>3</v>
      </c>
      <c r="C386" s="3" t="s">
        <v>24</v>
      </c>
      <c r="D386" s="3" t="s">
        <v>30</v>
      </c>
      <c r="E386" s="10" t="s">
        <v>273</v>
      </c>
      <c r="F386" s="4"/>
      <c r="G386" s="3" t="s">
        <v>22</v>
      </c>
      <c r="H386" s="4"/>
      <c r="I386" s="4"/>
      <c r="J386" s="4"/>
      <c r="K386" s="4"/>
      <c r="L386" s="4"/>
      <c r="M386" s="3" t="s">
        <v>274</v>
      </c>
      <c r="N386" s="4"/>
      <c r="O386" s="4"/>
      <c r="P386" s="3" t="s">
        <v>874</v>
      </c>
      <c r="Q386" s="1" t="e">
        <f t="shared" si="18"/>
        <v>#REF!</v>
      </c>
    </row>
    <row r="387" spans="1:17" ht="12" customHeight="1" outlineLevel="4" x14ac:dyDescent="0.35">
      <c r="A387" s="2" t="str">
        <f t="shared" si="19"/>
        <v>CC415B</v>
      </c>
      <c r="B387" s="1">
        <v>4</v>
      </c>
      <c r="C387" s="1" t="s">
        <v>19</v>
      </c>
      <c r="D387" s="2" t="s">
        <v>25</v>
      </c>
      <c r="E387" s="11" t="s">
        <v>875</v>
      </c>
      <c r="F387" s="7" t="s">
        <v>876</v>
      </c>
      <c r="G387" s="2" t="s">
        <v>27</v>
      </c>
      <c r="M387" s="2" t="s">
        <v>875</v>
      </c>
      <c r="P387" s="2" t="s">
        <v>877</v>
      </c>
      <c r="Q387" s="1" t="e">
        <f t="shared" si="18"/>
        <v>#REF!</v>
      </c>
    </row>
    <row r="388" spans="1:17" ht="12" customHeight="1" outlineLevel="3" x14ac:dyDescent="0.35">
      <c r="A388" s="3" t="str">
        <f t="shared" si="19"/>
        <v>CC415B</v>
      </c>
      <c r="B388" s="4">
        <v>3</v>
      </c>
      <c r="C388" s="3" t="s">
        <v>24</v>
      </c>
      <c r="D388" s="3" t="s">
        <v>30</v>
      </c>
      <c r="E388" s="10" t="s">
        <v>276</v>
      </c>
      <c r="F388" s="4"/>
      <c r="G388" s="3" t="s">
        <v>22</v>
      </c>
      <c r="H388" s="4"/>
      <c r="I388" s="4"/>
      <c r="J388" s="4"/>
      <c r="K388" s="4"/>
      <c r="L388" s="4"/>
      <c r="M388" s="3" t="s">
        <v>277</v>
      </c>
      <c r="N388" s="4"/>
      <c r="O388" s="4"/>
      <c r="P388" s="3" t="s">
        <v>800</v>
      </c>
      <c r="Q388" s="1" t="e">
        <f t="shared" si="18"/>
        <v>#REF!</v>
      </c>
    </row>
    <row r="389" spans="1:17" ht="12" customHeight="1" outlineLevel="4" x14ac:dyDescent="0.35">
      <c r="A389" s="2" t="str">
        <f t="shared" si="19"/>
        <v>CC415B</v>
      </c>
      <c r="B389" s="1">
        <v>4</v>
      </c>
      <c r="C389" s="1" t="s">
        <v>19</v>
      </c>
      <c r="D389" s="2" t="s">
        <v>25</v>
      </c>
      <c r="E389" s="11" t="s">
        <v>279</v>
      </c>
      <c r="F389" s="7" t="s">
        <v>801</v>
      </c>
      <c r="G389" s="2" t="s">
        <v>27</v>
      </c>
      <c r="M389" s="2" t="s">
        <v>279</v>
      </c>
      <c r="P389" s="2" t="s">
        <v>802</v>
      </c>
      <c r="Q389" s="1" t="e">
        <f t="shared" si="18"/>
        <v>#REF!</v>
      </c>
    </row>
    <row r="390" spans="1:17" ht="12" customHeight="1" outlineLevel="4" x14ac:dyDescent="0.35">
      <c r="A390" s="2" t="str">
        <f t="shared" si="19"/>
        <v>CC415B</v>
      </c>
      <c r="B390" s="1">
        <v>4</v>
      </c>
      <c r="C390" s="1" t="s">
        <v>19</v>
      </c>
      <c r="D390" s="2" t="s">
        <v>25</v>
      </c>
      <c r="E390" s="11" t="s">
        <v>283</v>
      </c>
      <c r="F390" s="7" t="s">
        <v>801</v>
      </c>
      <c r="G390" s="2" t="s">
        <v>27</v>
      </c>
      <c r="M390" s="2" t="s">
        <v>283</v>
      </c>
      <c r="P390" s="2" t="s">
        <v>802</v>
      </c>
      <c r="Q390" s="1" t="e">
        <f t="shared" si="18"/>
        <v>#REF!</v>
      </c>
    </row>
    <row r="391" spans="1:17" ht="12" customHeight="1" outlineLevel="3" x14ac:dyDescent="0.35">
      <c r="A391" s="3" t="str">
        <f t="shared" si="19"/>
        <v>CC415B</v>
      </c>
      <c r="B391" s="4">
        <v>3</v>
      </c>
      <c r="C391" s="3" t="s">
        <v>24</v>
      </c>
      <c r="D391" s="3" t="s">
        <v>30</v>
      </c>
      <c r="E391" s="10" t="s">
        <v>287</v>
      </c>
      <c r="F391" s="4"/>
      <c r="G391" s="3" t="s">
        <v>22</v>
      </c>
      <c r="H391" s="4"/>
      <c r="I391" s="4"/>
      <c r="J391" s="4"/>
      <c r="K391" s="4"/>
      <c r="L391" s="4"/>
      <c r="M391" s="3" t="s">
        <v>288</v>
      </c>
      <c r="N391" s="4"/>
      <c r="O391" s="4"/>
      <c r="P391" s="3" t="s">
        <v>878</v>
      </c>
      <c r="Q391" s="1" t="e">
        <f t="shared" si="18"/>
        <v>#REF!</v>
      </c>
    </row>
    <row r="392" spans="1:17" ht="12" customHeight="1" outlineLevel="4" x14ac:dyDescent="0.35">
      <c r="A392" s="2" t="str">
        <f t="shared" si="19"/>
        <v>CC415B</v>
      </c>
      <c r="B392" s="1">
        <v>4</v>
      </c>
      <c r="C392" s="1" t="s">
        <v>19</v>
      </c>
      <c r="D392" s="2" t="s">
        <v>25</v>
      </c>
      <c r="E392" s="11" t="s">
        <v>875</v>
      </c>
      <c r="F392" s="7" t="s">
        <v>801</v>
      </c>
      <c r="G392" s="2" t="s">
        <v>27</v>
      </c>
      <c r="M392" s="2" t="s">
        <v>875</v>
      </c>
      <c r="P392" s="2" t="s">
        <v>873</v>
      </c>
      <c r="Q392" s="1" t="e">
        <f t="shared" si="18"/>
        <v>#REF!</v>
      </c>
    </row>
    <row r="393" spans="1:17" ht="12" customHeight="1" outlineLevel="3" x14ac:dyDescent="0.35">
      <c r="A393" s="3" t="str">
        <f t="shared" si="19"/>
        <v>CC415B</v>
      </c>
      <c r="B393" s="4">
        <v>3</v>
      </c>
      <c r="C393" s="3" t="s">
        <v>24</v>
      </c>
      <c r="D393" s="3" t="s">
        <v>30</v>
      </c>
      <c r="E393" s="10" t="s">
        <v>86</v>
      </c>
      <c r="F393" s="4"/>
      <c r="G393" s="3" t="s">
        <v>22</v>
      </c>
      <c r="H393" s="4"/>
      <c r="I393" s="4"/>
      <c r="J393" s="4"/>
      <c r="K393" s="4"/>
      <c r="L393" s="4"/>
      <c r="M393" s="3" t="s">
        <v>86</v>
      </c>
      <c r="N393" s="4"/>
      <c r="O393" s="4"/>
      <c r="P393" s="3" t="s">
        <v>879</v>
      </c>
      <c r="Q393" s="1" t="e">
        <f t="shared" si="18"/>
        <v>#REF!</v>
      </c>
    </row>
    <row r="394" spans="1:17" ht="12" customHeight="1" outlineLevel="4" x14ac:dyDescent="0.35">
      <c r="A394" s="2" t="str">
        <f t="shared" si="19"/>
        <v>CC415B</v>
      </c>
      <c r="B394" s="1">
        <v>4</v>
      </c>
      <c r="C394" s="1" t="s">
        <v>19</v>
      </c>
      <c r="D394" s="2" t="s">
        <v>25</v>
      </c>
      <c r="E394" s="11" t="s">
        <v>88</v>
      </c>
      <c r="F394" s="7" t="s">
        <v>803</v>
      </c>
      <c r="G394" s="2" t="s">
        <v>27</v>
      </c>
      <c r="L394" s="1" t="s">
        <v>1210</v>
      </c>
      <c r="M394" s="2" t="s">
        <v>804</v>
      </c>
      <c r="P394" s="2" t="s">
        <v>805</v>
      </c>
      <c r="Q394" s="1" t="e">
        <f t="shared" si="18"/>
        <v>#REF!</v>
      </c>
    </row>
    <row r="395" spans="1:17" ht="12" customHeight="1" outlineLevel="4" x14ac:dyDescent="0.35">
      <c r="A395" s="2" t="str">
        <f t="shared" si="19"/>
        <v>CC415B</v>
      </c>
      <c r="B395" s="1">
        <v>4</v>
      </c>
      <c r="C395" s="1" t="s">
        <v>19</v>
      </c>
      <c r="D395" s="2" t="s">
        <v>30</v>
      </c>
      <c r="E395" s="11" t="s">
        <v>806</v>
      </c>
      <c r="F395" s="1" t="s">
        <v>807</v>
      </c>
      <c r="G395" s="2" t="s">
        <v>22</v>
      </c>
      <c r="L395" s="1" t="s">
        <v>1211</v>
      </c>
      <c r="M395" s="2" t="s">
        <v>808</v>
      </c>
      <c r="P395" s="2" t="s">
        <v>809</v>
      </c>
      <c r="Q395" s="1" t="e">
        <f t="shared" si="18"/>
        <v>#REF!</v>
      </c>
    </row>
    <row r="396" spans="1:17" ht="12" customHeight="1" outlineLevel="4" x14ac:dyDescent="0.35">
      <c r="A396" s="2" t="str">
        <f t="shared" si="19"/>
        <v>CC415B</v>
      </c>
      <c r="B396" s="1">
        <v>4</v>
      </c>
      <c r="C396" s="1" t="s">
        <v>19</v>
      </c>
      <c r="D396" s="2" t="s">
        <v>25</v>
      </c>
      <c r="E396" s="11" t="s">
        <v>95</v>
      </c>
      <c r="F396" s="14" t="s">
        <v>810</v>
      </c>
      <c r="G396" s="2" t="s">
        <v>27</v>
      </c>
      <c r="L396" s="1" t="s">
        <v>1212</v>
      </c>
      <c r="M396" s="2" t="s">
        <v>95</v>
      </c>
      <c r="P396" s="2" t="s">
        <v>811</v>
      </c>
      <c r="Q396" s="1" t="e">
        <f t="shared" si="18"/>
        <v>#REF!</v>
      </c>
    </row>
    <row r="397" spans="1:17" ht="12" customHeight="1" outlineLevel="4" x14ac:dyDescent="0.35">
      <c r="A397" s="2" t="str">
        <f t="shared" si="19"/>
        <v>CC415B</v>
      </c>
      <c r="B397" s="1">
        <v>4</v>
      </c>
      <c r="C397" s="1" t="s">
        <v>19</v>
      </c>
      <c r="D397" s="2" t="s">
        <v>25</v>
      </c>
      <c r="E397" s="11" t="s">
        <v>789</v>
      </c>
      <c r="F397" s="1" t="s">
        <v>790</v>
      </c>
      <c r="G397" s="2" t="s">
        <v>27</v>
      </c>
      <c r="J397" s="1" t="s">
        <v>1214</v>
      </c>
      <c r="L397" s="1" t="s">
        <v>1213</v>
      </c>
      <c r="M397" s="2" t="s">
        <v>791</v>
      </c>
      <c r="P397" s="2" t="s">
        <v>792</v>
      </c>
      <c r="Q397" s="1" t="e">
        <f t="shared" si="18"/>
        <v>#REF!</v>
      </c>
    </row>
    <row r="398" spans="1:17" ht="12" customHeight="1" outlineLevel="3" x14ac:dyDescent="0.35">
      <c r="A398" s="3" t="str">
        <f t="shared" si="19"/>
        <v>CC415B</v>
      </c>
      <c r="B398" s="4">
        <v>3</v>
      </c>
      <c r="C398" s="3" t="s">
        <v>24</v>
      </c>
      <c r="D398" s="3" t="s">
        <v>30</v>
      </c>
      <c r="E398" s="10" t="s">
        <v>290</v>
      </c>
      <c r="F398" s="4"/>
      <c r="G398" s="3" t="s">
        <v>22</v>
      </c>
      <c r="H398" s="4"/>
      <c r="I398" s="4"/>
      <c r="J398" s="4"/>
      <c r="K398" s="4"/>
      <c r="L398" s="4"/>
      <c r="M398" s="3" t="s">
        <v>291</v>
      </c>
      <c r="N398" s="4"/>
      <c r="O398" s="4"/>
      <c r="P398" s="3" t="s">
        <v>880</v>
      </c>
      <c r="Q398" s="1" t="e">
        <f t="shared" si="18"/>
        <v>#REF!</v>
      </c>
    </row>
    <row r="399" spans="1:17" ht="12" customHeight="1" outlineLevel="4" x14ac:dyDescent="0.35">
      <c r="A399" s="2" t="str">
        <f t="shared" si="19"/>
        <v>CC415B</v>
      </c>
      <c r="B399" s="1">
        <v>4</v>
      </c>
      <c r="C399" s="1" t="s">
        <v>19</v>
      </c>
      <c r="D399" s="2" t="s">
        <v>30</v>
      </c>
      <c r="E399" s="11" t="s">
        <v>293</v>
      </c>
      <c r="F399" s="7" t="s">
        <v>881</v>
      </c>
      <c r="G399" s="2" t="s">
        <v>22</v>
      </c>
      <c r="K399" s="2" t="s">
        <v>882</v>
      </c>
      <c r="M399" s="2" t="s">
        <v>812</v>
      </c>
      <c r="P399" s="2" t="s">
        <v>883</v>
      </c>
      <c r="Q399" s="1" t="e">
        <f t="shared" si="18"/>
        <v>#REF!</v>
      </c>
    </row>
    <row r="400" spans="1:17" ht="12" customHeight="1" outlineLevel="4" x14ac:dyDescent="0.35">
      <c r="A400" s="2" t="str">
        <f t="shared" si="19"/>
        <v>CC415B</v>
      </c>
      <c r="B400" s="1">
        <v>4</v>
      </c>
      <c r="C400" s="1" t="s">
        <v>19</v>
      </c>
      <c r="D400" s="2" t="s">
        <v>25</v>
      </c>
      <c r="E400" s="11" t="s">
        <v>806</v>
      </c>
      <c r="F400" s="1" t="s">
        <v>807</v>
      </c>
      <c r="G400" s="2" t="s">
        <v>27</v>
      </c>
      <c r="M400" s="2" t="s">
        <v>808</v>
      </c>
      <c r="P400" s="2" t="s">
        <v>809</v>
      </c>
      <c r="Q400" s="1" t="e">
        <f t="shared" si="18"/>
        <v>#REF!</v>
      </c>
    </row>
    <row r="401" spans="1:18" ht="12" customHeight="1" outlineLevel="4" x14ac:dyDescent="0.35">
      <c r="A401" s="2" t="str">
        <f t="shared" si="19"/>
        <v>CC415B</v>
      </c>
      <c r="B401" s="1">
        <v>4</v>
      </c>
      <c r="C401" s="1" t="s">
        <v>19</v>
      </c>
      <c r="D401" s="2" t="s">
        <v>25</v>
      </c>
      <c r="E401" s="11" t="s">
        <v>789</v>
      </c>
      <c r="F401" s="1" t="s">
        <v>790</v>
      </c>
      <c r="G401" s="2" t="s">
        <v>27</v>
      </c>
      <c r="J401" s="1" t="s">
        <v>1214</v>
      </c>
      <c r="M401" s="2" t="s">
        <v>791</v>
      </c>
      <c r="P401" s="2" t="s">
        <v>792</v>
      </c>
      <c r="Q401" s="1" t="e">
        <f t="shared" si="18"/>
        <v>#REF!</v>
      </c>
    </row>
    <row r="402" spans="1:18" ht="12" customHeight="1" outlineLevel="3" x14ac:dyDescent="0.35">
      <c r="A402" s="3" t="str">
        <f t="shared" si="19"/>
        <v>CC415B</v>
      </c>
      <c r="B402" s="4">
        <v>3</v>
      </c>
      <c r="C402" s="3" t="s">
        <v>24</v>
      </c>
      <c r="D402" s="3" t="s">
        <v>53</v>
      </c>
      <c r="E402" s="10" t="s">
        <v>105</v>
      </c>
      <c r="F402" s="4"/>
      <c r="G402" s="3" t="s">
        <v>22</v>
      </c>
      <c r="H402" s="4"/>
      <c r="I402" s="4"/>
      <c r="J402" s="4"/>
      <c r="K402" s="4"/>
      <c r="L402" s="4"/>
      <c r="M402" s="3" t="s">
        <v>106</v>
      </c>
      <c r="N402" s="4"/>
      <c r="O402" s="4"/>
      <c r="P402" s="3" t="s">
        <v>884</v>
      </c>
      <c r="Q402" s="1" t="e">
        <f t="shared" si="18"/>
        <v>#REF!</v>
      </c>
    </row>
    <row r="403" spans="1:18" ht="12" customHeight="1" outlineLevel="4" x14ac:dyDescent="0.35">
      <c r="A403" s="2" t="str">
        <f t="shared" si="19"/>
        <v>CC415B</v>
      </c>
      <c r="B403" s="1">
        <v>4</v>
      </c>
      <c r="C403" s="1" t="s">
        <v>19</v>
      </c>
      <c r="D403" s="2" t="s">
        <v>25</v>
      </c>
      <c r="E403" s="11" t="s">
        <v>774</v>
      </c>
      <c r="F403" s="7" t="s">
        <v>853</v>
      </c>
      <c r="G403" s="2" t="s">
        <v>27</v>
      </c>
      <c r="M403" s="2" t="s">
        <v>776</v>
      </c>
      <c r="P403" s="2" t="s">
        <v>885</v>
      </c>
      <c r="Q403" s="1" t="e">
        <f t="shared" si="18"/>
        <v>#REF!</v>
      </c>
    </row>
    <row r="404" spans="1:18" ht="12" customHeight="1" outlineLevel="4" x14ac:dyDescent="0.35">
      <c r="A404" s="2" t="str">
        <f t="shared" si="19"/>
        <v>CC415B</v>
      </c>
      <c r="B404" s="1">
        <v>4</v>
      </c>
      <c r="C404" s="1" t="s">
        <v>19</v>
      </c>
      <c r="D404" s="2" t="s">
        <v>25</v>
      </c>
      <c r="E404" s="11" t="s">
        <v>4</v>
      </c>
      <c r="F404" s="7" t="s">
        <v>803</v>
      </c>
      <c r="G404" s="2" t="s">
        <v>27</v>
      </c>
      <c r="M404" s="2" t="s">
        <v>4</v>
      </c>
      <c r="P404" s="2" t="s">
        <v>886</v>
      </c>
      <c r="Q404" s="1" t="e">
        <f t="shared" si="18"/>
        <v>#REF!</v>
      </c>
    </row>
    <row r="405" spans="1:18" ht="12" customHeight="1" outlineLevel="4" x14ac:dyDescent="0.35">
      <c r="A405" s="2" t="str">
        <f t="shared" si="19"/>
        <v>CC415B</v>
      </c>
      <c r="B405" s="1">
        <v>4</v>
      </c>
      <c r="C405" s="1" t="s">
        <v>19</v>
      </c>
      <c r="D405" s="2" t="s">
        <v>25</v>
      </c>
      <c r="E405" s="11" t="s">
        <v>813</v>
      </c>
      <c r="F405" s="7" t="s">
        <v>814</v>
      </c>
      <c r="G405" s="2" t="s">
        <v>27</v>
      </c>
      <c r="M405" s="2" t="s">
        <v>815</v>
      </c>
      <c r="P405" s="2" t="s">
        <v>816</v>
      </c>
      <c r="Q405" s="1" t="e">
        <f t="shared" si="18"/>
        <v>#REF!</v>
      </c>
    </row>
    <row r="406" spans="1:18" ht="12" customHeight="1" outlineLevel="4" x14ac:dyDescent="0.35">
      <c r="A406" s="2" t="str">
        <f t="shared" si="19"/>
        <v>CC415B</v>
      </c>
      <c r="B406" s="1">
        <v>4</v>
      </c>
      <c r="C406" s="1" t="s">
        <v>19</v>
      </c>
      <c r="D406" s="2" t="s">
        <v>25</v>
      </c>
      <c r="E406" s="11" t="s">
        <v>111</v>
      </c>
      <c r="F406" s="7" t="s">
        <v>817</v>
      </c>
      <c r="G406" s="2" t="s">
        <v>27</v>
      </c>
      <c r="M406" s="2" t="s">
        <v>887</v>
      </c>
      <c r="P406" s="2" t="s">
        <v>818</v>
      </c>
      <c r="Q406" s="1" t="e">
        <f t="shared" si="18"/>
        <v>#REF!</v>
      </c>
    </row>
    <row r="407" spans="1:18" ht="12" customHeight="1" outlineLevel="2" x14ac:dyDescent="0.35">
      <c r="A407" s="3" t="str">
        <f t="shared" si="19"/>
        <v>CC415B</v>
      </c>
      <c r="B407" s="4">
        <v>2</v>
      </c>
      <c r="C407" s="3" t="s">
        <v>24</v>
      </c>
      <c r="D407" s="3" t="s">
        <v>314</v>
      </c>
      <c r="E407" s="8" t="s">
        <v>891</v>
      </c>
      <c r="F407" s="4"/>
      <c r="G407" s="3" t="s">
        <v>22</v>
      </c>
      <c r="H407" s="4"/>
      <c r="I407" s="4"/>
      <c r="J407" s="4"/>
      <c r="K407" s="4"/>
      <c r="L407" s="4" t="s">
        <v>1215</v>
      </c>
      <c r="M407" s="3" t="s">
        <v>892</v>
      </c>
      <c r="N407" s="4"/>
      <c r="O407" s="4"/>
      <c r="P407" s="3" t="s">
        <v>858</v>
      </c>
      <c r="Q407" s="1" t="e">
        <f t="shared" ref="Q407:Q470" si="20">IF($B407=0,$M407,_xlfn.TEXTBEFORE(Q406,"/",$B407,,,Q406)&amp;"/"&amp;$M407)&amp;IF(_xlfn.TEXTAFTER($D407,"..",,,,1)&lt;&gt;"1","[0]","")</f>
        <v>#REF!</v>
      </c>
      <c r="R407" s="2" t="s">
        <v>893</v>
      </c>
    </row>
    <row r="408" spans="1:18" ht="12" customHeight="1" outlineLevel="3" x14ac:dyDescent="0.35">
      <c r="A408" s="2" t="str">
        <f t="shared" si="19"/>
        <v>CC415B</v>
      </c>
      <c r="B408" s="1">
        <v>3</v>
      </c>
      <c r="C408" s="1" t="s">
        <v>19</v>
      </c>
      <c r="D408" s="2" t="s">
        <v>25</v>
      </c>
      <c r="E408" s="9" t="s">
        <v>774</v>
      </c>
      <c r="F408" s="7" t="s">
        <v>853</v>
      </c>
      <c r="G408" s="2" t="s">
        <v>27</v>
      </c>
      <c r="M408" s="2" t="s">
        <v>776</v>
      </c>
      <c r="P408" s="2" t="s">
        <v>859</v>
      </c>
      <c r="Q408" s="1" t="e">
        <f t="shared" si="20"/>
        <v>#REF!</v>
      </c>
      <c r="R408" s="2" t="s">
        <v>830</v>
      </c>
    </row>
    <row r="409" spans="1:18" ht="12" customHeight="1" outlineLevel="3" x14ac:dyDescent="0.35">
      <c r="A409" s="2" t="str">
        <f t="shared" si="19"/>
        <v>CC415B</v>
      </c>
      <c r="B409" s="1">
        <v>3</v>
      </c>
      <c r="C409" s="1" t="s">
        <v>19</v>
      </c>
      <c r="D409" s="2" t="s">
        <v>30</v>
      </c>
      <c r="E409" s="9" t="s">
        <v>860</v>
      </c>
      <c r="F409" s="7" t="s">
        <v>793</v>
      </c>
      <c r="G409" s="2" t="s">
        <v>22</v>
      </c>
      <c r="L409" s="1" t="s">
        <v>1216</v>
      </c>
      <c r="M409" s="2" t="s">
        <v>861</v>
      </c>
      <c r="P409" s="2" t="s">
        <v>794</v>
      </c>
      <c r="Q409" s="1" t="e">
        <f t="shared" si="20"/>
        <v>#REF!</v>
      </c>
      <c r="R409" s="2" t="s">
        <v>862</v>
      </c>
    </row>
    <row r="410" spans="1:18" ht="12" customHeight="1" outlineLevel="3" x14ac:dyDescent="0.35">
      <c r="A410" s="2" t="str">
        <f t="shared" si="19"/>
        <v>CC415B</v>
      </c>
      <c r="B410" s="1">
        <v>3</v>
      </c>
      <c r="C410" s="1" t="s">
        <v>19</v>
      </c>
      <c r="D410" s="2" t="s">
        <v>30</v>
      </c>
      <c r="E410" s="9" t="s">
        <v>863</v>
      </c>
      <c r="F410" s="7" t="s">
        <v>795</v>
      </c>
      <c r="G410" s="2" t="s">
        <v>22</v>
      </c>
      <c r="L410" s="1" t="s">
        <v>1217</v>
      </c>
      <c r="M410" s="2" t="s">
        <v>864</v>
      </c>
      <c r="P410" s="2" t="s">
        <v>796</v>
      </c>
      <c r="Q410" s="1" t="e">
        <f t="shared" si="20"/>
        <v>#REF!</v>
      </c>
      <c r="R410" s="2" t="s">
        <v>865</v>
      </c>
    </row>
    <row r="411" spans="1:18" ht="12" customHeight="1" outlineLevel="3" x14ac:dyDescent="0.35">
      <c r="A411" s="2" t="str">
        <f t="shared" si="19"/>
        <v>CC415B</v>
      </c>
      <c r="B411" s="1">
        <v>3</v>
      </c>
      <c r="C411" s="1" t="s">
        <v>19</v>
      </c>
      <c r="D411" s="2" t="s">
        <v>30</v>
      </c>
      <c r="E411" s="9" t="s">
        <v>866</v>
      </c>
      <c r="F411" s="7" t="s">
        <v>867</v>
      </c>
      <c r="G411" s="2" t="s">
        <v>22</v>
      </c>
      <c r="L411" s="1" t="s">
        <v>1218</v>
      </c>
      <c r="M411" s="2" t="s">
        <v>868</v>
      </c>
      <c r="P411" s="2" t="s">
        <v>869</v>
      </c>
      <c r="Q411" s="1" t="e">
        <f t="shared" si="20"/>
        <v>#REF!</v>
      </c>
      <c r="R411" s="2" t="s">
        <v>865</v>
      </c>
    </row>
    <row r="412" spans="1:18" ht="12" customHeight="1" outlineLevel="3" x14ac:dyDescent="0.35">
      <c r="A412" s="2" t="str">
        <f t="shared" si="19"/>
        <v>CC415B</v>
      </c>
      <c r="B412" s="1">
        <v>3</v>
      </c>
      <c r="C412" s="1" t="s">
        <v>19</v>
      </c>
      <c r="D412" s="2" t="s">
        <v>30</v>
      </c>
      <c r="E412" s="9" t="s">
        <v>267</v>
      </c>
      <c r="F412" s="7" t="s">
        <v>797</v>
      </c>
      <c r="G412" s="2" t="s">
        <v>22</v>
      </c>
      <c r="L412" s="1" t="s">
        <v>1219</v>
      </c>
      <c r="M412" s="2" t="s">
        <v>798</v>
      </c>
      <c r="P412" s="2" t="s">
        <v>799</v>
      </c>
      <c r="Q412" s="1" t="e">
        <f t="shared" si="20"/>
        <v>#REF!</v>
      </c>
      <c r="R412" s="2" t="s">
        <v>870</v>
      </c>
    </row>
    <row r="413" spans="1:18" ht="12" customHeight="1" outlineLevel="3" x14ac:dyDescent="0.35">
      <c r="A413" s="2" t="str">
        <f t="shared" si="19"/>
        <v>CC415B</v>
      </c>
      <c r="B413" s="1">
        <v>3</v>
      </c>
      <c r="C413" s="1" t="s">
        <v>19</v>
      </c>
      <c r="D413" s="2" t="s">
        <v>30</v>
      </c>
      <c r="E413" s="9" t="s">
        <v>871</v>
      </c>
      <c r="F413" s="7" t="s">
        <v>801</v>
      </c>
      <c r="G413" s="2" t="s">
        <v>22</v>
      </c>
      <c r="M413" s="2" t="s">
        <v>872</v>
      </c>
      <c r="P413" s="2" t="s">
        <v>873</v>
      </c>
      <c r="Q413" s="1" t="e">
        <f t="shared" si="20"/>
        <v>#REF!</v>
      </c>
    </row>
    <row r="414" spans="1:18" ht="12" customHeight="1" outlineLevel="3" x14ac:dyDescent="0.35">
      <c r="A414" s="3" t="str">
        <f t="shared" si="19"/>
        <v>CC415B</v>
      </c>
      <c r="B414" s="4">
        <v>3</v>
      </c>
      <c r="C414" s="3" t="s">
        <v>24</v>
      </c>
      <c r="D414" s="3" t="s">
        <v>30</v>
      </c>
      <c r="E414" s="10" t="s">
        <v>273</v>
      </c>
      <c r="F414" s="4"/>
      <c r="G414" s="3" t="s">
        <v>22</v>
      </c>
      <c r="H414" s="4"/>
      <c r="I414" s="4"/>
      <c r="J414" s="4"/>
      <c r="K414" s="4"/>
      <c r="L414" s="4"/>
      <c r="M414" s="3" t="s">
        <v>274</v>
      </c>
      <c r="N414" s="4"/>
      <c r="O414" s="4"/>
      <c r="P414" s="3" t="s">
        <v>874</v>
      </c>
      <c r="Q414" s="1" t="e">
        <f t="shared" si="20"/>
        <v>#REF!</v>
      </c>
    </row>
    <row r="415" spans="1:18" ht="12" customHeight="1" outlineLevel="4" x14ac:dyDescent="0.35">
      <c r="A415" s="2" t="str">
        <f t="shared" si="19"/>
        <v>CC415B</v>
      </c>
      <c r="B415" s="1">
        <v>4</v>
      </c>
      <c r="C415" s="1" t="s">
        <v>19</v>
      </c>
      <c r="D415" s="2" t="s">
        <v>25</v>
      </c>
      <c r="E415" s="11" t="s">
        <v>875</v>
      </c>
      <c r="F415" s="7" t="s">
        <v>876</v>
      </c>
      <c r="G415" s="2" t="s">
        <v>27</v>
      </c>
      <c r="M415" s="2" t="s">
        <v>875</v>
      </c>
      <c r="P415" s="2" t="s">
        <v>877</v>
      </c>
      <c r="Q415" s="1" t="e">
        <f t="shared" si="20"/>
        <v>#REF!</v>
      </c>
    </row>
    <row r="416" spans="1:18" ht="12" customHeight="1" outlineLevel="3" x14ac:dyDescent="0.35">
      <c r="A416" s="3" t="str">
        <f t="shared" si="19"/>
        <v>CC415B</v>
      </c>
      <c r="B416" s="4">
        <v>3</v>
      </c>
      <c r="C416" s="3" t="s">
        <v>24</v>
      </c>
      <c r="D416" s="3" t="s">
        <v>30</v>
      </c>
      <c r="E416" s="10" t="s">
        <v>276</v>
      </c>
      <c r="F416" s="4"/>
      <c r="G416" s="3" t="s">
        <v>22</v>
      </c>
      <c r="H416" s="4"/>
      <c r="I416" s="4"/>
      <c r="J416" s="4"/>
      <c r="K416" s="4"/>
      <c r="L416" s="4"/>
      <c r="M416" s="3" t="s">
        <v>277</v>
      </c>
      <c r="N416" s="4"/>
      <c r="O416" s="4"/>
      <c r="P416" s="3" t="s">
        <v>800</v>
      </c>
      <c r="Q416" s="1" t="e">
        <f t="shared" si="20"/>
        <v>#REF!</v>
      </c>
    </row>
    <row r="417" spans="1:17" ht="12" customHeight="1" outlineLevel="4" x14ac:dyDescent="0.35">
      <c r="A417" s="2" t="str">
        <f t="shared" si="19"/>
        <v>CC415B</v>
      </c>
      <c r="B417" s="1">
        <v>4</v>
      </c>
      <c r="C417" s="1" t="s">
        <v>19</v>
      </c>
      <c r="D417" s="2" t="s">
        <v>25</v>
      </c>
      <c r="E417" s="11" t="s">
        <v>279</v>
      </c>
      <c r="F417" s="7" t="s">
        <v>801</v>
      </c>
      <c r="G417" s="2" t="s">
        <v>27</v>
      </c>
      <c r="M417" s="2" t="s">
        <v>279</v>
      </c>
      <c r="P417" s="2" t="s">
        <v>802</v>
      </c>
      <c r="Q417" s="1" t="e">
        <f t="shared" si="20"/>
        <v>#REF!</v>
      </c>
    </row>
    <row r="418" spans="1:17" ht="12" customHeight="1" outlineLevel="4" x14ac:dyDescent="0.35">
      <c r="A418" s="2" t="str">
        <f t="shared" si="19"/>
        <v>CC415B</v>
      </c>
      <c r="B418" s="1">
        <v>4</v>
      </c>
      <c r="C418" s="1" t="s">
        <v>19</v>
      </c>
      <c r="D418" s="2" t="s">
        <v>25</v>
      </c>
      <c r="E418" s="11" t="s">
        <v>283</v>
      </c>
      <c r="F418" s="7" t="s">
        <v>801</v>
      </c>
      <c r="G418" s="2" t="s">
        <v>27</v>
      </c>
      <c r="M418" s="2" t="s">
        <v>283</v>
      </c>
      <c r="P418" s="2" t="s">
        <v>802</v>
      </c>
      <c r="Q418" s="1" t="e">
        <f t="shared" si="20"/>
        <v>#REF!</v>
      </c>
    </row>
    <row r="419" spans="1:17" ht="12" customHeight="1" outlineLevel="3" x14ac:dyDescent="0.35">
      <c r="A419" s="3" t="str">
        <f t="shared" si="19"/>
        <v>CC415B</v>
      </c>
      <c r="B419" s="4">
        <v>3</v>
      </c>
      <c r="C419" s="3" t="s">
        <v>24</v>
      </c>
      <c r="D419" s="3" t="s">
        <v>30</v>
      </c>
      <c r="E419" s="10" t="s">
        <v>287</v>
      </c>
      <c r="F419" s="4"/>
      <c r="G419" s="3" t="s">
        <v>22</v>
      </c>
      <c r="H419" s="4"/>
      <c r="I419" s="4"/>
      <c r="J419" s="4"/>
      <c r="K419" s="4"/>
      <c r="L419" s="4"/>
      <c r="M419" s="3" t="s">
        <v>288</v>
      </c>
      <c r="N419" s="4"/>
      <c r="O419" s="4"/>
      <c r="P419" s="3" t="s">
        <v>878</v>
      </c>
      <c r="Q419" s="1" t="e">
        <f t="shared" si="20"/>
        <v>#REF!</v>
      </c>
    </row>
    <row r="420" spans="1:17" ht="12" customHeight="1" outlineLevel="4" x14ac:dyDescent="0.35">
      <c r="A420" s="2" t="str">
        <f t="shared" si="19"/>
        <v>CC415B</v>
      </c>
      <c r="B420" s="1">
        <v>4</v>
      </c>
      <c r="C420" s="1" t="s">
        <v>19</v>
      </c>
      <c r="D420" s="2" t="s">
        <v>25</v>
      </c>
      <c r="E420" s="11" t="s">
        <v>875</v>
      </c>
      <c r="F420" s="7" t="s">
        <v>801</v>
      </c>
      <c r="G420" s="2" t="s">
        <v>27</v>
      </c>
      <c r="M420" s="2" t="s">
        <v>875</v>
      </c>
      <c r="P420" s="2" t="s">
        <v>873</v>
      </c>
      <c r="Q420" s="1" t="e">
        <f t="shared" si="20"/>
        <v>#REF!</v>
      </c>
    </row>
    <row r="421" spans="1:17" ht="12" customHeight="1" outlineLevel="3" x14ac:dyDescent="0.35">
      <c r="A421" s="3" t="str">
        <f t="shared" si="19"/>
        <v>CC415B</v>
      </c>
      <c r="B421" s="4">
        <v>3</v>
      </c>
      <c r="C421" s="3" t="s">
        <v>24</v>
      </c>
      <c r="D421" s="3" t="s">
        <v>30</v>
      </c>
      <c r="E421" s="10" t="s">
        <v>86</v>
      </c>
      <c r="F421" s="4"/>
      <c r="G421" s="3" t="s">
        <v>22</v>
      </c>
      <c r="H421" s="4"/>
      <c r="I421" s="4"/>
      <c r="J421" s="4"/>
      <c r="K421" s="4"/>
      <c r="L421" s="4"/>
      <c r="M421" s="3" t="s">
        <v>86</v>
      </c>
      <c r="N421" s="4"/>
      <c r="O421" s="4"/>
      <c r="P421" s="3" t="s">
        <v>879</v>
      </c>
      <c r="Q421" s="1" t="e">
        <f t="shared" si="20"/>
        <v>#REF!</v>
      </c>
    </row>
    <row r="422" spans="1:17" ht="12" customHeight="1" outlineLevel="4" x14ac:dyDescent="0.35">
      <c r="A422" s="2" t="str">
        <f t="shared" si="19"/>
        <v>CC415B</v>
      </c>
      <c r="B422" s="1">
        <v>4</v>
      </c>
      <c r="C422" s="1" t="s">
        <v>19</v>
      </c>
      <c r="D422" s="2" t="s">
        <v>25</v>
      </c>
      <c r="E422" s="11" t="s">
        <v>88</v>
      </c>
      <c r="F422" s="7" t="s">
        <v>803</v>
      </c>
      <c r="G422" s="2" t="s">
        <v>27</v>
      </c>
      <c r="L422" s="1" t="s">
        <v>1220</v>
      </c>
      <c r="M422" s="2" t="s">
        <v>804</v>
      </c>
      <c r="P422" s="2" t="s">
        <v>805</v>
      </c>
      <c r="Q422" s="1" t="e">
        <f t="shared" si="20"/>
        <v>#REF!</v>
      </c>
    </row>
    <row r="423" spans="1:17" ht="12" customHeight="1" outlineLevel="4" x14ac:dyDescent="0.35">
      <c r="A423" s="2" t="str">
        <f t="shared" ref="A423:A486" si="21">$E$2</f>
        <v>CC415B</v>
      </c>
      <c r="B423" s="1">
        <v>4</v>
      </c>
      <c r="C423" s="1" t="s">
        <v>19</v>
      </c>
      <c r="D423" s="2" t="s">
        <v>30</v>
      </c>
      <c r="E423" s="11" t="s">
        <v>806</v>
      </c>
      <c r="F423" s="1" t="s">
        <v>807</v>
      </c>
      <c r="G423" s="2" t="s">
        <v>22</v>
      </c>
      <c r="L423" s="1" t="s">
        <v>1221</v>
      </c>
      <c r="M423" s="2" t="s">
        <v>808</v>
      </c>
      <c r="P423" s="2" t="s">
        <v>809</v>
      </c>
      <c r="Q423" s="1" t="e">
        <f t="shared" si="20"/>
        <v>#REF!</v>
      </c>
    </row>
    <row r="424" spans="1:17" ht="12" customHeight="1" outlineLevel="4" x14ac:dyDescent="0.35">
      <c r="A424" s="2" t="str">
        <f t="shared" si="21"/>
        <v>CC415B</v>
      </c>
      <c r="B424" s="1">
        <v>4</v>
      </c>
      <c r="C424" s="1" t="s">
        <v>19</v>
      </c>
      <c r="D424" s="2" t="s">
        <v>25</v>
      </c>
      <c r="E424" s="11" t="s">
        <v>95</v>
      </c>
      <c r="F424" s="1" t="s">
        <v>810</v>
      </c>
      <c r="G424" s="2" t="s">
        <v>27</v>
      </c>
      <c r="L424" s="1" t="s">
        <v>1222</v>
      </c>
      <c r="M424" s="2" t="s">
        <v>95</v>
      </c>
      <c r="P424" s="2" t="s">
        <v>811</v>
      </c>
      <c r="Q424" s="1" t="e">
        <f t="shared" si="20"/>
        <v>#REF!</v>
      </c>
    </row>
    <row r="425" spans="1:17" ht="12" customHeight="1" outlineLevel="4" x14ac:dyDescent="0.35">
      <c r="A425" s="2" t="str">
        <f t="shared" si="21"/>
        <v>CC415B</v>
      </c>
      <c r="B425" s="1">
        <v>4</v>
      </c>
      <c r="C425" s="1" t="s">
        <v>19</v>
      </c>
      <c r="D425" s="2" t="s">
        <v>25</v>
      </c>
      <c r="E425" s="11" t="s">
        <v>789</v>
      </c>
      <c r="F425" s="1" t="s">
        <v>790</v>
      </c>
      <c r="G425" s="2" t="s">
        <v>27</v>
      </c>
      <c r="J425" s="1" t="s">
        <v>1214</v>
      </c>
      <c r="L425" s="1" t="s">
        <v>1223</v>
      </c>
      <c r="M425" s="2" t="s">
        <v>791</v>
      </c>
      <c r="P425" s="2" t="s">
        <v>792</v>
      </c>
      <c r="Q425" s="1" t="e">
        <f t="shared" si="20"/>
        <v>#REF!</v>
      </c>
    </row>
    <row r="426" spans="1:17" ht="12" customHeight="1" outlineLevel="3" x14ac:dyDescent="0.35">
      <c r="A426" s="3" t="str">
        <f t="shared" si="21"/>
        <v>CC415B</v>
      </c>
      <c r="B426" s="4">
        <v>3</v>
      </c>
      <c r="C426" s="3" t="s">
        <v>24</v>
      </c>
      <c r="D426" s="3" t="s">
        <v>30</v>
      </c>
      <c r="E426" s="10" t="s">
        <v>290</v>
      </c>
      <c r="F426" s="4"/>
      <c r="G426" s="3" t="s">
        <v>22</v>
      </c>
      <c r="H426" s="4"/>
      <c r="I426" s="4"/>
      <c r="J426" s="4"/>
      <c r="K426" s="4"/>
      <c r="L426" s="4"/>
      <c r="M426" s="3" t="s">
        <v>291</v>
      </c>
      <c r="N426" s="4"/>
      <c r="O426" s="4"/>
      <c r="P426" s="3" t="s">
        <v>880</v>
      </c>
      <c r="Q426" s="1" t="e">
        <f t="shared" si="20"/>
        <v>#REF!</v>
      </c>
    </row>
    <row r="427" spans="1:17" ht="12" customHeight="1" outlineLevel="4" x14ac:dyDescent="0.35">
      <c r="A427" s="2" t="str">
        <f t="shared" si="21"/>
        <v>CC415B</v>
      </c>
      <c r="B427" s="1">
        <v>4</v>
      </c>
      <c r="C427" s="1" t="s">
        <v>19</v>
      </c>
      <c r="D427" s="2" t="s">
        <v>30</v>
      </c>
      <c r="E427" s="11" t="s">
        <v>293</v>
      </c>
      <c r="F427" s="7" t="s">
        <v>881</v>
      </c>
      <c r="G427" s="2" t="s">
        <v>22</v>
      </c>
      <c r="K427" s="2" t="s">
        <v>882</v>
      </c>
      <c r="M427" s="2" t="s">
        <v>812</v>
      </c>
      <c r="P427" s="2" t="s">
        <v>883</v>
      </c>
      <c r="Q427" s="1" t="e">
        <f t="shared" si="20"/>
        <v>#REF!</v>
      </c>
    </row>
    <row r="428" spans="1:17" ht="12" customHeight="1" outlineLevel="4" x14ac:dyDescent="0.35">
      <c r="A428" s="2" t="str">
        <f t="shared" si="21"/>
        <v>CC415B</v>
      </c>
      <c r="B428" s="1">
        <v>4</v>
      </c>
      <c r="C428" s="1" t="s">
        <v>19</v>
      </c>
      <c r="D428" s="2" t="s">
        <v>25</v>
      </c>
      <c r="E428" s="11" t="s">
        <v>806</v>
      </c>
      <c r="F428" s="1" t="s">
        <v>807</v>
      </c>
      <c r="G428" s="2" t="s">
        <v>27</v>
      </c>
      <c r="M428" s="2" t="s">
        <v>808</v>
      </c>
      <c r="P428" s="2" t="s">
        <v>809</v>
      </c>
      <c r="Q428" s="1" t="e">
        <f t="shared" si="20"/>
        <v>#REF!</v>
      </c>
    </row>
    <row r="429" spans="1:17" ht="12" customHeight="1" outlineLevel="4" x14ac:dyDescent="0.35">
      <c r="A429" s="2" t="str">
        <f t="shared" si="21"/>
        <v>CC415B</v>
      </c>
      <c r="B429" s="1">
        <v>4</v>
      </c>
      <c r="C429" s="1" t="s">
        <v>19</v>
      </c>
      <c r="D429" s="2" t="s">
        <v>25</v>
      </c>
      <c r="E429" s="11" t="s">
        <v>789</v>
      </c>
      <c r="F429" s="1" t="s">
        <v>790</v>
      </c>
      <c r="G429" s="2" t="s">
        <v>27</v>
      </c>
      <c r="J429" s="1" t="s">
        <v>1214</v>
      </c>
      <c r="M429" s="2" t="s">
        <v>791</v>
      </c>
      <c r="P429" s="2" t="s">
        <v>792</v>
      </c>
      <c r="Q429" s="1" t="e">
        <f t="shared" si="20"/>
        <v>#REF!</v>
      </c>
    </row>
    <row r="430" spans="1:17" ht="12" customHeight="1" outlineLevel="3" x14ac:dyDescent="0.35">
      <c r="A430" s="3" t="str">
        <f t="shared" si="21"/>
        <v>CC415B</v>
      </c>
      <c r="B430" s="4">
        <v>3</v>
      </c>
      <c r="C430" s="3" t="s">
        <v>24</v>
      </c>
      <c r="D430" s="3" t="s">
        <v>53</v>
      </c>
      <c r="E430" s="10" t="s">
        <v>105</v>
      </c>
      <c r="F430" s="4"/>
      <c r="G430" s="3" t="s">
        <v>22</v>
      </c>
      <c r="H430" s="4"/>
      <c r="I430" s="4"/>
      <c r="J430" s="4"/>
      <c r="K430" s="4"/>
      <c r="L430" s="4"/>
      <c r="M430" s="3" t="s">
        <v>106</v>
      </c>
      <c r="N430" s="4"/>
      <c r="O430" s="4"/>
      <c r="P430" s="3" t="s">
        <v>884</v>
      </c>
      <c r="Q430" s="1" t="e">
        <f t="shared" si="20"/>
        <v>#REF!</v>
      </c>
    </row>
    <row r="431" spans="1:17" ht="12" customHeight="1" outlineLevel="4" x14ac:dyDescent="0.35">
      <c r="A431" s="2" t="str">
        <f t="shared" si="21"/>
        <v>CC415B</v>
      </c>
      <c r="B431" s="1">
        <v>4</v>
      </c>
      <c r="C431" s="1" t="s">
        <v>19</v>
      </c>
      <c r="D431" s="2" t="s">
        <v>25</v>
      </c>
      <c r="E431" s="11" t="s">
        <v>774</v>
      </c>
      <c r="F431" s="7" t="s">
        <v>853</v>
      </c>
      <c r="G431" s="2" t="s">
        <v>27</v>
      </c>
      <c r="M431" s="2" t="s">
        <v>776</v>
      </c>
      <c r="P431" s="2" t="s">
        <v>885</v>
      </c>
      <c r="Q431" s="1" t="e">
        <f t="shared" si="20"/>
        <v>#REF!</v>
      </c>
    </row>
    <row r="432" spans="1:17" ht="12" customHeight="1" outlineLevel="4" x14ac:dyDescent="0.35">
      <c r="A432" s="2" t="str">
        <f t="shared" si="21"/>
        <v>CC415B</v>
      </c>
      <c r="B432" s="1">
        <v>4</v>
      </c>
      <c r="C432" s="1" t="s">
        <v>19</v>
      </c>
      <c r="D432" s="2" t="s">
        <v>25</v>
      </c>
      <c r="E432" s="11" t="s">
        <v>4</v>
      </c>
      <c r="F432" s="7" t="s">
        <v>803</v>
      </c>
      <c r="G432" s="2" t="s">
        <v>27</v>
      </c>
      <c r="M432" s="2" t="s">
        <v>4</v>
      </c>
      <c r="P432" s="2" t="s">
        <v>886</v>
      </c>
      <c r="Q432" s="1" t="e">
        <f t="shared" si="20"/>
        <v>#REF!</v>
      </c>
    </row>
    <row r="433" spans="1:18" ht="12" customHeight="1" outlineLevel="4" x14ac:dyDescent="0.35">
      <c r="A433" s="2" t="str">
        <f t="shared" si="21"/>
        <v>CC415B</v>
      </c>
      <c r="B433" s="1">
        <v>4</v>
      </c>
      <c r="C433" s="1" t="s">
        <v>19</v>
      </c>
      <c r="D433" s="2" t="s">
        <v>25</v>
      </c>
      <c r="E433" s="11" t="s">
        <v>813</v>
      </c>
      <c r="F433" s="7" t="s">
        <v>814</v>
      </c>
      <c r="G433" s="2" t="s">
        <v>27</v>
      </c>
      <c r="M433" s="2" t="s">
        <v>815</v>
      </c>
      <c r="P433" s="2" t="s">
        <v>816</v>
      </c>
      <c r="Q433" s="1" t="e">
        <f t="shared" si="20"/>
        <v>#REF!</v>
      </c>
    </row>
    <row r="434" spans="1:18" ht="12" customHeight="1" outlineLevel="4" x14ac:dyDescent="0.35">
      <c r="A434" s="2" t="str">
        <f t="shared" si="21"/>
        <v>CC415B</v>
      </c>
      <c r="B434" s="1">
        <v>4</v>
      </c>
      <c r="C434" s="1" t="s">
        <v>19</v>
      </c>
      <c r="D434" s="2" t="s">
        <v>25</v>
      </c>
      <c r="E434" s="11" t="s">
        <v>111</v>
      </c>
      <c r="F434" s="7" t="s">
        <v>817</v>
      </c>
      <c r="G434" s="2" t="s">
        <v>27</v>
      </c>
      <c r="M434" s="2" t="s">
        <v>887</v>
      </c>
      <c r="P434" s="2" t="s">
        <v>818</v>
      </c>
      <c r="Q434" s="1" t="e">
        <f t="shared" si="20"/>
        <v>#REF!</v>
      </c>
    </row>
    <row r="435" spans="1:18" ht="12" customHeight="1" outlineLevel="2" x14ac:dyDescent="0.35">
      <c r="A435" s="3" t="str">
        <f t="shared" si="21"/>
        <v>CC415B</v>
      </c>
      <c r="B435" s="4">
        <v>2</v>
      </c>
      <c r="C435" s="3" t="s">
        <v>24</v>
      </c>
      <c r="D435" s="3" t="s">
        <v>30</v>
      </c>
      <c r="E435" s="8" t="s">
        <v>894</v>
      </c>
      <c r="F435" s="4"/>
      <c r="G435" s="3" t="s">
        <v>22</v>
      </c>
      <c r="H435" s="4"/>
      <c r="I435" s="4"/>
      <c r="J435" s="4"/>
      <c r="K435" s="4"/>
      <c r="L435" s="4" t="s">
        <v>1224</v>
      </c>
      <c r="M435" s="3" t="s">
        <v>895</v>
      </c>
      <c r="N435" s="4"/>
      <c r="O435" s="4"/>
      <c r="P435" s="3" t="s">
        <v>896</v>
      </c>
      <c r="Q435" s="1" t="e">
        <f t="shared" si="20"/>
        <v>#REF!</v>
      </c>
      <c r="R435" s="2" t="s">
        <v>897</v>
      </c>
    </row>
    <row r="436" spans="1:18" ht="12" customHeight="1" outlineLevel="3" x14ac:dyDescent="0.35">
      <c r="A436" s="2" t="str">
        <f t="shared" si="21"/>
        <v>CC415B</v>
      </c>
      <c r="B436" s="1">
        <v>3</v>
      </c>
      <c r="C436" s="1" t="s">
        <v>19</v>
      </c>
      <c r="D436" s="2" t="s">
        <v>30</v>
      </c>
      <c r="E436" s="9" t="s">
        <v>833</v>
      </c>
      <c r="F436" s="7" t="s">
        <v>829</v>
      </c>
      <c r="G436" s="2" t="s">
        <v>22</v>
      </c>
      <c r="M436" s="2" t="s">
        <v>833</v>
      </c>
      <c r="P436" s="2" t="s">
        <v>898</v>
      </c>
      <c r="Q436" s="1" t="e">
        <f t="shared" si="20"/>
        <v>#REF!</v>
      </c>
      <c r="R436" s="2" t="s">
        <v>899</v>
      </c>
    </row>
    <row r="437" spans="1:18" ht="12" customHeight="1" outlineLevel="3" x14ac:dyDescent="0.35">
      <c r="A437" s="2" t="str">
        <f t="shared" si="21"/>
        <v>CC415B</v>
      </c>
      <c r="B437" s="1">
        <v>3</v>
      </c>
      <c r="C437" s="1" t="s">
        <v>19</v>
      </c>
      <c r="D437" s="2" t="s">
        <v>30</v>
      </c>
      <c r="E437" s="9" t="s">
        <v>222</v>
      </c>
      <c r="F437" s="7" t="s">
        <v>829</v>
      </c>
      <c r="G437" s="2" t="s">
        <v>22</v>
      </c>
      <c r="M437" s="2" t="s">
        <v>222</v>
      </c>
      <c r="P437" s="2" t="s">
        <v>900</v>
      </c>
      <c r="Q437" s="1" t="e">
        <f t="shared" si="20"/>
        <v>#REF!</v>
      </c>
      <c r="R437" s="2" t="s">
        <v>899</v>
      </c>
    </row>
    <row r="438" spans="1:18" ht="12" customHeight="1" outlineLevel="3" x14ac:dyDescent="0.35">
      <c r="A438" s="2" t="str">
        <f t="shared" si="21"/>
        <v>CC415B</v>
      </c>
      <c r="B438" s="1">
        <v>3</v>
      </c>
      <c r="C438" s="1" t="s">
        <v>19</v>
      </c>
      <c r="D438" s="2" t="s">
        <v>30</v>
      </c>
      <c r="E438" s="9" t="s">
        <v>901</v>
      </c>
      <c r="F438" s="7" t="s">
        <v>902</v>
      </c>
      <c r="G438" s="2" t="s">
        <v>22</v>
      </c>
      <c r="L438" s="1" t="s">
        <v>1225</v>
      </c>
      <c r="M438" s="2" t="s">
        <v>901</v>
      </c>
      <c r="P438" s="2" t="s">
        <v>903</v>
      </c>
      <c r="Q438" s="1" t="e">
        <f t="shared" si="20"/>
        <v>#REF!</v>
      </c>
      <c r="R438" s="2" t="s">
        <v>904</v>
      </c>
    </row>
    <row r="439" spans="1:18" ht="12" customHeight="1" outlineLevel="3" x14ac:dyDescent="0.35">
      <c r="A439" s="2" t="str">
        <f t="shared" si="21"/>
        <v>CC415B</v>
      </c>
      <c r="B439" s="1">
        <v>3</v>
      </c>
      <c r="C439" s="1" t="s">
        <v>19</v>
      </c>
      <c r="D439" s="2" t="s">
        <v>30</v>
      </c>
      <c r="E439" s="9" t="s">
        <v>905</v>
      </c>
      <c r="F439" s="7" t="s">
        <v>827</v>
      </c>
      <c r="G439" s="2" t="s">
        <v>22</v>
      </c>
      <c r="M439" s="2" t="s">
        <v>906</v>
      </c>
      <c r="P439" s="2" t="s">
        <v>907</v>
      </c>
      <c r="Q439" s="1" t="e">
        <f t="shared" si="20"/>
        <v>#REF!</v>
      </c>
      <c r="R439" s="2" t="s">
        <v>908</v>
      </c>
    </row>
    <row r="440" spans="1:18" ht="12" customHeight="1" outlineLevel="2" x14ac:dyDescent="0.35">
      <c r="A440" s="3" t="str">
        <f t="shared" si="21"/>
        <v>CC415B</v>
      </c>
      <c r="B440" s="4">
        <v>2</v>
      </c>
      <c r="C440" s="3" t="s">
        <v>24</v>
      </c>
      <c r="D440" s="3" t="s">
        <v>30</v>
      </c>
      <c r="E440" s="8" t="s">
        <v>909</v>
      </c>
      <c r="F440" s="4"/>
      <c r="G440" s="3" t="s">
        <v>22</v>
      </c>
      <c r="H440" s="4"/>
      <c r="I440" s="4"/>
      <c r="J440" s="4"/>
      <c r="K440" s="4"/>
      <c r="L440" s="4"/>
      <c r="M440" s="3" t="s">
        <v>910</v>
      </c>
      <c r="N440" s="4"/>
      <c r="O440" s="4"/>
      <c r="P440" s="3" t="s">
        <v>911</v>
      </c>
      <c r="Q440" s="1" t="e">
        <f t="shared" si="20"/>
        <v>#REF!</v>
      </c>
      <c r="R440" s="2" t="s">
        <v>912</v>
      </c>
    </row>
    <row r="441" spans="1:18" ht="12" customHeight="1" outlineLevel="3" x14ac:dyDescent="0.35">
      <c r="A441" s="2" t="str">
        <f t="shared" si="21"/>
        <v>CC415B</v>
      </c>
      <c r="B441" s="1">
        <v>3</v>
      </c>
      <c r="C441" s="1" t="s">
        <v>19</v>
      </c>
      <c r="D441" s="2" t="s">
        <v>30</v>
      </c>
      <c r="E441" s="9" t="s">
        <v>901</v>
      </c>
      <c r="F441" s="7" t="s">
        <v>902</v>
      </c>
      <c r="G441" s="2" t="s">
        <v>22</v>
      </c>
      <c r="M441" s="2" t="s">
        <v>901</v>
      </c>
      <c r="P441" s="2" t="s">
        <v>903</v>
      </c>
      <c r="Q441" s="1" t="e">
        <f t="shared" si="20"/>
        <v>#REF!</v>
      </c>
      <c r="R441" s="2" t="s">
        <v>904</v>
      </c>
    </row>
    <row r="442" spans="1:18" ht="12" customHeight="1" outlineLevel="3" x14ac:dyDescent="0.35">
      <c r="A442" s="2" t="str">
        <f t="shared" si="21"/>
        <v>CC415B</v>
      </c>
      <c r="B442" s="1">
        <v>3</v>
      </c>
      <c r="C442" s="1" t="s">
        <v>19</v>
      </c>
      <c r="D442" s="2" t="s">
        <v>30</v>
      </c>
      <c r="E442" s="9" t="s">
        <v>913</v>
      </c>
      <c r="F442" s="7" t="s">
        <v>829</v>
      </c>
      <c r="G442" s="2" t="s">
        <v>22</v>
      </c>
      <c r="L442" s="1" t="s">
        <v>1226</v>
      </c>
      <c r="M442" s="2" t="s">
        <v>914</v>
      </c>
      <c r="P442" s="2" t="s">
        <v>898</v>
      </c>
      <c r="Q442" s="1" t="e">
        <f t="shared" si="20"/>
        <v>#REF!</v>
      </c>
      <c r="R442" s="2" t="s">
        <v>899</v>
      </c>
    </row>
    <row r="443" spans="1:18" ht="12" customHeight="1" outlineLevel="3" x14ac:dyDescent="0.35">
      <c r="A443" s="2" t="str">
        <f t="shared" si="21"/>
        <v>CC415B</v>
      </c>
      <c r="B443" s="1">
        <v>3</v>
      </c>
      <c r="C443" s="1" t="s">
        <v>19</v>
      </c>
      <c r="D443" s="2" t="s">
        <v>30</v>
      </c>
      <c r="E443" s="9" t="s">
        <v>905</v>
      </c>
      <c r="F443" s="7" t="s">
        <v>827</v>
      </c>
      <c r="G443" s="2" t="s">
        <v>22</v>
      </c>
      <c r="L443" s="1" t="s">
        <v>1227</v>
      </c>
      <c r="M443" s="2" t="s">
        <v>906</v>
      </c>
      <c r="P443" s="2" t="s">
        <v>907</v>
      </c>
      <c r="Q443" s="1" t="e">
        <f t="shared" si="20"/>
        <v>#REF!</v>
      </c>
      <c r="R443" s="2" t="s">
        <v>908</v>
      </c>
    </row>
    <row r="444" spans="1:18" ht="12" customHeight="1" outlineLevel="2" x14ac:dyDescent="0.35">
      <c r="A444" s="3" t="str">
        <f t="shared" si="21"/>
        <v>CC415B</v>
      </c>
      <c r="B444" s="4">
        <v>2</v>
      </c>
      <c r="C444" s="3" t="s">
        <v>24</v>
      </c>
      <c r="D444" s="3" t="s">
        <v>314</v>
      </c>
      <c r="E444" s="8" t="s">
        <v>915</v>
      </c>
      <c r="F444" s="4"/>
      <c r="G444" s="3" t="s">
        <v>22</v>
      </c>
      <c r="H444" s="4"/>
      <c r="I444" s="4"/>
      <c r="J444" s="4"/>
      <c r="K444" s="4"/>
      <c r="L444" s="4"/>
      <c r="M444" s="3" t="s">
        <v>916</v>
      </c>
      <c r="N444" s="4"/>
      <c r="O444" s="4"/>
      <c r="P444" s="3" t="s">
        <v>917</v>
      </c>
      <c r="Q444" s="1" t="e">
        <f t="shared" si="20"/>
        <v>#REF!</v>
      </c>
    </row>
    <row r="445" spans="1:18" ht="12" customHeight="1" outlineLevel="3" x14ac:dyDescent="0.35">
      <c r="A445" s="2" t="str">
        <f t="shared" si="21"/>
        <v>CC415B</v>
      </c>
      <c r="B445" s="1">
        <v>3</v>
      </c>
      <c r="C445" s="1" t="s">
        <v>19</v>
      </c>
      <c r="D445" s="2" t="s">
        <v>25</v>
      </c>
      <c r="E445" s="9" t="s">
        <v>774</v>
      </c>
      <c r="F445" s="7" t="s">
        <v>853</v>
      </c>
      <c r="G445" s="2" t="s">
        <v>27</v>
      </c>
      <c r="M445" s="2" t="s">
        <v>776</v>
      </c>
      <c r="P445" s="2" t="s">
        <v>918</v>
      </c>
      <c r="Q445" s="1" t="e">
        <f t="shared" si="20"/>
        <v>#REF!</v>
      </c>
      <c r="R445" s="2" t="s">
        <v>830</v>
      </c>
    </row>
    <row r="446" spans="1:18" ht="12" customHeight="1" outlineLevel="3" x14ac:dyDescent="0.35">
      <c r="A446" s="3" t="str">
        <f t="shared" si="21"/>
        <v>CC415B</v>
      </c>
      <c r="B446" s="4">
        <v>3</v>
      </c>
      <c r="C446" s="3" t="s">
        <v>24</v>
      </c>
      <c r="D446" s="3" t="s">
        <v>30</v>
      </c>
      <c r="E446" s="10" t="s">
        <v>627</v>
      </c>
      <c r="F446" s="4"/>
      <c r="G446" s="3" t="s">
        <v>22</v>
      </c>
      <c r="H446" s="4"/>
      <c r="I446" s="4"/>
      <c r="J446" s="4"/>
      <c r="K446" s="4"/>
      <c r="L446" s="4"/>
      <c r="M446" s="3" t="s">
        <v>629</v>
      </c>
      <c r="N446" s="4"/>
      <c r="O446" s="4"/>
      <c r="P446" s="3" t="s">
        <v>919</v>
      </c>
      <c r="Q446" s="1" t="e">
        <f t="shared" si="20"/>
        <v>#REF!</v>
      </c>
    </row>
    <row r="447" spans="1:18" ht="12" customHeight="1" outlineLevel="4" x14ac:dyDescent="0.35">
      <c r="A447" s="2" t="str">
        <f t="shared" si="21"/>
        <v>CC415B</v>
      </c>
      <c r="B447" s="1">
        <v>4</v>
      </c>
      <c r="C447" s="1" t="s">
        <v>19</v>
      </c>
      <c r="D447" s="2" t="s">
        <v>25</v>
      </c>
      <c r="E447" s="11" t="s">
        <v>631</v>
      </c>
      <c r="F447" s="7" t="s">
        <v>820</v>
      </c>
      <c r="G447" s="2" t="s">
        <v>27</v>
      </c>
      <c r="M447" s="2" t="s">
        <v>920</v>
      </c>
      <c r="P447" s="2" t="s">
        <v>822</v>
      </c>
      <c r="Q447" s="1" t="e">
        <f t="shared" si="20"/>
        <v>#REF!</v>
      </c>
    </row>
    <row r="448" spans="1:18" ht="12" customHeight="1" outlineLevel="4" x14ac:dyDescent="0.35">
      <c r="A448" s="2" t="str">
        <f t="shared" si="21"/>
        <v>CC415B</v>
      </c>
      <c r="B448" s="1">
        <v>4</v>
      </c>
      <c r="C448" s="1" t="s">
        <v>19</v>
      </c>
      <c r="D448" s="2" t="s">
        <v>25</v>
      </c>
      <c r="E448" s="11" t="s">
        <v>635</v>
      </c>
      <c r="F448" s="7" t="s">
        <v>824</v>
      </c>
      <c r="G448" s="2" t="s">
        <v>27</v>
      </c>
      <c r="M448" s="2" t="s">
        <v>921</v>
      </c>
      <c r="P448" s="2" t="s">
        <v>922</v>
      </c>
      <c r="Q448" s="1" t="e">
        <f t="shared" si="20"/>
        <v>#REF!</v>
      </c>
    </row>
    <row r="449" spans="1:18" ht="12" customHeight="1" outlineLevel="4" x14ac:dyDescent="0.35">
      <c r="A449" s="2" t="str">
        <f t="shared" si="21"/>
        <v>CC415B</v>
      </c>
      <c r="B449" s="1">
        <v>4</v>
      </c>
      <c r="C449" s="1" t="s">
        <v>19</v>
      </c>
      <c r="D449" s="2" t="s">
        <v>30</v>
      </c>
      <c r="E449" s="11" t="s">
        <v>638</v>
      </c>
      <c r="F449" s="7" t="s">
        <v>824</v>
      </c>
      <c r="G449" s="2" t="s">
        <v>22</v>
      </c>
      <c r="M449" s="2" t="s">
        <v>923</v>
      </c>
      <c r="P449" s="2" t="s">
        <v>922</v>
      </c>
      <c r="Q449" s="1" t="e">
        <f t="shared" si="20"/>
        <v>#REF!</v>
      </c>
    </row>
    <row r="450" spans="1:18" ht="12" customHeight="1" outlineLevel="3" x14ac:dyDescent="0.35">
      <c r="A450" s="3" t="str">
        <f t="shared" si="21"/>
        <v>CC415B</v>
      </c>
      <c r="B450" s="4">
        <v>3</v>
      </c>
      <c r="C450" s="3" t="s">
        <v>24</v>
      </c>
      <c r="D450" s="3" t="s">
        <v>193</v>
      </c>
      <c r="E450" s="10" t="s">
        <v>642</v>
      </c>
      <c r="F450" s="4"/>
      <c r="G450" s="3" t="s">
        <v>22</v>
      </c>
      <c r="H450" s="4"/>
      <c r="I450" s="4"/>
      <c r="J450" s="4"/>
      <c r="K450" s="4"/>
      <c r="L450" s="4"/>
      <c r="M450" s="3" t="s">
        <v>644</v>
      </c>
      <c r="N450" s="4"/>
      <c r="O450" s="4"/>
      <c r="P450" s="3" t="s">
        <v>924</v>
      </c>
      <c r="Q450" s="1" t="e">
        <f t="shared" si="20"/>
        <v>#REF!</v>
      </c>
    </row>
    <row r="451" spans="1:18" ht="12" customHeight="1" outlineLevel="4" x14ac:dyDescent="0.35">
      <c r="A451" s="2" t="str">
        <f t="shared" si="21"/>
        <v>CC415B</v>
      </c>
      <c r="B451" s="1">
        <v>4</v>
      </c>
      <c r="C451" s="1" t="s">
        <v>19</v>
      </c>
      <c r="D451" s="2" t="s">
        <v>25</v>
      </c>
      <c r="E451" s="11" t="s">
        <v>774</v>
      </c>
      <c r="F451" s="7" t="s">
        <v>853</v>
      </c>
      <c r="G451" s="2" t="s">
        <v>27</v>
      </c>
      <c r="M451" s="2" t="s">
        <v>776</v>
      </c>
      <c r="P451" s="2" t="s">
        <v>885</v>
      </c>
      <c r="Q451" s="1" t="e">
        <f t="shared" si="20"/>
        <v>#REF!</v>
      </c>
    </row>
    <row r="452" spans="1:18" ht="12" customHeight="1" outlineLevel="4" x14ac:dyDescent="0.35">
      <c r="A452" s="2" t="str">
        <f t="shared" si="21"/>
        <v>CC415B</v>
      </c>
      <c r="B452" s="1">
        <v>4</v>
      </c>
      <c r="C452" s="1" t="s">
        <v>19</v>
      </c>
      <c r="D452" s="2" t="s">
        <v>25</v>
      </c>
      <c r="E452" s="11" t="s">
        <v>642</v>
      </c>
      <c r="F452" s="7" t="s">
        <v>825</v>
      </c>
      <c r="G452" s="2" t="s">
        <v>27</v>
      </c>
      <c r="M452" s="2" t="s">
        <v>644</v>
      </c>
      <c r="P452" s="2" t="s">
        <v>826</v>
      </c>
      <c r="Q452" s="1" t="e">
        <f t="shared" si="20"/>
        <v>#REF!</v>
      </c>
    </row>
    <row r="453" spans="1:18" ht="12" customHeight="1" outlineLevel="3" x14ac:dyDescent="0.35">
      <c r="A453" s="3" t="str">
        <f t="shared" si="21"/>
        <v>CC415B</v>
      </c>
      <c r="B453" s="4">
        <v>3</v>
      </c>
      <c r="C453" s="3" t="s">
        <v>24</v>
      </c>
      <c r="D453" s="3" t="s">
        <v>30</v>
      </c>
      <c r="E453" s="10" t="s">
        <v>338</v>
      </c>
      <c r="F453" s="4"/>
      <c r="G453" s="3" t="s">
        <v>22</v>
      </c>
      <c r="H453" s="4"/>
      <c r="I453" s="4"/>
      <c r="J453" s="4"/>
      <c r="K453" s="4"/>
      <c r="L453" s="4"/>
      <c r="M453" s="3" t="s">
        <v>828</v>
      </c>
      <c r="N453" s="4"/>
      <c r="O453" s="4"/>
      <c r="P453" s="3" t="s">
        <v>925</v>
      </c>
      <c r="Q453" s="1" t="e">
        <f t="shared" si="20"/>
        <v>#REF!</v>
      </c>
    </row>
    <row r="454" spans="1:18" ht="12" customHeight="1" outlineLevel="4" x14ac:dyDescent="0.35">
      <c r="A454" s="2" t="str">
        <f t="shared" si="21"/>
        <v>CC415B</v>
      </c>
      <c r="B454" s="1">
        <v>4</v>
      </c>
      <c r="C454" s="1" t="s">
        <v>19</v>
      </c>
      <c r="D454" s="2" t="s">
        <v>25</v>
      </c>
      <c r="E454" s="11" t="s">
        <v>338</v>
      </c>
      <c r="F454" s="7" t="s">
        <v>827</v>
      </c>
      <c r="G454" s="2" t="s">
        <v>27</v>
      </c>
      <c r="M454" s="2" t="s">
        <v>828</v>
      </c>
      <c r="P454" s="2" t="s">
        <v>831</v>
      </c>
      <c r="Q454" s="1" t="e">
        <f t="shared" si="20"/>
        <v>#REF!</v>
      </c>
      <c r="R454" s="2" t="s">
        <v>832</v>
      </c>
    </row>
    <row r="455" spans="1:18" ht="12" customHeight="1" outlineLevel="2" x14ac:dyDescent="0.35">
      <c r="A455" s="3" t="str">
        <f t="shared" si="21"/>
        <v>CC415B</v>
      </c>
      <c r="B455" s="4">
        <v>2</v>
      </c>
      <c r="C455" s="3" t="s">
        <v>24</v>
      </c>
      <c r="D455" s="3" t="s">
        <v>314</v>
      </c>
      <c r="E455" s="8" t="s">
        <v>926</v>
      </c>
      <c r="F455" s="4"/>
      <c r="G455" s="3" t="s">
        <v>22</v>
      </c>
      <c r="H455" s="4"/>
      <c r="I455" s="4"/>
      <c r="J455" s="4"/>
      <c r="K455" s="4"/>
      <c r="L455" s="4"/>
      <c r="M455" s="3" t="s">
        <v>927</v>
      </c>
      <c r="N455" s="4"/>
      <c r="O455" s="4"/>
      <c r="P455" s="3" t="s">
        <v>928</v>
      </c>
      <c r="Q455" s="1" t="e">
        <f t="shared" si="20"/>
        <v>#REF!</v>
      </c>
    </row>
    <row r="456" spans="1:18" ht="12" customHeight="1" outlineLevel="3" x14ac:dyDescent="0.35">
      <c r="A456" s="2" t="str">
        <f t="shared" si="21"/>
        <v>CC415B</v>
      </c>
      <c r="B456" s="1">
        <v>3</v>
      </c>
      <c r="C456" s="1" t="s">
        <v>19</v>
      </c>
      <c r="D456" s="2" t="s">
        <v>25</v>
      </c>
      <c r="E456" s="9" t="s">
        <v>774</v>
      </c>
      <c r="F456" s="7" t="s">
        <v>853</v>
      </c>
      <c r="G456" s="2" t="s">
        <v>27</v>
      </c>
      <c r="M456" s="2" t="s">
        <v>776</v>
      </c>
      <c r="P456" s="2" t="s">
        <v>885</v>
      </c>
      <c r="Q456" s="1" t="e">
        <f t="shared" si="20"/>
        <v>#REF!</v>
      </c>
    </row>
    <row r="457" spans="1:18" ht="12" customHeight="1" outlineLevel="3" x14ac:dyDescent="0.35">
      <c r="A457" s="3" t="str">
        <f t="shared" si="21"/>
        <v>CC415B</v>
      </c>
      <c r="B457" s="4">
        <v>3</v>
      </c>
      <c r="C457" s="3" t="s">
        <v>24</v>
      </c>
      <c r="D457" s="3" t="s">
        <v>30</v>
      </c>
      <c r="E457" s="10" t="s">
        <v>929</v>
      </c>
      <c r="F457" s="4"/>
      <c r="G457" s="3" t="s">
        <v>22</v>
      </c>
      <c r="H457" s="4"/>
      <c r="I457" s="4"/>
      <c r="J457" s="4"/>
      <c r="K457" s="4"/>
      <c r="L457" s="4"/>
      <c r="M457" s="3" t="s">
        <v>930</v>
      </c>
      <c r="N457" s="4"/>
      <c r="O457" s="4"/>
      <c r="P457" s="3" t="s">
        <v>931</v>
      </c>
      <c r="Q457" s="1" t="e">
        <f t="shared" si="20"/>
        <v>#REF!</v>
      </c>
    </row>
    <row r="458" spans="1:18" ht="12" customHeight="1" outlineLevel="4" x14ac:dyDescent="0.35">
      <c r="A458" s="2" t="str">
        <f t="shared" si="21"/>
        <v>CC415B</v>
      </c>
      <c r="B458" s="1">
        <v>4</v>
      </c>
      <c r="C458" s="1" t="s">
        <v>19</v>
      </c>
      <c r="D458" s="2" t="s">
        <v>30</v>
      </c>
      <c r="E458" s="11" t="s">
        <v>222</v>
      </c>
      <c r="F458" s="7" t="s">
        <v>829</v>
      </c>
      <c r="G458" s="2" t="s">
        <v>22</v>
      </c>
      <c r="M458" s="2" t="s">
        <v>222</v>
      </c>
      <c r="P458" s="2" t="s">
        <v>900</v>
      </c>
      <c r="Q458" s="1" t="e">
        <f t="shared" si="20"/>
        <v>#REF!</v>
      </c>
    </row>
    <row r="459" spans="1:18" ht="12" customHeight="1" outlineLevel="4" x14ac:dyDescent="0.35">
      <c r="A459" s="2" t="str">
        <f t="shared" si="21"/>
        <v>CC415B</v>
      </c>
      <c r="B459" s="1">
        <v>4</v>
      </c>
      <c r="C459" s="1" t="s">
        <v>19</v>
      </c>
      <c r="D459" s="2" t="s">
        <v>30</v>
      </c>
      <c r="E459" s="11" t="s">
        <v>905</v>
      </c>
      <c r="F459" s="7" t="s">
        <v>932</v>
      </c>
      <c r="G459" s="2" t="s">
        <v>22</v>
      </c>
      <c r="M459" s="2" t="s">
        <v>906</v>
      </c>
      <c r="P459" s="2" t="s">
        <v>933</v>
      </c>
      <c r="Q459" s="1" t="e">
        <f t="shared" si="20"/>
        <v>#REF!</v>
      </c>
    </row>
    <row r="460" spans="1:18" ht="12" customHeight="1" outlineLevel="3" x14ac:dyDescent="0.35">
      <c r="A460" s="3" t="str">
        <f t="shared" si="21"/>
        <v>CC415B</v>
      </c>
      <c r="B460" s="4">
        <v>3</v>
      </c>
      <c r="C460" s="3" t="s">
        <v>24</v>
      </c>
      <c r="D460" s="3" t="s">
        <v>53</v>
      </c>
      <c r="E460" s="10" t="s">
        <v>934</v>
      </c>
      <c r="F460" s="4"/>
      <c r="G460" s="3" t="s">
        <v>22</v>
      </c>
      <c r="H460" s="4"/>
      <c r="I460" s="4"/>
      <c r="J460" s="4"/>
      <c r="K460" s="4"/>
      <c r="L460" s="4"/>
      <c r="M460" s="3" t="s">
        <v>935</v>
      </c>
      <c r="N460" s="4"/>
      <c r="O460" s="4"/>
      <c r="P460" s="3" t="s">
        <v>936</v>
      </c>
      <c r="Q460" s="1" t="e">
        <f t="shared" si="20"/>
        <v>#REF!</v>
      </c>
    </row>
    <row r="461" spans="1:18" ht="12" customHeight="1" outlineLevel="4" x14ac:dyDescent="0.35">
      <c r="A461" s="2" t="str">
        <f t="shared" si="21"/>
        <v>CC415B</v>
      </c>
      <c r="B461" s="1">
        <v>4</v>
      </c>
      <c r="C461" s="1" t="s">
        <v>19</v>
      </c>
      <c r="D461" s="2" t="s">
        <v>25</v>
      </c>
      <c r="E461" s="11" t="s">
        <v>774</v>
      </c>
      <c r="F461" s="7" t="s">
        <v>853</v>
      </c>
      <c r="G461" s="2" t="s">
        <v>27</v>
      </c>
      <c r="M461" s="2" t="s">
        <v>776</v>
      </c>
      <c r="P461" s="2" t="s">
        <v>885</v>
      </c>
      <c r="Q461" s="1" t="e">
        <f t="shared" si="20"/>
        <v>#REF!</v>
      </c>
    </row>
    <row r="462" spans="1:18" ht="12" customHeight="1" outlineLevel="4" x14ac:dyDescent="0.35">
      <c r="A462" s="2" t="str">
        <f t="shared" si="21"/>
        <v>CC415B</v>
      </c>
      <c r="B462" s="1">
        <v>4</v>
      </c>
      <c r="C462" s="1" t="s">
        <v>19</v>
      </c>
      <c r="D462" s="2" t="s">
        <v>30</v>
      </c>
      <c r="E462" s="11" t="s">
        <v>222</v>
      </c>
      <c r="F462" s="7" t="s">
        <v>829</v>
      </c>
      <c r="G462" s="2" t="s">
        <v>22</v>
      </c>
      <c r="M462" s="2" t="s">
        <v>222</v>
      </c>
      <c r="P462" s="2" t="s">
        <v>900</v>
      </c>
      <c r="Q462" s="1" t="e">
        <f t="shared" si="20"/>
        <v>#REF!</v>
      </c>
    </row>
    <row r="463" spans="1:18" ht="12" customHeight="1" outlineLevel="4" x14ac:dyDescent="0.35">
      <c r="A463" s="2" t="str">
        <f t="shared" si="21"/>
        <v>CC415B</v>
      </c>
      <c r="B463" s="1">
        <v>4</v>
      </c>
      <c r="C463" s="1" t="s">
        <v>19</v>
      </c>
      <c r="D463" s="2" t="s">
        <v>30</v>
      </c>
      <c r="E463" s="11" t="s">
        <v>905</v>
      </c>
      <c r="F463" s="7" t="s">
        <v>932</v>
      </c>
      <c r="G463" s="2" t="s">
        <v>22</v>
      </c>
      <c r="M463" s="2" t="s">
        <v>906</v>
      </c>
      <c r="P463" s="2" t="s">
        <v>933</v>
      </c>
      <c r="Q463" s="1" t="e">
        <f t="shared" si="20"/>
        <v>#REF!</v>
      </c>
    </row>
    <row r="464" spans="1:18" ht="12" customHeight="1" outlineLevel="3" x14ac:dyDescent="0.35">
      <c r="A464" s="3" t="str">
        <f t="shared" si="21"/>
        <v>CC415B</v>
      </c>
      <c r="B464" s="4">
        <v>3</v>
      </c>
      <c r="C464" s="3" t="s">
        <v>24</v>
      </c>
      <c r="D464" s="3" t="s">
        <v>30</v>
      </c>
      <c r="E464" s="10" t="s">
        <v>937</v>
      </c>
      <c r="F464" s="4"/>
      <c r="G464" s="3" t="s">
        <v>22</v>
      </c>
      <c r="H464" s="4"/>
      <c r="I464" s="4"/>
      <c r="J464" s="4"/>
      <c r="K464" s="4"/>
      <c r="L464" s="4"/>
      <c r="M464" s="3" t="s">
        <v>938</v>
      </c>
      <c r="N464" s="4"/>
      <c r="O464" s="4"/>
      <c r="P464" s="3" t="s">
        <v>939</v>
      </c>
      <c r="Q464" s="1" t="e">
        <f t="shared" si="20"/>
        <v>#REF!</v>
      </c>
    </row>
    <row r="465" spans="1:17" ht="12" customHeight="1" outlineLevel="4" x14ac:dyDescent="0.35">
      <c r="A465" s="2" t="str">
        <f t="shared" si="21"/>
        <v>CC415B</v>
      </c>
      <c r="B465" s="1">
        <v>4</v>
      </c>
      <c r="C465" s="1" t="s">
        <v>19</v>
      </c>
      <c r="D465" s="2" t="s">
        <v>25</v>
      </c>
      <c r="E465" s="11" t="s">
        <v>905</v>
      </c>
      <c r="F465" s="7" t="s">
        <v>932</v>
      </c>
      <c r="G465" s="2" t="s">
        <v>27</v>
      </c>
      <c r="M465" s="2" t="s">
        <v>906</v>
      </c>
      <c r="P465" s="2" t="s">
        <v>933</v>
      </c>
      <c r="Q465" s="1" t="e">
        <f t="shared" si="20"/>
        <v>#REF!</v>
      </c>
    </row>
    <row r="466" spans="1:17" ht="12" customHeight="1" outlineLevel="2" x14ac:dyDescent="0.35">
      <c r="A466" s="3" t="str">
        <f t="shared" si="21"/>
        <v>CC415B</v>
      </c>
      <c r="B466" s="4">
        <v>2</v>
      </c>
      <c r="C466" s="3" t="s">
        <v>24</v>
      </c>
      <c r="D466" s="3" t="s">
        <v>30</v>
      </c>
      <c r="E466" s="8" t="s">
        <v>940</v>
      </c>
      <c r="F466" s="4"/>
      <c r="G466" s="3" t="s">
        <v>22</v>
      </c>
      <c r="H466" s="4"/>
      <c r="I466" s="4"/>
      <c r="J466" s="4"/>
      <c r="K466" s="4"/>
      <c r="L466" s="4"/>
      <c r="M466" s="3" t="s">
        <v>941</v>
      </c>
      <c r="N466" s="4"/>
      <c r="O466" s="4"/>
      <c r="P466" s="3" t="s">
        <v>942</v>
      </c>
      <c r="Q466" s="1" t="e">
        <f t="shared" si="20"/>
        <v>#REF!</v>
      </c>
    </row>
    <row r="467" spans="1:17" ht="12" customHeight="1" outlineLevel="3" x14ac:dyDescent="0.35">
      <c r="A467" s="2" t="str">
        <f t="shared" si="21"/>
        <v>CC415B</v>
      </c>
      <c r="B467" s="1">
        <v>3</v>
      </c>
      <c r="C467" s="1" t="s">
        <v>19</v>
      </c>
      <c r="D467" s="2" t="s">
        <v>25</v>
      </c>
      <c r="E467" s="9" t="s">
        <v>222</v>
      </c>
      <c r="F467" s="7" t="s">
        <v>829</v>
      </c>
      <c r="G467" s="2" t="s">
        <v>27</v>
      </c>
      <c r="M467" s="2" t="s">
        <v>222</v>
      </c>
      <c r="P467" s="2" t="s">
        <v>900</v>
      </c>
      <c r="Q467" s="1" t="e">
        <f t="shared" si="20"/>
        <v>#REF!</v>
      </c>
    </row>
    <row r="468" spans="1:17" ht="12" customHeight="1" outlineLevel="3" x14ac:dyDescent="0.35">
      <c r="A468" s="2" t="str">
        <f t="shared" si="21"/>
        <v>CC415B</v>
      </c>
      <c r="B468" s="1">
        <v>3</v>
      </c>
      <c r="C468" s="1" t="s">
        <v>19</v>
      </c>
      <c r="D468" s="2" t="s">
        <v>30</v>
      </c>
      <c r="E468" s="9" t="s">
        <v>905</v>
      </c>
      <c r="F468" s="7" t="s">
        <v>932</v>
      </c>
      <c r="G468" s="2" t="s">
        <v>22</v>
      </c>
      <c r="M468" s="2" t="s">
        <v>906</v>
      </c>
      <c r="P468" s="2" t="s">
        <v>933</v>
      </c>
      <c r="Q468" s="1" t="e">
        <f t="shared" si="20"/>
        <v>#REF!</v>
      </c>
    </row>
    <row r="469" spans="1:17" ht="12" customHeight="1" outlineLevel="2" x14ac:dyDescent="0.35">
      <c r="A469" s="3" t="str">
        <f t="shared" si="21"/>
        <v>CC415B</v>
      </c>
      <c r="B469" s="4">
        <v>2</v>
      </c>
      <c r="C469" s="3" t="s">
        <v>24</v>
      </c>
      <c r="D469" s="3" t="s">
        <v>30</v>
      </c>
      <c r="E469" s="8" t="s">
        <v>943</v>
      </c>
      <c r="F469" s="4"/>
      <c r="G469" s="3" t="s">
        <v>22</v>
      </c>
      <c r="H469" s="4"/>
      <c r="I469" s="4"/>
      <c r="J469" s="4"/>
      <c r="K469" s="4"/>
      <c r="L469" s="4"/>
      <c r="M469" s="3" t="s">
        <v>944</v>
      </c>
      <c r="N469" s="4"/>
      <c r="O469" s="4"/>
      <c r="P469" s="3" t="s">
        <v>945</v>
      </c>
      <c r="Q469" s="1" t="e">
        <f t="shared" si="20"/>
        <v>#REF!</v>
      </c>
    </row>
    <row r="470" spans="1:17" ht="12" customHeight="1" outlineLevel="3" x14ac:dyDescent="0.35">
      <c r="A470" s="2" t="str">
        <f t="shared" si="21"/>
        <v>CC415B</v>
      </c>
      <c r="B470" s="1">
        <v>3</v>
      </c>
      <c r="C470" s="1" t="s">
        <v>19</v>
      </c>
      <c r="D470" s="2" t="s">
        <v>25</v>
      </c>
      <c r="E470" s="9" t="s">
        <v>88</v>
      </c>
      <c r="F470" s="7" t="s">
        <v>803</v>
      </c>
      <c r="G470" s="2" t="s">
        <v>27</v>
      </c>
      <c r="M470" s="2" t="s">
        <v>804</v>
      </c>
      <c r="P470" s="2" t="s">
        <v>805</v>
      </c>
      <c r="Q470" s="1" t="e">
        <f t="shared" si="20"/>
        <v>#REF!</v>
      </c>
    </row>
    <row r="471" spans="1:17" ht="12" customHeight="1" outlineLevel="3" x14ac:dyDescent="0.35">
      <c r="A471" s="2" t="str">
        <f t="shared" si="21"/>
        <v>CC415B</v>
      </c>
      <c r="B471" s="1">
        <v>3</v>
      </c>
      <c r="C471" s="1" t="s">
        <v>19</v>
      </c>
      <c r="D471" s="2" t="s">
        <v>30</v>
      </c>
      <c r="E471" s="9" t="s">
        <v>806</v>
      </c>
      <c r="G471" s="2" t="s">
        <v>22</v>
      </c>
      <c r="M471" s="2" t="s">
        <v>808</v>
      </c>
      <c r="P471" s="2" t="s">
        <v>809</v>
      </c>
      <c r="Q471" s="1" t="e">
        <f t="shared" ref="Q471:Q534" si="22">IF($B471=0,$M471,_xlfn.TEXTBEFORE(Q470,"/",$B471,,,Q470)&amp;"/"&amp;$M471)&amp;IF(_xlfn.TEXTAFTER($D471,"..",,,,1)&lt;&gt;"1","[0]","")</f>
        <v>#REF!</v>
      </c>
    </row>
    <row r="472" spans="1:17" ht="12" customHeight="1" outlineLevel="3" x14ac:dyDescent="0.35">
      <c r="A472" s="2" t="str">
        <f t="shared" si="21"/>
        <v>CC415B</v>
      </c>
      <c r="B472" s="1">
        <v>3</v>
      </c>
      <c r="C472" s="1" t="s">
        <v>19</v>
      </c>
      <c r="D472" s="2" t="s">
        <v>25</v>
      </c>
      <c r="E472" s="9" t="s">
        <v>95</v>
      </c>
      <c r="G472" s="2" t="s">
        <v>27</v>
      </c>
      <c r="M472" s="2" t="s">
        <v>95</v>
      </c>
      <c r="P472" s="2" t="s">
        <v>811</v>
      </c>
      <c r="Q472" s="1" t="e">
        <f t="shared" si="22"/>
        <v>#REF!</v>
      </c>
    </row>
    <row r="473" spans="1:17" ht="12" customHeight="1" outlineLevel="3" x14ac:dyDescent="0.35">
      <c r="A473" s="2" t="str">
        <f t="shared" si="21"/>
        <v>CC415B</v>
      </c>
      <c r="B473" s="1">
        <v>3</v>
      </c>
      <c r="C473" s="1" t="s">
        <v>19</v>
      </c>
      <c r="D473" s="2" t="s">
        <v>25</v>
      </c>
      <c r="E473" s="9" t="s">
        <v>789</v>
      </c>
      <c r="G473" s="2" t="s">
        <v>27</v>
      </c>
      <c r="M473" s="2" t="s">
        <v>791</v>
      </c>
      <c r="P473" s="2" t="s">
        <v>792</v>
      </c>
      <c r="Q473" s="1" t="e">
        <f t="shared" si="22"/>
        <v>#REF!</v>
      </c>
    </row>
    <row r="474" spans="1:17" ht="12" customHeight="1" outlineLevel="3" x14ac:dyDescent="0.35">
      <c r="A474" s="2" t="str">
        <f t="shared" si="21"/>
        <v>CC415B</v>
      </c>
      <c r="B474" s="1">
        <v>3</v>
      </c>
      <c r="C474" s="1" t="s">
        <v>19</v>
      </c>
      <c r="D474" s="2" t="s">
        <v>30</v>
      </c>
      <c r="E474" s="9" t="s">
        <v>871</v>
      </c>
      <c r="F474" s="7" t="s">
        <v>801</v>
      </c>
      <c r="G474" s="2" t="s">
        <v>22</v>
      </c>
      <c r="M474" s="2" t="s">
        <v>872</v>
      </c>
      <c r="P474" s="2" t="s">
        <v>873</v>
      </c>
      <c r="Q474" s="1" t="e">
        <f t="shared" si="22"/>
        <v>#REF!</v>
      </c>
    </row>
    <row r="475" spans="1:17" ht="12" customHeight="1" outlineLevel="2" x14ac:dyDescent="0.35">
      <c r="A475" s="3" t="str">
        <f t="shared" si="21"/>
        <v>CC415B</v>
      </c>
      <c r="B475" s="4">
        <v>2</v>
      </c>
      <c r="C475" s="3" t="s">
        <v>24</v>
      </c>
      <c r="D475" s="3" t="s">
        <v>193</v>
      </c>
      <c r="E475" s="8" t="s">
        <v>946</v>
      </c>
      <c r="F475" s="4"/>
      <c r="G475" s="3" t="s">
        <v>22</v>
      </c>
      <c r="H475" s="4"/>
      <c r="I475" s="4"/>
      <c r="J475" s="4"/>
      <c r="K475" s="4"/>
      <c r="L475" s="4"/>
      <c r="M475" s="3" t="s">
        <v>947</v>
      </c>
      <c r="N475" s="4"/>
      <c r="O475" s="4"/>
      <c r="P475" s="3" t="s">
        <v>948</v>
      </c>
      <c r="Q475" s="1" t="e">
        <f t="shared" si="22"/>
        <v>#REF!</v>
      </c>
    </row>
    <row r="476" spans="1:17" ht="12" customHeight="1" outlineLevel="3" x14ac:dyDescent="0.35">
      <c r="A476" s="2" t="str">
        <f t="shared" si="21"/>
        <v>CC415B</v>
      </c>
      <c r="B476" s="1">
        <v>3</v>
      </c>
      <c r="C476" s="1" t="s">
        <v>19</v>
      </c>
      <c r="D476" s="2" t="s">
        <v>25</v>
      </c>
      <c r="E476" s="9" t="s">
        <v>774</v>
      </c>
      <c r="F476" s="7" t="s">
        <v>853</v>
      </c>
      <c r="G476" s="2" t="s">
        <v>27</v>
      </c>
      <c r="M476" s="2" t="s">
        <v>776</v>
      </c>
      <c r="P476" s="2" t="s">
        <v>885</v>
      </c>
      <c r="Q476" s="1" t="e">
        <f t="shared" si="22"/>
        <v>#REF!</v>
      </c>
    </row>
    <row r="477" spans="1:17" ht="12" customHeight="1" outlineLevel="3" x14ac:dyDescent="0.35">
      <c r="A477" s="2" t="str">
        <f t="shared" si="21"/>
        <v>CC415B</v>
      </c>
      <c r="B477" s="1">
        <v>3</v>
      </c>
      <c r="C477" s="1" t="s">
        <v>19</v>
      </c>
      <c r="D477" s="2" t="s">
        <v>30</v>
      </c>
      <c r="E477" s="9" t="s">
        <v>4</v>
      </c>
      <c r="F477" s="7" t="s">
        <v>803</v>
      </c>
      <c r="G477" s="2" t="s">
        <v>22</v>
      </c>
      <c r="M477" s="2" t="s">
        <v>4</v>
      </c>
      <c r="P477" s="2" t="s">
        <v>886</v>
      </c>
      <c r="Q477" s="1" t="e">
        <f t="shared" si="22"/>
        <v>#REF!</v>
      </c>
    </row>
    <row r="478" spans="1:17" ht="12" customHeight="1" outlineLevel="3" x14ac:dyDescent="0.35">
      <c r="A478" s="2" t="str">
        <f t="shared" si="21"/>
        <v>CC415B</v>
      </c>
      <c r="B478" s="1">
        <v>3</v>
      </c>
      <c r="C478" s="1" t="s">
        <v>19</v>
      </c>
      <c r="D478" s="2" t="s">
        <v>30</v>
      </c>
      <c r="E478" s="9" t="s">
        <v>88</v>
      </c>
      <c r="F478" s="7" t="s">
        <v>803</v>
      </c>
      <c r="G478" s="2" t="s">
        <v>22</v>
      </c>
      <c r="M478" s="2" t="s">
        <v>804</v>
      </c>
      <c r="P478" s="2" t="s">
        <v>805</v>
      </c>
      <c r="Q478" s="1" t="e">
        <f t="shared" si="22"/>
        <v>#REF!</v>
      </c>
    </row>
    <row r="479" spans="1:17" ht="12" customHeight="1" outlineLevel="3" x14ac:dyDescent="0.35">
      <c r="A479" s="2" t="str">
        <f t="shared" si="21"/>
        <v>CC415B</v>
      </c>
      <c r="B479" s="1">
        <v>3</v>
      </c>
      <c r="C479" s="1" t="s">
        <v>19</v>
      </c>
      <c r="D479" s="2" t="s">
        <v>30</v>
      </c>
      <c r="E479" s="9" t="s">
        <v>806</v>
      </c>
      <c r="G479" s="2" t="s">
        <v>22</v>
      </c>
      <c r="M479" s="2" t="s">
        <v>808</v>
      </c>
      <c r="P479" s="2" t="s">
        <v>809</v>
      </c>
      <c r="Q479" s="1" t="e">
        <f t="shared" si="22"/>
        <v>#REF!</v>
      </c>
    </row>
    <row r="480" spans="1:17" ht="12" customHeight="1" outlineLevel="3" x14ac:dyDescent="0.35">
      <c r="A480" s="2" t="str">
        <f t="shared" si="21"/>
        <v>CC415B</v>
      </c>
      <c r="B480" s="1">
        <v>3</v>
      </c>
      <c r="C480" s="1" t="s">
        <v>19</v>
      </c>
      <c r="D480" s="2" t="s">
        <v>30</v>
      </c>
      <c r="E480" s="9" t="s">
        <v>95</v>
      </c>
      <c r="G480" s="2" t="s">
        <v>22</v>
      </c>
      <c r="M480" s="2" t="s">
        <v>95</v>
      </c>
      <c r="P480" s="2" t="s">
        <v>811</v>
      </c>
      <c r="Q480" s="1" t="e">
        <f t="shared" si="22"/>
        <v>#REF!</v>
      </c>
    </row>
    <row r="481" spans="1:18" ht="12" customHeight="1" outlineLevel="3" x14ac:dyDescent="0.35">
      <c r="A481" s="2" t="str">
        <f t="shared" si="21"/>
        <v>CC415B</v>
      </c>
      <c r="B481" s="1">
        <v>3</v>
      </c>
      <c r="C481" s="1" t="s">
        <v>19</v>
      </c>
      <c r="D481" s="2" t="s">
        <v>30</v>
      </c>
      <c r="E481" s="9" t="s">
        <v>789</v>
      </c>
      <c r="G481" s="2" t="s">
        <v>22</v>
      </c>
      <c r="M481" s="2" t="s">
        <v>791</v>
      </c>
      <c r="P481" s="2" t="s">
        <v>792</v>
      </c>
      <c r="Q481" s="1" t="e">
        <f t="shared" si="22"/>
        <v>#REF!</v>
      </c>
    </row>
    <row r="482" spans="1:18" ht="12" customHeight="1" outlineLevel="3" x14ac:dyDescent="0.35">
      <c r="A482" s="2" t="str">
        <f t="shared" si="21"/>
        <v>CC415B</v>
      </c>
      <c r="B482" s="1">
        <v>3</v>
      </c>
      <c r="C482" s="1" t="s">
        <v>19</v>
      </c>
      <c r="D482" s="2" t="s">
        <v>30</v>
      </c>
      <c r="E482" s="9" t="s">
        <v>871</v>
      </c>
      <c r="F482" s="7" t="s">
        <v>801</v>
      </c>
      <c r="G482" s="2" t="s">
        <v>22</v>
      </c>
      <c r="M482" s="2" t="s">
        <v>872</v>
      </c>
      <c r="P482" s="2" t="s">
        <v>873</v>
      </c>
      <c r="Q482" s="1" t="e">
        <f t="shared" si="22"/>
        <v>#REF!</v>
      </c>
    </row>
    <row r="483" spans="1:18" ht="12" customHeight="1" outlineLevel="2" x14ac:dyDescent="0.35">
      <c r="A483" s="3" t="str">
        <f t="shared" si="21"/>
        <v>CC415B</v>
      </c>
      <c r="B483" s="4">
        <v>2</v>
      </c>
      <c r="C483" s="3" t="s">
        <v>24</v>
      </c>
      <c r="D483" s="3" t="s">
        <v>243</v>
      </c>
      <c r="E483" s="8" t="s">
        <v>949</v>
      </c>
      <c r="F483" s="4"/>
      <c r="G483" s="3" t="s">
        <v>22</v>
      </c>
      <c r="H483" s="4"/>
      <c r="I483" s="4"/>
      <c r="J483" s="4"/>
      <c r="K483" s="4"/>
      <c r="L483" s="4"/>
      <c r="M483" s="3" t="s">
        <v>950</v>
      </c>
      <c r="N483" s="4"/>
      <c r="O483" s="4"/>
      <c r="P483" s="3" t="s">
        <v>951</v>
      </c>
      <c r="Q483" s="1" t="e">
        <f t="shared" si="22"/>
        <v>#REF!</v>
      </c>
    </row>
    <row r="484" spans="1:18" ht="12" customHeight="1" outlineLevel="3" x14ac:dyDescent="0.35">
      <c r="A484" s="2" t="str">
        <f t="shared" si="21"/>
        <v>CC415B</v>
      </c>
      <c r="B484" s="1">
        <v>3</v>
      </c>
      <c r="C484" s="1" t="s">
        <v>19</v>
      </c>
      <c r="D484" s="2" t="s">
        <v>30</v>
      </c>
      <c r="E484" s="9" t="s">
        <v>774</v>
      </c>
      <c r="F484" s="7" t="s">
        <v>853</v>
      </c>
      <c r="G484" s="2" t="s">
        <v>22</v>
      </c>
      <c r="M484" s="2" t="s">
        <v>776</v>
      </c>
      <c r="P484" s="2" t="s">
        <v>885</v>
      </c>
      <c r="Q484" s="1" t="e">
        <f t="shared" si="22"/>
        <v>#REF!</v>
      </c>
    </row>
    <row r="485" spans="1:18" ht="12" customHeight="1" outlineLevel="3" x14ac:dyDescent="0.35">
      <c r="A485" s="2" t="str">
        <f t="shared" si="21"/>
        <v>CC415B</v>
      </c>
      <c r="B485" s="1">
        <v>3</v>
      </c>
      <c r="C485" s="1" t="s">
        <v>19</v>
      </c>
      <c r="D485" s="2" t="s">
        <v>30</v>
      </c>
      <c r="E485" s="9" t="s">
        <v>253</v>
      </c>
      <c r="F485" s="7" t="s">
        <v>853</v>
      </c>
      <c r="G485" s="2" t="s">
        <v>22</v>
      </c>
      <c r="M485" s="2" t="s">
        <v>952</v>
      </c>
      <c r="P485" s="2" t="s">
        <v>885</v>
      </c>
      <c r="Q485" s="1" t="e">
        <f t="shared" si="22"/>
        <v>#REF!</v>
      </c>
    </row>
    <row r="486" spans="1:18" ht="12" customHeight="1" outlineLevel="3" x14ac:dyDescent="0.35">
      <c r="A486" s="3" t="str">
        <f t="shared" si="21"/>
        <v>CC415B</v>
      </c>
      <c r="B486" s="4">
        <v>3</v>
      </c>
      <c r="C486" s="3" t="s">
        <v>24</v>
      </c>
      <c r="D486" s="3" t="s">
        <v>30</v>
      </c>
      <c r="E486" s="10" t="s">
        <v>953</v>
      </c>
      <c r="F486" s="4"/>
      <c r="G486" s="3" t="s">
        <v>22</v>
      </c>
      <c r="H486" s="4"/>
      <c r="I486" s="4"/>
      <c r="J486" s="4"/>
      <c r="K486" s="4"/>
      <c r="L486" s="4"/>
      <c r="M486" s="3" t="s">
        <v>954</v>
      </c>
      <c r="N486" s="4"/>
      <c r="O486" s="4"/>
      <c r="P486" s="3" t="s">
        <v>955</v>
      </c>
      <c r="Q486" s="1" t="e">
        <f t="shared" si="22"/>
        <v>#REF!</v>
      </c>
    </row>
    <row r="487" spans="1:18" ht="12" customHeight="1" outlineLevel="4" x14ac:dyDescent="0.35">
      <c r="A487" s="2" t="str">
        <f t="shared" ref="A487:A547" si="23">$E$2</f>
        <v>CC415B</v>
      </c>
      <c r="B487" s="1">
        <v>4</v>
      </c>
      <c r="C487" s="1" t="s">
        <v>19</v>
      </c>
      <c r="D487" s="2" t="s">
        <v>30</v>
      </c>
      <c r="E487" s="11" t="s">
        <v>774</v>
      </c>
      <c r="F487" s="7" t="s">
        <v>853</v>
      </c>
      <c r="G487" s="2" t="s">
        <v>22</v>
      </c>
      <c r="M487" s="2" t="s">
        <v>776</v>
      </c>
      <c r="P487" s="2" t="s">
        <v>956</v>
      </c>
      <c r="Q487" s="1" t="e">
        <f t="shared" si="22"/>
        <v>#REF!</v>
      </c>
      <c r="R487" s="2" t="s">
        <v>830</v>
      </c>
    </row>
    <row r="488" spans="1:18" ht="12" customHeight="1" outlineLevel="4" x14ac:dyDescent="0.35">
      <c r="A488" s="2" t="str">
        <f t="shared" si="23"/>
        <v>CC415B</v>
      </c>
      <c r="B488" s="1">
        <v>4</v>
      </c>
      <c r="C488" s="1" t="s">
        <v>19</v>
      </c>
      <c r="D488" s="2" t="s">
        <v>30</v>
      </c>
      <c r="E488" s="11" t="s">
        <v>957</v>
      </c>
      <c r="F488" s="2" t="s">
        <v>790</v>
      </c>
      <c r="G488" s="2" t="s">
        <v>22</v>
      </c>
      <c r="M488" s="2" t="s">
        <v>958</v>
      </c>
      <c r="P488" s="2" t="s">
        <v>792</v>
      </c>
      <c r="Q488" s="1" t="e">
        <f t="shared" si="22"/>
        <v>#REF!</v>
      </c>
      <c r="R488" s="2" t="s">
        <v>959</v>
      </c>
    </row>
    <row r="489" spans="1:18" ht="12" customHeight="1" outlineLevel="4" x14ac:dyDescent="0.35">
      <c r="A489" s="2" t="str">
        <f t="shared" si="23"/>
        <v>CC415B</v>
      </c>
      <c r="B489" s="1">
        <v>4</v>
      </c>
      <c r="C489" s="1" t="s">
        <v>19</v>
      </c>
      <c r="D489" s="2" t="s">
        <v>30</v>
      </c>
      <c r="E489" s="11" t="s">
        <v>905</v>
      </c>
      <c r="F489" s="7" t="s">
        <v>960</v>
      </c>
      <c r="G489" s="2" t="s">
        <v>22</v>
      </c>
      <c r="M489" s="2" t="s">
        <v>906</v>
      </c>
      <c r="P489" s="2" t="s">
        <v>961</v>
      </c>
      <c r="Q489" s="1" t="e">
        <f t="shared" si="22"/>
        <v>#REF!</v>
      </c>
    </row>
    <row r="490" spans="1:18" ht="12" customHeight="1" outlineLevel="3" x14ac:dyDescent="0.35">
      <c r="A490" s="2" t="str">
        <f t="shared" si="23"/>
        <v>CC415B</v>
      </c>
      <c r="B490" s="1">
        <v>3</v>
      </c>
      <c r="C490" s="1" t="s">
        <v>19</v>
      </c>
      <c r="D490" s="2" t="s">
        <v>30</v>
      </c>
      <c r="E490" s="9" t="s">
        <v>219</v>
      </c>
      <c r="F490" s="7" t="s">
        <v>932</v>
      </c>
      <c r="G490" s="2" t="s">
        <v>22</v>
      </c>
      <c r="M490" s="2" t="s">
        <v>220</v>
      </c>
      <c r="P490" s="2" t="s">
        <v>933</v>
      </c>
      <c r="Q490" s="1" t="e">
        <f t="shared" si="22"/>
        <v>#REF!</v>
      </c>
    </row>
    <row r="491" spans="1:18" ht="12" customHeight="1" outlineLevel="3" x14ac:dyDescent="0.35">
      <c r="A491" s="3" t="str">
        <f t="shared" si="23"/>
        <v>CC415B</v>
      </c>
      <c r="B491" s="4">
        <v>3</v>
      </c>
      <c r="C491" s="3" t="s">
        <v>24</v>
      </c>
      <c r="D491" s="3" t="s">
        <v>193</v>
      </c>
      <c r="E491" s="10" t="s">
        <v>849</v>
      </c>
      <c r="F491" s="4"/>
      <c r="G491" s="3" t="s">
        <v>22</v>
      </c>
      <c r="H491" s="4"/>
      <c r="I491" s="4"/>
      <c r="J491" s="4"/>
      <c r="K491" s="4"/>
      <c r="L491" s="4"/>
      <c r="M491" s="3" t="s">
        <v>850</v>
      </c>
      <c r="N491" s="4"/>
      <c r="O491" s="4"/>
      <c r="P491" s="3" t="s">
        <v>962</v>
      </c>
      <c r="Q491" s="1" t="e">
        <f t="shared" si="22"/>
        <v>#REF!</v>
      </c>
    </row>
    <row r="492" spans="1:18" ht="12" customHeight="1" outlineLevel="4" x14ac:dyDescent="0.35">
      <c r="A492" s="2" t="str">
        <f t="shared" si="23"/>
        <v>CC415B</v>
      </c>
      <c r="B492" s="1">
        <v>4</v>
      </c>
      <c r="C492" s="1" t="s">
        <v>19</v>
      </c>
      <c r="D492" s="2" t="s">
        <v>30</v>
      </c>
      <c r="E492" s="11" t="s">
        <v>774</v>
      </c>
      <c r="F492" s="7" t="s">
        <v>853</v>
      </c>
      <c r="G492" s="2" t="s">
        <v>22</v>
      </c>
      <c r="M492" s="2" t="s">
        <v>776</v>
      </c>
      <c r="P492" s="2" t="s">
        <v>956</v>
      </c>
      <c r="Q492" s="1" t="e">
        <f t="shared" si="22"/>
        <v>#REF!</v>
      </c>
      <c r="R492" s="2" t="s">
        <v>830</v>
      </c>
    </row>
    <row r="493" spans="1:18" ht="12" customHeight="1" outlineLevel="4" x14ac:dyDescent="0.35">
      <c r="A493" s="2" t="str">
        <f t="shared" si="23"/>
        <v>CC415B</v>
      </c>
      <c r="B493" s="1">
        <v>4</v>
      </c>
      <c r="C493" s="1" t="s">
        <v>19</v>
      </c>
      <c r="D493" s="2" t="s">
        <v>30</v>
      </c>
      <c r="E493" s="11" t="s">
        <v>4</v>
      </c>
      <c r="F493" s="7" t="s">
        <v>803</v>
      </c>
      <c r="G493" s="2" t="s">
        <v>22</v>
      </c>
      <c r="M493" s="2" t="s">
        <v>4</v>
      </c>
      <c r="P493" s="2" t="s">
        <v>963</v>
      </c>
      <c r="Q493" s="1" t="e">
        <f t="shared" si="22"/>
        <v>#REF!</v>
      </c>
      <c r="R493" s="2" t="s">
        <v>964</v>
      </c>
    </row>
    <row r="494" spans="1:18" ht="12" customHeight="1" outlineLevel="4" x14ac:dyDescent="0.35">
      <c r="A494" s="2" t="str">
        <f t="shared" si="23"/>
        <v>CC415B</v>
      </c>
      <c r="B494" s="1">
        <v>4</v>
      </c>
      <c r="C494" s="1" t="s">
        <v>19</v>
      </c>
      <c r="D494" s="2" t="s">
        <v>30</v>
      </c>
      <c r="E494" s="11" t="s">
        <v>88</v>
      </c>
      <c r="F494" s="7" t="s">
        <v>803</v>
      </c>
      <c r="G494" s="2" t="s">
        <v>22</v>
      </c>
      <c r="M494" s="2" t="s">
        <v>804</v>
      </c>
      <c r="P494" s="2" t="s">
        <v>805</v>
      </c>
      <c r="Q494" s="1" t="e">
        <f t="shared" si="22"/>
        <v>#REF!</v>
      </c>
      <c r="R494" s="2" t="s">
        <v>965</v>
      </c>
    </row>
    <row r="495" spans="1:18" ht="12" customHeight="1" outlineLevel="4" x14ac:dyDescent="0.35">
      <c r="A495" s="2" t="str">
        <f t="shared" si="23"/>
        <v>CC415B</v>
      </c>
      <c r="B495" s="1">
        <v>4</v>
      </c>
      <c r="C495" s="1" t="s">
        <v>19</v>
      </c>
      <c r="D495" s="2" t="s">
        <v>30</v>
      </c>
      <c r="E495" s="11" t="s">
        <v>789</v>
      </c>
      <c r="F495" s="2" t="s">
        <v>790</v>
      </c>
      <c r="G495" s="2" t="s">
        <v>22</v>
      </c>
      <c r="M495" s="2" t="s">
        <v>791</v>
      </c>
      <c r="P495" s="2" t="s">
        <v>792</v>
      </c>
      <c r="Q495" s="1" t="e">
        <f t="shared" si="22"/>
        <v>#REF!</v>
      </c>
      <c r="R495" s="2" t="s">
        <v>966</v>
      </c>
    </row>
    <row r="496" spans="1:18" ht="12" customHeight="1" outlineLevel="4" x14ac:dyDescent="0.35">
      <c r="A496" s="2" t="str">
        <f t="shared" si="23"/>
        <v>CC415B</v>
      </c>
      <c r="B496" s="1">
        <v>4</v>
      </c>
      <c r="C496" s="1" t="s">
        <v>19</v>
      </c>
      <c r="D496" s="2" t="s">
        <v>30</v>
      </c>
      <c r="E496" s="11" t="s">
        <v>806</v>
      </c>
      <c r="F496" s="2" t="s">
        <v>807</v>
      </c>
      <c r="G496" s="2" t="s">
        <v>22</v>
      </c>
      <c r="M496" s="2" t="s">
        <v>808</v>
      </c>
      <c r="P496" s="2" t="s">
        <v>809</v>
      </c>
      <c r="Q496" s="1" t="e">
        <f t="shared" si="22"/>
        <v>#REF!</v>
      </c>
      <c r="R496" s="2" t="s">
        <v>967</v>
      </c>
    </row>
    <row r="497" spans="1:18" ht="12" customHeight="1" outlineLevel="4" x14ac:dyDescent="0.35">
      <c r="A497" s="2" t="str">
        <f t="shared" si="23"/>
        <v>CC415B</v>
      </c>
      <c r="B497" s="1">
        <v>4</v>
      </c>
      <c r="C497" s="1" t="s">
        <v>19</v>
      </c>
      <c r="D497" s="2" t="s">
        <v>30</v>
      </c>
      <c r="E497" s="11" t="s">
        <v>95</v>
      </c>
      <c r="F497" s="2" t="s">
        <v>810</v>
      </c>
      <c r="G497" s="2" t="s">
        <v>22</v>
      </c>
      <c r="M497" s="2" t="s">
        <v>95</v>
      </c>
      <c r="P497" s="2" t="s">
        <v>811</v>
      </c>
      <c r="Q497" s="1" t="e">
        <f t="shared" si="22"/>
        <v>#REF!</v>
      </c>
      <c r="R497" s="2" t="s">
        <v>968</v>
      </c>
    </row>
    <row r="498" spans="1:18" ht="12" customHeight="1" outlineLevel="3" x14ac:dyDescent="0.35">
      <c r="A498" s="3" t="str">
        <f t="shared" si="23"/>
        <v>CC415B</v>
      </c>
      <c r="B498" s="4">
        <v>3</v>
      </c>
      <c r="C498" s="3" t="s">
        <v>24</v>
      </c>
      <c r="D498" s="3" t="s">
        <v>193</v>
      </c>
      <c r="E498" s="10" t="s">
        <v>891</v>
      </c>
      <c r="F498" s="4"/>
      <c r="G498" s="3" t="s">
        <v>22</v>
      </c>
      <c r="H498" s="4"/>
      <c r="I498" s="4"/>
      <c r="J498" s="4"/>
      <c r="K498" s="4"/>
      <c r="L498" s="4"/>
      <c r="M498" s="3" t="s">
        <v>892</v>
      </c>
      <c r="N498" s="4"/>
      <c r="O498" s="4"/>
      <c r="P498" s="3" t="s">
        <v>969</v>
      </c>
      <c r="Q498" s="1" t="e">
        <f t="shared" si="22"/>
        <v>#REF!</v>
      </c>
    </row>
    <row r="499" spans="1:18" ht="12" customHeight="1" outlineLevel="4" x14ac:dyDescent="0.35">
      <c r="A499" s="2" t="str">
        <f t="shared" si="23"/>
        <v>CC415B</v>
      </c>
      <c r="B499" s="1">
        <v>4</v>
      </c>
      <c r="C499" s="1" t="s">
        <v>19</v>
      </c>
      <c r="D499" s="2" t="s">
        <v>30</v>
      </c>
      <c r="E499" s="11" t="s">
        <v>774</v>
      </c>
      <c r="F499" s="7" t="s">
        <v>853</v>
      </c>
      <c r="G499" s="2" t="s">
        <v>22</v>
      </c>
      <c r="M499" s="2" t="s">
        <v>776</v>
      </c>
      <c r="P499" s="2" t="s">
        <v>859</v>
      </c>
      <c r="Q499" s="1" t="e">
        <f t="shared" si="22"/>
        <v>#REF!</v>
      </c>
      <c r="R499" s="2" t="s">
        <v>830</v>
      </c>
    </row>
    <row r="500" spans="1:18" ht="12" customHeight="1" outlineLevel="4" x14ac:dyDescent="0.35">
      <c r="A500" s="2" t="str">
        <f t="shared" si="23"/>
        <v>CC415B</v>
      </c>
      <c r="B500" s="1">
        <v>4</v>
      </c>
      <c r="C500" s="1" t="s">
        <v>19</v>
      </c>
      <c r="D500" s="2" t="s">
        <v>30</v>
      </c>
      <c r="E500" s="11" t="s">
        <v>860</v>
      </c>
      <c r="F500" s="7" t="s">
        <v>793</v>
      </c>
      <c r="G500" s="2" t="s">
        <v>22</v>
      </c>
      <c r="M500" s="2" t="s">
        <v>861</v>
      </c>
      <c r="P500" s="2" t="s">
        <v>794</v>
      </c>
      <c r="Q500" s="1" t="e">
        <f t="shared" si="22"/>
        <v>#REF!</v>
      </c>
      <c r="R500" s="2" t="s">
        <v>862</v>
      </c>
    </row>
    <row r="501" spans="1:18" ht="12" customHeight="1" outlineLevel="4" x14ac:dyDescent="0.35">
      <c r="A501" s="2" t="str">
        <f t="shared" si="23"/>
        <v>CC415B</v>
      </c>
      <c r="B501" s="1">
        <v>4</v>
      </c>
      <c r="C501" s="1" t="s">
        <v>19</v>
      </c>
      <c r="D501" s="2" t="s">
        <v>30</v>
      </c>
      <c r="E501" s="11" t="s">
        <v>863</v>
      </c>
      <c r="F501" s="7" t="s">
        <v>795</v>
      </c>
      <c r="G501" s="2" t="s">
        <v>22</v>
      </c>
      <c r="M501" s="2" t="s">
        <v>864</v>
      </c>
      <c r="P501" s="2" t="s">
        <v>796</v>
      </c>
      <c r="Q501" s="1" t="e">
        <f t="shared" si="22"/>
        <v>#REF!</v>
      </c>
      <c r="R501" s="2" t="s">
        <v>865</v>
      </c>
    </row>
    <row r="502" spans="1:18" ht="12" customHeight="1" outlineLevel="4" x14ac:dyDescent="0.35">
      <c r="A502" s="2" t="str">
        <f t="shared" si="23"/>
        <v>CC415B</v>
      </c>
      <c r="B502" s="1">
        <v>4</v>
      </c>
      <c r="C502" s="1" t="s">
        <v>19</v>
      </c>
      <c r="D502" s="2" t="s">
        <v>30</v>
      </c>
      <c r="E502" s="11" t="s">
        <v>866</v>
      </c>
      <c r="F502" s="7" t="s">
        <v>867</v>
      </c>
      <c r="G502" s="2" t="s">
        <v>22</v>
      </c>
      <c r="M502" s="2" t="s">
        <v>868</v>
      </c>
      <c r="P502" s="2" t="s">
        <v>869</v>
      </c>
      <c r="Q502" s="1" t="e">
        <f t="shared" si="22"/>
        <v>#REF!</v>
      </c>
      <c r="R502" s="2" t="s">
        <v>865</v>
      </c>
    </row>
    <row r="503" spans="1:18" ht="12" customHeight="1" outlineLevel="4" x14ac:dyDescent="0.35">
      <c r="A503" s="2" t="str">
        <f t="shared" si="23"/>
        <v>CC415B</v>
      </c>
      <c r="B503" s="1">
        <v>4</v>
      </c>
      <c r="C503" s="1" t="s">
        <v>19</v>
      </c>
      <c r="D503" s="2" t="s">
        <v>30</v>
      </c>
      <c r="E503" s="11" t="s">
        <v>267</v>
      </c>
      <c r="F503" s="7" t="s">
        <v>876</v>
      </c>
      <c r="G503" s="2" t="s">
        <v>22</v>
      </c>
      <c r="M503" s="2" t="s">
        <v>798</v>
      </c>
      <c r="P503" s="2" t="s">
        <v>877</v>
      </c>
      <c r="Q503" s="1" t="e">
        <f t="shared" si="22"/>
        <v>#REF!</v>
      </c>
      <c r="R503" s="2" t="s">
        <v>870</v>
      </c>
    </row>
    <row r="504" spans="1:18" ht="12" customHeight="1" outlineLevel="4" x14ac:dyDescent="0.35">
      <c r="A504" s="2" t="str">
        <f t="shared" si="23"/>
        <v>CC415B</v>
      </c>
      <c r="B504" s="1">
        <v>4</v>
      </c>
      <c r="C504" s="1" t="s">
        <v>19</v>
      </c>
      <c r="D504" s="2" t="s">
        <v>30</v>
      </c>
      <c r="E504" s="11" t="s">
        <v>871</v>
      </c>
      <c r="F504" s="7" t="s">
        <v>801</v>
      </c>
      <c r="G504" s="2" t="s">
        <v>22</v>
      </c>
      <c r="M504" s="2" t="s">
        <v>872</v>
      </c>
      <c r="P504" s="2" t="s">
        <v>873</v>
      </c>
      <c r="Q504" s="1" t="e">
        <f t="shared" si="22"/>
        <v>#REF!</v>
      </c>
    </row>
    <row r="505" spans="1:18" ht="12" customHeight="1" outlineLevel="4" x14ac:dyDescent="0.35">
      <c r="A505" s="3" t="str">
        <f t="shared" si="23"/>
        <v>CC415B</v>
      </c>
      <c r="B505" s="4">
        <v>4</v>
      </c>
      <c r="C505" s="3" t="s">
        <v>24</v>
      </c>
      <c r="D505" s="3" t="s">
        <v>30</v>
      </c>
      <c r="E505" s="12" t="s">
        <v>273</v>
      </c>
      <c r="F505" s="4"/>
      <c r="G505" s="3" t="s">
        <v>22</v>
      </c>
      <c r="H505" s="4"/>
      <c r="I505" s="4"/>
      <c r="J505" s="4"/>
      <c r="K505" s="4"/>
      <c r="L505" s="4"/>
      <c r="M505" s="3" t="s">
        <v>274</v>
      </c>
      <c r="N505" s="4"/>
      <c r="O505" s="4"/>
      <c r="P505" s="3" t="s">
        <v>970</v>
      </c>
      <c r="Q505" s="1" t="e">
        <f t="shared" si="22"/>
        <v>#REF!</v>
      </c>
    </row>
    <row r="506" spans="1:18" ht="12" customHeight="1" outlineLevel="5" x14ac:dyDescent="0.35">
      <c r="A506" s="2" t="str">
        <f t="shared" si="23"/>
        <v>CC415B</v>
      </c>
      <c r="B506" s="1">
        <v>5</v>
      </c>
      <c r="C506" s="1" t="s">
        <v>19</v>
      </c>
      <c r="D506" s="2" t="s">
        <v>30</v>
      </c>
      <c r="E506" s="13" t="s">
        <v>875</v>
      </c>
      <c r="F506" s="7" t="s">
        <v>876</v>
      </c>
      <c r="G506" s="2" t="s">
        <v>22</v>
      </c>
      <c r="M506" s="2" t="s">
        <v>875</v>
      </c>
      <c r="P506" s="2" t="s">
        <v>877</v>
      </c>
      <c r="Q506" s="1" t="e">
        <f t="shared" si="22"/>
        <v>#REF!</v>
      </c>
    </row>
    <row r="507" spans="1:18" ht="12" customHeight="1" outlineLevel="4" x14ac:dyDescent="0.35">
      <c r="A507" s="3" t="str">
        <f t="shared" si="23"/>
        <v>CC415B</v>
      </c>
      <c r="B507" s="4">
        <v>4</v>
      </c>
      <c r="C507" s="3" t="s">
        <v>24</v>
      </c>
      <c r="D507" s="3" t="s">
        <v>30</v>
      </c>
      <c r="E507" s="12" t="s">
        <v>276</v>
      </c>
      <c r="F507" s="4"/>
      <c r="G507" s="3" t="s">
        <v>22</v>
      </c>
      <c r="H507" s="4"/>
      <c r="I507" s="4"/>
      <c r="J507" s="4"/>
      <c r="K507" s="4"/>
      <c r="L507" s="4"/>
      <c r="M507" s="3" t="s">
        <v>277</v>
      </c>
      <c r="N507" s="4"/>
      <c r="O507" s="4"/>
      <c r="P507" s="3" t="s">
        <v>971</v>
      </c>
      <c r="Q507" s="1" t="e">
        <f t="shared" si="22"/>
        <v>#REF!</v>
      </c>
    </row>
    <row r="508" spans="1:18" ht="12" customHeight="1" outlineLevel="5" x14ac:dyDescent="0.35">
      <c r="A508" s="2" t="str">
        <f t="shared" si="23"/>
        <v>CC415B</v>
      </c>
      <c r="B508" s="1">
        <v>5</v>
      </c>
      <c r="C508" s="1" t="s">
        <v>19</v>
      </c>
      <c r="D508" s="2" t="s">
        <v>30</v>
      </c>
      <c r="E508" s="13" t="s">
        <v>279</v>
      </c>
      <c r="F508" s="7" t="s">
        <v>801</v>
      </c>
      <c r="G508" s="2" t="s">
        <v>22</v>
      </c>
      <c r="M508" s="2" t="s">
        <v>279</v>
      </c>
      <c r="P508" s="2" t="s">
        <v>802</v>
      </c>
      <c r="Q508" s="1" t="e">
        <f t="shared" si="22"/>
        <v>#REF!</v>
      </c>
    </row>
    <row r="509" spans="1:18" ht="12" customHeight="1" outlineLevel="5" x14ac:dyDescent="0.35">
      <c r="A509" s="2" t="str">
        <f t="shared" si="23"/>
        <v>CC415B</v>
      </c>
      <c r="B509" s="1">
        <v>5</v>
      </c>
      <c r="C509" s="1" t="s">
        <v>19</v>
      </c>
      <c r="D509" s="2" t="s">
        <v>30</v>
      </c>
      <c r="E509" s="13" t="s">
        <v>283</v>
      </c>
      <c r="F509" s="7" t="s">
        <v>801</v>
      </c>
      <c r="G509" s="2" t="s">
        <v>22</v>
      </c>
      <c r="M509" s="2" t="s">
        <v>283</v>
      </c>
      <c r="P509" s="2" t="s">
        <v>802</v>
      </c>
      <c r="Q509" s="1" t="e">
        <f t="shared" si="22"/>
        <v>#REF!</v>
      </c>
    </row>
    <row r="510" spans="1:18" ht="12" customHeight="1" outlineLevel="4" x14ac:dyDescent="0.35">
      <c r="A510" s="3" t="str">
        <f t="shared" si="23"/>
        <v>CC415B</v>
      </c>
      <c r="B510" s="4">
        <v>4</v>
      </c>
      <c r="C510" s="3" t="s">
        <v>24</v>
      </c>
      <c r="D510" s="3" t="s">
        <v>30</v>
      </c>
      <c r="E510" s="12" t="s">
        <v>287</v>
      </c>
      <c r="F510" s="4"/>
      <c r="G510" s="3" t="s">
        <v>22</v>
      </c>
      <c r="H510" s="4"/>
      <c r="I510" s="4"/>
      <c r="J510" s="4"/>
      <c r="K510" s="4"/>
      <c r="L510" s="4"/>
      <c r="M510" s="3" t="s">
        <v>288</v>
      </c>
      <c r="N510" s="4"/>
      <c r="O510" s="4"/>
      <c r="P510" s="3" t="s">
        <v>972</v>
      </c>
      <c r="Q510" s="1" t="e">
        <f t="shared" si="22"/>
        <v>#REF!</v>
      </c>
    </row>
    <row r="511" spans="1:18" ht="12" customHeight="1" outlineLevel="5" x14ac:dyDescent="0.35">
      <c r="A511" s="2" t="str">
        <f t="shared" si="23"/>
        <v>CC415B</v>
      </c>
      <c r="B511" s="1">
        <v>5</v>
      </c>
      <c r="C511" s="1" t="s">
        <v>19</v>
      </c>
      <c r="D511" s="2" t="s">
        <v>30</v>
      </c>
      <c r="E511" s="13" t="s">
        <v>875</v>
      </c>
      <c r="F511" s="7" t="s">
        <v>801</v>
      </c>
      <c r="G511" s="2" t="s">
        <v>22</v>
      </c>
      <c r="M511" s="2" t="s">
        <v>875</v>
      </c>
      <c r="P511" s="2" t="s">
        <v>873</v>
      </c>
      <c r="Q511" s="1" t="e">
        <f t="shared" si="22"/>
        <v>#REF!</v>
      </c>
    </row>
    <row r="512" spans="1:18" ht="12" customHeight="1" outlineLevel="4" x14ac:dyDescent="0.35">
      <c r="A512" s="3" t="str">
        <f t="shared" si="23"/>
        <v>CC415B</v>
      </c>
      <c r="B512" s="4">
        <v>4</v>
      </c>
      <c r="C512" s="3" t="s">
        <v>24</v>
      </c>
      <c r="D512" s="3" t="s">
        <v>30</v>
      </c>
      <c r="E512" s="12" t="s">
        <v>86</v>
      </c>
      <c r="F512" s="4"/>
      <c r="G512" s="3" t="s">
        <v>22</v>
      </c>
      <c r="H512" s="4"/>
      <c r="I512" s="4"/>
      <c r="J512" s="4"/>
      <c r="K512" s="4"/>
      <c r="L512" s="4"/>
      <c r="M512" s="3" t="s">
        <v>86</v>
      </c>
      <c r="N512" s="4"/>
      <c r="O512" s="4"/>
      <c r="P512" s="3" t="s">
        <v>973</v>
      </c>
      <c r="Q512" s="1" t="e">
        <f t="shared" si="22"/>
        <v>#REF!</v>
      </c>
    </row>
    <row r="513" spans="1:17" ht="12" customHeight="1" outlineLevel="5" x14ac:dyDescent="0.35">
      <c r="A513" s="2" t="str">
        <f t="shared" si="23"/>
        <v>CC415B</v>
      </c>
      <c r="B513" s="1">
        <v>5</v>
      </c>
      <c r="C513" s="1" t="s">
        <v>19</v>
      </c>
      <c r="D513" s="2" t="s">
        <v>30</v>
      </c>
      <c r="E513" s="13" t="s">
        <v>88</v>
      </c>
      <c r="F513" s="7" t="s">
        <v>803</v>
      </c>
      <c r="G513" s="2" t="s">
        <v>22</v>
      </c>
      <c r="M513" s="2" t="s">
        <v>804</v>
      </c>
      <c r="P513" s="2" t="s">
        <v>805</v>
      </c>
      <c r="Q513" s="1" t="e">
        <f t="shared" si="22"/>
        <v>#REF!</v>
      </c>
    </row>
    <row r="514" spans="1:17" ht="12" customHeight="1" outlineLevel="5" x14ac:dyDescent="0.35">
      <c r="A514" s="2" t="str">
        <f t="shared" si="23"/>
        <v>CC415B</v>
      </c>
      <c r="B514" s="1">
        <v>5</v>
      </c>
      <c r="C514" s="1" t="s">
        <v>19</v>
      </c>
      <c r="D514" s="2" t="s">
        <v>30</v>
      </c>
      <c r="E514" s="13" t="s">
        <v>806</v>
      </c>
      <c r="G514" s="2" t="s">
        <v>22</v>
      </c>
      <c r="M514" s="2" t="s">
        <v>808</v>
      </c>
      <c r="P514" s="2" t="s">
        <v>809</v>
      </c>
      <c r="Q514" s="1" t="e">
        <f t="shared" si="22"/>
        <v>#REF!</v>
      </c>
    </row>
    <row r="515" spans="1:17" ht="12" customHeight="1" outlineLevel="5" x14ac:dyDescent="0.35">
      <c r="A515" s="2" t="str">
        <f t="shared" si="23"/>
        <v>CC415B</v>
      </c>
      <c r="B515" s="1">
        <v>5</v>
      </c>
      <c r="C515" s="1" t="s">
        <v>19</v>
      </c>
      <c r="D515" s="2" t="s">
        <v>30</v>
      </c>
      <c r="E515" s="13" t="s">
        <v>95</v>
      </c>
      <c r="G515" s="2" t="s">
        <v>22</v>
      </c>
      <c r="M515" s="2" t="s">
        <v>95</v>
      </c>
      <c r="P515" s="2" t="s">
        <v>811</v>
      </c>
      <c r="Q515" s="1" t="e">
        <f t="shared" si="22"/>
        <v>#REF!</v>
      </c>
    </row>
    <row r="516" spans="1:17" ht="12" customHeight="1" outlineLevel="5" x14ac:dyDescent="0.35">
      <c r="A516" s="2" t="str">
        <f t="shared" si="23"/>
        <v>CC415B</v>
      </c>
      <c r="B516" s="1">
        <v>5</v>
      </c>
      <c r="C516" s="1" t="s">
        <v>19</v>
      </c>
      <c r="D516" s="2" t="s">
        <v>30</v>
      </c>
      <c r="E516" s="13" t="s">
        <v>789</v>
      </c>
      <c r="G516" s="2" t="s">
        <v>22</v>
      </c>
      <c r="M516" s="2" t="s">
        <v>791</v>
      </c>
      <c r="P516" s="2" t="s">
        <v>792</v>
      </c>
      <c r="Q516" s="1" t="e">
        <f t="shared" si="22"/>
        <v>#REF!</v>
      </c>
    </row>
    <row r="517" spans="1:17" ht="12" customHeight="1" outlineLevel="4" x14ac:dyDescent="0.35">
      <c r="A517" s="3" t="str">
        <f t="shared" si="23"/>
        <v>CC415B</v>
      </c>
      <c r="B517" s="4">
        <v>4</v>
      </c>
      <c r="C517" s="3" t="s">
        <v>24</v>
      </c>
      <c r="D517" s="3" t="s">
        <v>30</v>
      </c>
      <c r="E517" s="12" t="s">
        <v>290</v>
      </c>
      <c r="F517" s="4"/>
      <c r="G517" s="3" t="s">
        <v>22</v>
      </c>
      <c r="H517" s="4"/>
      <c r="I517" s="4"/>
      <c r="J517" s="4"/>
      <c r="K517" s="4"/>
      <c r="L517" s="4"/>
      <c r="M517" s="3" t="s">
        <v>291</v>
      </c>
      <c r="N517" s="4"/>
      <c r="O517" s="4"/>
      <c r="P517" s="3" t="s">
        <v>974</v>
      </c>
      <c r="Q517" s="1" t="e">
        <f t="shared" si="22"/>
        <v>#REF!</v>
      </c>
    </row>
    <row r="518" spans="1:17" ht="12" customHeight="1" outlineLevel="5" x14ac:dyDescent="0.35">
      <c r="A518" s="2" t="str">
        <f t="shared" si="23"/>
        <v>CC415B</v>
      </c>
      <c r="B518" s="1">
        <v>5</v>
      </c>
      <c r="C518" s="1" t="s">
        <v>19</v>
      </c>
      <c r="D518" s="2" t="s">
        <v>30</v>
      </c>
      <c r="E518" s="13" t="s">
        <v>293</v>
      </c>
      <c r="F518" s="7" t="s">
        <v>881</v>
      </c>
      <c r="G518" s="2" t="s">
        <v>22</v>
      </c>
      <c r="K518" s="2" t="s">
        <v>882</v>
      </c>
      <c r="M518" s="2" t="s">
        <v>812</v>
      </c>
      <c r="P518" s="2" t="s">
        <v>883</v>
      </c>
      <c r="Q518" s="1" t="e">
        <f t="shared" si="22"/>
        <v>#REF!</v>
      </c>
    </row>
    <row r="519" spans="1:17" ht="12" customHeight="1" outlineLevel="5" x14ac:dyDescent="0.35">
      <c r="A519" s="2" t="str">
        <f t="shared" si="23"/>
        <v>CC415B</v>
      </c>
      <c r="B519" s="1">
        <v>5</v>
      </c>
      <c r="C519" s="1" t="s">
        <v>19</v>
      </c>
      <c r="D519" s="2" t="s">
        <v>30</v>
      </c>
      <c r="E519" s="13" t="s">
        <v>806</v>
      </c>
      <c r="G519" s="2" t="s">
        <v>22</v>
      </c>
      <c r="M519" s="2" t="s">
        <v>808</v>
      </c>
      <c r="P519" s="2" t="s">
        <v>809</v>
      </c>
      <c r="Q519" s="1" t="e">
        <f t="shared" si="22"/>
        <v>#REF!</v>
      </c>
    </row>
    <row r="520" spans="1:17" ht="12" customHeight="1" outlineLevel="5" x14ac:dyDescent="0.35">
      <c r="A520" s="2" t="str">
        <f t="shared" si="23"/>
        <v>CC415B</v>
      </c>
      <c r="B520" s="1">
        <v>5</v>
      </c>
      <c r="C520" s="1" t="s">
        <v>19</v>
      </c>
      <c r="D520" s="2" t="s">
        <v>30</v>
      </c>
      <c r="E520" s="13" t="s">
        <v>789</v>
      </c>
      <c r="G520" s="2" t="s">
        <v>22</v>
      </c>
      <c r="M520" s="2" t="s">
        <v>791</v>
      </c>
      <c r="P520" s="2" t="s">
        <v>792</v>
      </c>
      <c r="Q520" s="1" t="e">
        <f t="shared" si="22"/>
        <v>#REF!</v>
      </c>
    </row>
    <row r="521" spans="1:17" ht="12" customHeight="1" outlineLevel="4" x14ac:dyDescent="0.35">
      <c r="A521" s="3" t="str">
        <f t="shared" si="23"/>
        <v>CC415B</v>
      </c>
      <c r="B521" s="4">
        <v>4</v>
      </c>
      <c r="C521" s="3" t="s">
        <v>24</v>
      </c>
      <c r="D521" s="3" t="s">
        <v>53</v>
      </c>
      <c r="E521" s="12" t="s">
        <v>105</v>
      </c>
      <c r="F521" s="4"/>
      <c r="G521" s="3" t="s">
        <v>22</v>
      </c>
      <c r="H521" s="4"/>
      <c r="I521" s="4"/>
      <c r="J521" s="4"/>
      <c r="K521" s="4"/>
      <c r="L521" s="4"/>
      <c r="M521" s="3" t="s">
        <v>106</v>
      </c>
      <c r="N521" s="4"/>
      <c r="O521" s="4"/>
      <c r="P521" s="3" t="s">
        <v>884</v>
      </c>
      <c r="Q521" s="1" t="e">
        <f t="shared" si="22"/>
        <v>#REF!</v>
      </c>
    </row>
    <row r="522" spans="1:17" ht="12" customHeight="1" outlineLevel="5" x14ac:dyDescent="0.35">
      <c r="A522" s="2" t="str">
        <f t="shared" si="23"/>
        <v>CC415B</v>
      </c>
      <c r="B522" s="1">
        <v>5</v>
      </c>
      <c r="C522" s="1" t="s">
        <v>19</v>
      </c>
      <c r="D522" s="2" t="s">
        <v>25</v>
      </c>
      <c r="E522" s="13" t="s">
        <v>774</v>
      </c>
      <c r="F522" s="7" t="s">
        <v>853</v>
      </c>
      <c r="G522" s="2" t="s">
        <v>27</v>
      </c>
      <c r="M522" s="2" t="s">
        <v>776</v>
      </c>
      <c r="P522" s="2" t="s">
        <v>885</v>
      </c>
      <c r="Q522" s="1" t="e">
        <f t="shared" si="22"/>
        <v>#REF!</v>
      </c>
    </row>
    <row r="523" spans="1:17" ht="12" customHeight="1" outlineLevel="5" x14ac:dyDescent="0.35">
      <c r="A523" s="2" t="str">
        <f t="shared" si="23"/>
        <v>CC415B</v>
      </c>
      <c r="B523" s="1">
        <v>5</v>
      </c>
      <c r="C523" s="1" t="s">
        <v>19</v>
      </c>
      <c r="D523" s="2" t="s">
        <v>25</v>
      </c>
      <c r="E523" s="13" t="s">
        <v>4</v>
      </c>
      <c r="F523" s="7" t="s">
        <v>803</v>
      </c>
      <c r="G523" s="2" t="s">
        <v>27</v>
      </c>
      <c r="M523" s="2" t="s">
        <v>4</v>
      </c>
      <c r="P523" s="2" t="s">
        <v>886</v>
      </c>
      <c r="Q523" s="1" t="e">
        <f t="shared" si="22"/>
        <v>#REF!</v>
      </c>
    </row>
    <row r="524" spans="1:17" ht="12" customHeight="1" outlineLevel="5" x14ac:dyDescent="0.35">
      <c r="A524" s="2" t="str">
        <f t="shared" si="23"/>
        <v>CC415B</v>
      </c>
      <c r="B524" s="1">
        <v>5</v>
      </c>
      <c r="C524" s="1" t="s">
        <v>19</v>
      </c>
      <c r="D524" s="2" t="s">
        <v>25</v>
      </c>
      <c r="E524" s="13" t="s">
        <v>813</v>
      </c>
      <c r="F524" s="7" t="s">
        <v>814</v>
      </c>
      <c r="G524" s="2" t="s">
        <v>27</v>
      </c>
      <c r="M524" s="2" t="s">
        <v>815</v>
      </c>
      <c r="P524" s="2" t="s">
        <v>816</v>
      </c>
      <c r="Q524" s="1" t="e">
        <f t="shared" si="22"/>
        <v>#REF!</v>
      </c>
    </row>
    <row r="525" spans="1:17" ht="12" customHeight="1" outlineLevel="5" x14ac:dyDescent="0.35">
      <c r="A525" s="2" t="str">
        <f t="shared" si="23"/>
        <v>CC415B</v>
      </c>
      <c r="B525" s="1">
        <v>5</v>
      </c>
      <c r="C525" s="1" t="s">
        <v>19</v>
      </c>
      <c r="D525" s="2" t="s">
        <v>25</v>
      </c>
      <c r="E525" s="13" t="s">
        <v>111</v>
      </c>
      <c r="F525" s="7" t="s">
        <v>817</v>
      </c>
      <c r="G525" s="2" t="s">
        <v>27</v>
      </c>
      <c r="M525" s="2" t="s">
        <v>887</v>
      </c>
      <c r="P525" s="2" t="s">
        <v>818</v>
      </c>
      <c r="Q525" s="1" t="e">
        <f t="shared" si="22"/>
        <v>#REF!</v>
      </c>
    </row>
    <row r="526" spans="1:17" ht="12" customHeight="1" outlineLevel="3" x14ac:dyDescent="0.35">
      <c r="A526" s="3" t="str">
        <f t="shared" si="23"/>
        <v>CC415B</v>
      </c>
      <c r="B526" s="4">
        <v>3</v>
      </c>
      <c r="C526" s="3" t="s">
        <v>24</v>
      </c>
      <c r="D526" s="3" t="s">
        <v>243</v>
      </c>
      <c r="E526" s="10" t="s">
        <v>926</v>
      </c>
      <c r="F526" s="4"/>
      <c r="G526" s="3" t="s">
        <v>22</v>
      </c>
      <c r="H526" s="4"/>
      <c r="I526" s="4"/>
      <c r="J526" s="4"/>
      <c r="K526" s="4"/>
      <c r="L526" s="4"/>
      <c r="M526" s="3" t="s">
        <v>927</v>
      </c>
      <c r="N526" s="4"/>
      <c r="O526" s="4"/>
      <c r="P526" s="3" t="s">
        <v>975</v>
      </c>
      <c r="Q526" s="1" t="e">
        <f t="shared" si="22"/>
        <v>#REF!</v>
      </c>
    </row>
    <row r="527" spans="1:17" ht="12" customHeight="1" outlineLevel="4" x14ac:dyDescent="0.35">
      <c r="A527" s="2" t="str">
        <f t="shared" si="23"/>
        <v>CC415B</v>
      </c>
      <c r="B527" s="1">
        <v>4</v>
      </c>
      <c r="C527" s="1" t="s">
        <v>19</v>
      </c>
      <c r="D527" s="2" t="s">
        <v>30</v>
      </c>
      <c r="E527" s="11" t="s">
        <v>774</v>
      </c>
      <c r="F527" s="7" t="s">
        <v>853</v>
      </c>
      <c r="G527" s="2" t="s">
        <v>22</v>
      </c>
      <c r="M527" s="2" t="s">
        <v>776</v>
      </c>
      <c r="P527" s="2" t="s">
        <v>885</v>
      </c>
      <c r="Q527" s="1" t="e">
        <f t="shared" si="22"/>
        <v>#REF!</v>
      </c>
    </row>
    <row r="528" spans="1:17" ht="12" customHeight="1" outlineLevel="4" x14ac:dyDescent="0.35">
      <c r="A528" s="3" t="str">
        <f t="shared" si="23"/>
        <v>CC415B</v>
      </c>
      <c r="B528" s="4">
        <v>4</v>
      </c>
      <c r="C528" s="3" t="s">
        <v>24</v>
      </c>
      <c r="D528" s="3" t="s">
        <v>30</v>
      </c>
      <c r="E528" s="12" t="s">
        <v>929</v>
      </c>
      <c r="F528" s="4"/>
      <c r="G528" s="3" t="s">
        <v>22</v>
      </c>
      <c r="H528" s="4"/>
      <c r="I528" s="4"/>
      <c r="J528" s="4"/>
      <c r="K528" s="4"/>
      <c r="L528" s="4"/>
      <c r="M528" s="3" t="s">
        <v>930</v>
      </c>
      <c r="N528" s="4"/>
      <c r="O528" s="4"/>
      <c r="P528" s="3" t="s">
        <v>931</v>
      </c>
      <c r="Q528" s="1" t="e">
        <f t="shared" si="22"/>
        <v>#REF!</v>
      </c>
    </row>
    <row r="529" spans="1:18" ht="12" customHeight="1" outlineLevel="5" x14ac:dyDescent="0.35">
      <c r="A529" s="2" t="str">
        <f t="shared" si="23"/>
        <v>CC415B</v>
      </c>
      <c r="B529" s="1">
        <v>5</v>
      </c>
      <c r="C529" s="1" t="s">
        <v>19</v>
      </c>
      <c r="D529" s="2" t="s">
        <v>30</v>
      </c>
      <c r="E529" s="13" t="s">
        <v>222</v>
      </c>
      <c r="F529" s="7" t="s">
        <v>829</v>
      </c>
      <c r="G529" s="2" t="s">
        <v>22</v>
      </c>
      <c r="M529" s="2" t="s">
        <v>222</v>
      </c>
      <c r="P529" s="2" t="s">
        <v>900</v>
      </c>
      <c r="Q529" s="1" t="e">
        <f t="shared" si="22"/>
        <v>#REF!</v>
      </c>
    </row>
    <row r="530" spans="1:18" ht="12" customHeight="1" outlineLevel="5" x14ac:dyDescent="0.35">
      <c r="A530" s="2" t="str">
        <f t="shared" si="23"/>
        <v>CC415B</v>
      </c>
      <c r="B530" s="1">
        <v>5</v>
      </c>
      <c r="C530" s="1" t="s">
        <v>19</v>
      </c>
      <c r="D530" s="2" t="s">
        <v>30</v>
      </c>
      <c r="E530" s="13" t="s">
        <v>905</v>
      </c>
      <c r="F530" s="7" t="s">
        <v>932</v>
      </c>
      <c r="G530" s="2" t="s">
        <v>22</v>
      </c>
      <c r="M530" s="2" t="s">
        <v>906</v>
      </c>
      <c r="P530" s="2" t="s">
        <v>933</v>
      </c>
      <c r="Q530" s="1" t="e">
        <f t="shared" si="22"/>
        <v>#REF!</v>
      </c>
    </row>
    <row r="531" spans="1:18" ht="12" customHeight="1" outlineLevel="4" x14ac:dyDescent="0.35">
      <c r="A531" s="3" t="str">
        <f t="shared" si="23"/>
        <v>CC415B</v>
      </c>
      <c r="B531" s="4">
        <v>4</v>
      </c>
      <c r="C531" s="3" t="s">
        <v>24</v>
      </c>
      <c r="D531" s="3" t="s">
        <v>53</v>
      </c>
      <c r="E531" s="12" t="s">
        <v>934</v>
      </c>
      <c r="F531" s="4"/>
      <c r="G531" s="3" t="s">
        <v>22</v>
      </c>
      <c r="H531" s="4"/>
      <c r="I531" s="4"/>
      <c r="J531" s="4"/>
      <c r="K531" s="4"/>
      <c r="L531" s="4"/>
      <c r="M531" s="3" t="s">
        <v>935</v>
      </c>
      <c r="N531" s="4"/>
      <c r="O531" s="4"/>
      <c r="P531" s="3" t="s">
        <v>976</v>
      </c>
      <c r="Q531" s="1" t="e">
        <f t="shared" si="22"/>
        <v>#REF!</v>
      </c>
    </row>
    <row r="532" spans="1:18" ht="12" customHeight="1" outlineLevel="5" x14ac:dyDescent="0.35">
      <c r="A532" s="2" t="str">
        <f t="shared" si="23"/>
        <v>CC415B</v>
      </c>
      <c r="B532" s="1">
        <v>5</v>
      </c>
      <c r="C532" s="1" t="s">
        <v>19</v>
      </c>
      <c r="D532" s="2" t="s">
        <v>30</v>
      </c>
      <c r="E532" s="13" t="s">
        <v>774</v>
      </c>
      <c r="F532" s="7" t="s">
        <v>853</v>
      </c>
      <c r="G532" s="2" t="s">
        <v>22</v>
      </c>
      <c r="M532" s="2" t="s">
        <v>776</v>
      </c>
      <c r="P532" s="2" t="s">
        <v>885</v>
      </c>
      <c r="Q532" s="1" t="e">
        <f t="shared" si="22"/>
        <v>#REF!</v>
      </c>
    </row>
    <row r="533" spans="1:18" ht="12" customHeight="1" outlineLevel="5" x14ac:dyDescent="0.35">
      <c r="A533" s="2" t="str">
        <f t="shared" si="23"/>
        <v>CC415B</v>
      </c>
      <c r="B533" s="1">
        <v>5</v>
      </c>
      <c r="C533" s="1" t="s">
        <v>19</v>
      </c>
      <c r="D533" s="2" t="s">
        <v>30</v>
      </c>
      <c r="E533" s="13" t="s">
        <v>222</v>
      </c>
      <c r="F533" s="7" t="s">
        <v>829</v>
      </c>
      <c r="G533" s="2" t="s">
        <v>22</v>
      </c>
      <c r="M533" s="2" t="s">
        <v>222</v>
      </c>
      <c r="P533" s="2" t="s">
        <v>900</v>
      </c>
      <c r="Q533" s="1" t="e">
        <f t="shared" si="22"/>
        <v>#REF!</v>
      </c>
    </row>
    <row r="534" spans="1:18" ht="12" customHeight="1" outlineLevel="5" x14ac:dyDescent="0.35">
      <c r="A534" s="2" t="str">
        <f t="shared" si="23"/>
        <v>CC415B</v>
      </c>
      <c r="B534" s="1">
        <v>5</v>
      </c>
      <c r="C534" s="1" t="s">
        <v>19</v>
      </c>
      <c r="D534" s="2" t="s">
        <v>30</v>
      </c>
      <c r="E534" s="13" t="s">
        <v>905</v>
      </c>
      <c r="F534" s="7" t="s">
        <v>932</v>
      </c>
      <c r="G534" s="2" t="s">
        <v>22</v>
      </c>
      <c r="M534" s="2" t="s">
        <v>906</v>
      </c>
      <c r="P534" s="2" t="s">
        <v>933</v>
      </c>
      <c r="Q534" s="1" t="e">
        <f t="shared" si="22"/>
        <v>#REF!</v>
      </c>
    </row>
    <row r="535" spans="1:18" ht="12" customHeight="1" outlineLevel="4" x14ac:dyDescent="0.35">
      <c r="A535" s="3" t="str">
        <f t="shared" si="23"/>
        <v>CC415B</v>
      </c>
      <c r="B535" s="4">
        <v>4</v>
      </c>
      <c r="C535" s="3" t="s">
        <v>24</v>
      </c>
      <c r="D535" s="3" t="s">
        <v>30</v>
      </c>
      <c r="E535" s="12" t="s">
        <v>937</v>
      </c>
      <c r="F535" s="4"/>
      <c r="G535" s="3" t="s">
        <v>22</v>
      </c>
      <c r="H535" s="4"/>
      <c r="I535" s="4"/>
      <c r="J535" s="4"/>
      <c r="K535" s="4"/>
      <c r="L535" s="4" t="s">
        <v>1228</v>
      </c>
      <c r="M535" s="3" t="s">
        <v>938</v>
      </c>
      <c r="N535" s="4"/>
      <c r="O535" s="4"/>
      <c r="P535" s="3" t="s">
        <v>977</v>
      </c>
      <c r="Q535" s="1" t="e">
        <f t="shared" ref="Q535:Q547" si="24">IF($B535=0,$M535,_xlfn.TEXTBEFORE(Q534,"/",$B535,,,Q534)&amp;"/"&amp;$M535)&amp;IF(_xlfn.TEXTAFTER($D535,"..",,,,1)&lt;&gt;"1","[0]","")</f>
        <v>#REF!</v>
      </c>
    </row>
    <row r="536" spans="1:18" ht="12" customHeight="1" outlineLevel="5" x14ac:dyDescent="0.35">
      <c r="A536" s="2" t="str">
        <f t="shared" si="23"/>
        <v>CC415B</v>
      </c>
      <c r="B536" s="1">
        <v>5</v>
      </c>
      <c r="C536" s="1" t="s">
        <v>19</v>
      </c>
      <c r="D536" s="2" t="s">
        <v>30</v>
      </c>
      <c r="E536" s="13" t="s">
        <v>905</v>
      </c>
      <c r="F536" s="7" t="s">
        <v>932</v>
      </c>
      <c r="G536" s="2" t="s">
        <v>22</v>
      </c>
      <c r="L536" s="1" t="s">
        <v>1229</v>
      </c>
      <c r="M536" s="2" t="s">
        <v>906</v>
      </c>
      <c r="P536" s="2" t="s">
        <v>933</v>
      </c>
      <c r="Q536" s="1" t="e">
        <f t="shared" si="24"/>
        <v>#REF!</v>
      </c>
    </row>
    <row r="537" spans="1:18" ht="12" customHeight="1" outlineLevel="3" x14ac:dyDescent="0.35">
      <c r="A537" s="3" t="str">
        <f t="shared" si="23"/>
        <v>CC415B</v>
      </c>
      <c r="B537" s="4">
        <v>3</v>
      </c>
      <c r="C537" s="3" t="s">
        <v>24</v>
      </c>
      <c r="D537" s="3" t="s">
        <v>314</v>
      </c>
      <c r="E537" s="10" t="s">
        <v>915</v>
      </c>
      <c r="F537" s="4"/>
      <c r="G537" s="3" t="s">
        <v>22</v>
      </c>
      <c r="H537" s="4"/>
      <c r="I537" s="4"/>
      <c r="J537" s="4"/>
      <c r="K537" s="4"/>
      <c r="L537" s="4" t="s">
        <v>1230</v>
      </c>
      <c r="M537" s="3" t="s">
        <v>916</v>
      </c>
      <c r="N537" s="4"/>
      <c r="O537" s="4"/>
      <c r="P537" s="3" t="s">
        <v>978</v>
      </c>
      <c r="Q537" s="1" t="e">
        <f t="shared" si="24"/>
        <v>#REF!</v>
      </c>
    </row>
    <row r="538" spans="1:18" ht="12" customHeight="1" outlineLevel="4" x14ac:dyDescent="0.35">
      <c r="A538" s="2" t="str">
        <f t="shared" si="23"/>
        <v>CC415B</v>
      </c>
      <c r="B538" s="1">
        <v>4</v>
      </c>
      <c r="C538" s="1" t="s">
        <v>19</v>
      </c>
      <c r="D538" s="2" t="s">
        <v>30</v>
      </c>
      <c r="E538" s="11" t="s">
        <v>774</v>
      </c>
      <c r="F538" s="7" t="s">
        <v>853</v>
      </c>
      <c r="G538" s="2" t="s">
        <v>22</v>
      </c>
      <c r="M538" s="2" t="s">
        <v>776</v>
      </c>
      <c r="P538" s="2" t="s">
        <v>918</v>
      </c>
      <c r="Q538" s="1" t="e">
        <f t="shared" si="24"/>
        <v>#REF!</v>
      </c>
      <c r="R538" s="2" t="s">
        <v>830</v>
      </c>
    </row>
    <row r="539" spans="1:18" ht="12" customHeight="1" outlineLevel="4" x14ac:dyDescent="0.35">
      <c r="A539" s="3" t="str">
        <f t="shared" si="23"/>
        <v>CC415B</v>
      </c>
      <c r="B539" s="4">
        <v>4</v>
      </c>
      <c r="C539" s="3" t="s">
        <v>24</v>
      </c>
      <c r="D539" s="3" t="s">
        <v>30</v>
      </c>
      <c r="E539" s="12" t="s">
        <v>627</v>
      </c>
      <c r="F539" s="4"/>
      <c r="G539" s="3" t="s">
        <v>22</v>
      </c>
      <c r="H539" s="4"/>
      <c r="I539" s="4"/>
      <c r="J539" s="4"/>
      <c r="K539" s="4"/>
      <c r="L539" s="4" t="s">
        <v>1231</v>
      </c>
      <c r="M539" s="3" t="s">
        <v>629</v>
      </c>
      <c r="N539" s="4"/>
      <c r="O539" s="4"/>
      <c r="P539" s="3" t="s">
        <v>979</v>
      </c>
      <c r="Q539" s="1" t="e">
        <f t="shared" si="24"/>
        <v>#REF!</v>
      </c>
    </row>
    <row r="540" spans="1:18" ht="12" customHeight="1" outlineLevel="5" x14ac:dyDescent="0.35">
      <c r="A540" s="2" t="str">
        <f t="shared" si="23"/>
        <v>CC415B</v>
      </c>
      <c r="B540" s="1">
        <v>5</v>
      </c>
      <c r="C540" s="1" t="s">
        <v>19</v>
      </c>
      <c r="D540" s="2" t="s">
        <v>30</v>
      </c>
      <c r="E540" s="13" t="s">
        <v>631</v>
      </c>
      <c r="F540" s="7" t="s">
        <v>820</v>
      </c>
      <c r="G540" s="2" t="s">
        <v>22</v>
      </c>
      <c r="M540" s="2" t="s">
        <v>920</v>
      </c>
      <c r="P540" s="2" t="s">
        <v>822</v>
      </c>
      <c r="Q540" s="1" t="e">
        <f t="shared" si="24"/>
        <v>#REF!</v>
      </c>
    </row>
    <row r="541" spans="1:18" ht="12" customHeight="1" outlineLevel="5" x14ac:dyDescent="0.35">
      <c r="A541" s="2" t="str">
        <f t="shared" si="23"/>
        <v>CC415B</v>
      </c>
      <c r="B541" s="1">
        <v>5</v>
      </c>
      <c r="C541" s="1" t="s">
        <v>19</v>
      </c>
      <c r="D541" s="2" t="s">
        <v>30</v>
      </c>
      <c r="E541" s="13" t="s">
        <v>635</v>
      </c>
      <c r="F541" s="7" t="s">
        <v>824</v>
      </c>
      <c r="G541" s="2" t="s">
        <v>22</v>
      </c>
      <c r="M541" s="2" t="s">
        <v>921</v>
      </c>
      <c r="P541" s="2" t="s">
        <v>922</v>
      </c>
      <c r="Q541" s="1" t="e">
        <f t="shared" si="24"/>
        <v>#REF!</v>
      </c>
    </row>
    <row r="542" spans="1:18" ht="12" customHeight="1" outlineLevel="5" x14ac:dyDescent="0.35">
      <c r="A542" s="2" t="str">
        <f t="shared" si="23"/>
        <v>CC415B</v>
      </c>
      <c r="B542" s="1">
        <v>5</v>
      </c>
      <c r="C542" s="1" t="s">
        <v>19</v>
      </c>
      <c r="D542" s="2" t="s">
        <v>30</v>
      </c>
      <c r="E542" s="13" t="s">
        <v>638</v>
      </c>
      <c r="F542" s="7" t="s">
        <v>824</v>
      </c>
      <c r="G542" s="2" t="s">
        <v>22</v>
      </c>
      <c r="M542" s="2" t="s">
        <v>923</v>
      </c>
      <c r="P542" s="2" t="s">
        <v>922</v>
      </c>
      <c r="Q542" s="1" t="e">
        <f t="shared" si="24"/>
        <v>#REF!</v>
      </c>
    </row>
    <row r="543" spans="1:18" ht="12" customHeight="1" outlineLevel="4" x14ac:dyDescent="0.35">
      <c r="A543" s="3" t="str">
        <f t="shared" si="23"/>
        <v>CC415B</v>
      </c>
      <c r="B543" s="4">
        <v>4</v>
      </c>
      <c r="C543" s="3" t="s">
        <v>24</v>
      </c>
      <c r="D543" s="3" t="s">
        <v>193</v>
      </c>
      <c r="E543" s="12" t="s">
        <v>642</v>
      </c>
      <c r="F543" s="4"/>
      <c r="G543" s="3" t="s">
        <v>22</v>
      </c>
      <c r="H543" s="4"/>
      <c r="I543" s="4"/>
      <c r="J543" s="4"/>
      <c r="K543" s="4"/>
      <c r="L543" s="4"/>
      <c r="M543" s="3" t="s">
        <v>644</v>
      </c>
      <c r="N543" s="4"/>
      <c r="O543" s="4"/>
      <c r="P543" s="3" t="s">
        <v>980</v>
      </c>
      <c r="Q543" s="1" t="e">
        <f t="shared" si="24"/>
        <v>#REF!</v>
      </c>
    </row>
    <row r="544" spans="1:18" ht="12" customHeight="1" outlineLevel="5" x14ac:dyDescent="0.35">
      <c r="A544" s="2" t="str">
        <f t="shared" si="23"/>
        <v>CC415B</v>
      </c>
      <c r="B544" s="1">
        <v>5</v>
      </c>
      <c r="C544" s="1" t="s">
        <v>19</v>
      </c>
      <c r="D544" s="2" t="s">
        <v>30</v>
      </c>
      <c r="E544" s="13" t="s">
        <v>774</v>
      </c>
      <c r="F544" s="7" t="s">
        <v>853</v>
      </c>
      <c r="G544" s="2" t="s">
        <v>22</v>
      </c>
      <c r="M544" s="2" t="s">
        <v>776</v>
      </c>
      <c r="P544" s="2" t="s">
        <v>885</v>
      </c>
      <c r="Q544" s="1" t="e">
        <f t="shared" si="24"/>
        <v>#REF!</v>
      </c>
    </row>
    <row r="545" spans="1:18" ht="12" customHeight="1" outlineLevel="5" x14ac:dyDescent="0.35">
      <c r="A545" s="2" t="str">
        <f t="shared" si="23"/>
        <v>CC415B</v>
      </c>
      <c r="B545" s="1">
        <v>5</v>
      </c>
      <c r="C545" s="1" t="s">
        <v>19</v>
      </c>
      <c r="D545" s="2" t="s">
        <v>30</v>
      </c>
      <c r="E545" s="13" t="s">
        <v>642</v>
      </c>
      <c r="F545" s="7" t="s">
        <v>825</v>
      </c>
      <c r="G545" s="2" t="s">
        <v>22</v>
      </c>
      <c r="M545" s="2" t="s">
        <v>644</v>
      </c>
      <c r="P545" s="2" t="s">
        <v>826</v>
      </c>
      <c r="Q545" s="1" t="e">
        <f t="shared" si="24"/>
        <v>#REF!</v>
      </c>
    </row>
    <row r="546" spans="1:18" ht="12" customHeight="1" outlineLevel="4" x14ac:dyDescent="0.35">
      <c r="A546" s="3" t="str">
        <f t="shared" si="23"/>
        <v>CC415B</v>
      </c>
      <c r="B546" s="4">
        <v>4</v>
      </c>
      <c r="C546" s="3" t="s">
        <v>24</v>
      </c>
      <c r="D546" s="3" t="s">
        <v>30</v>
      </c>
      <c r="E546" s="12" t="s">
        <v>338</v>
      </c>
      <c r="F546" s="4"/>
      <c r="G546" s="3" t="s">
        <v>22</v>
      </c>
      <c r="H546" s="4"/>
      <c r="I546" s="4"/>
      <c r="J546" s="4"/>
      <c r="K546" s="4"/>
      <c r="L546" s="4" t="s">
        <v>1232</v>
      </c>
      <c r="M546" s="3" t="s">
        <v>828</v>
      </c>
      <c r="N546" s="4"/>
      <c r="O546" s="4"/>
      <c r="P546" s="3" t="s">
        <v>981</v>
      </c>
      <c r="Q546" s="1" t="e">
        <f t="shared" si="24"/>
        <v>#REF!</v>
      </c>
    </row>
    <row r="547" spans="1:18" ht="12" customHeight="1" outlineLevel="5" x14ac:dyDescent="0.35">
      <c r="A547" s="2" t="str">
        <f t="shared" si="23"/>
        <v>CC415B</v>
      </c>
      <c r="B547" s="1">
        <v>5</v>
      </c>
      <c r="C547" s="1" t="s">
        <v>19</v>
      </c>
      <c r="D547" s="2" t="s">
        <v>30</v>
      </c>
      <c r="E547" s="13" t="s">
        <v>338</v>
      </c>
      <c r="F547" s="7" t="s">
        <v>827</v>
      </c>
      <c r="G547" s="2" t="s">
        <v>22</v>
      </c>
      <c r="M547" s="2" t="s">
        <v>828</v>
      </c>
      <c r="P547" s="2" t="s">
        <v>831</v>
      </c>
      <c r="Q547" s="1" t="e">
        <f t="shared" si="24"/>
        <v>#REF!</v>
      </c>
      <c r="R547" s="2" t="s">
        <v>832</v>
      </c>
    </row>
    <row r="548" spans="1:18" ht="12" customHeight="1" x14ac:dyDescent="0.35"/>
  </sheetData>
  <conditionalFormatting sqref="A1:P548">
    <cfRule type="cellIs" priority="1" stopIfTrue="1" operator="equal">
      <formula>INDIRECT(ADDRESS(ROW(),COLUMN(),1,1,"compare"))</formula>
    </cfRule>
    <cfRule type="cellIs" dxfId="56" priority="2" stopIfTrue="1" operator="equal">
      <formula>""</formula>
    </cfRule>
    <cfRule type="expression" dxfId="55" priority="3" stopIfTrue="1">
      <formula>INDIRECT(ADDRESS(ROW(),COLUMN(),1,1,"compare"))=""</formula>
    </cfRule>
    <cfRule type="cellIs" dxfId="54" priority="4" stopIfTrue="1" operator="notEqual">
      <formula>""</formula>
    </cfRule>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89DC0-1940-4D85-838F-BDE25D289727}">
  <sheetPr codeName="Ark5">
    <tabColor rgb="FF00B0F0"/>
    <outlinePr summaryBelow="0" summaryRight="0"/>
  </sheetPr>
  <dimension ref="A1:Q347"/>
  <sheetViews>
    <sheetView zoomScaleNormal="100" workbookViewId="0">
      <pane xSplit="1" ySplit="1" topLeftCell="D2" activePane="bottomRight" state="frozen"/>
      <selection activeCell="D2" sqref="D2"/>
      <selection pane="topRight" activeCell="D2" sqref="D2"/>
      <selection pane="bottomLeft" activeCell="D2" sqref="D2"/>
      <selection pane="bottomRight" activeCell="D2" sqref="D2"/>
    </sheetView>
  </sheetViews>
  <sheetFormatPr defaultColWidth="11.54296875" defaultRowHeight="12" outlineLevelRow="7" x14ac:dyDescent="0.35"/>
  <cols>
    <col min="1" max="3" width="11.54296875" style="1" hidden="1" customWidth="1"/>
    <col min="4" max="4" width="6.54296875" style="1" customWidth="1"/>
    <col min="5" max="5" width="70.54296875" style="1" customWidth="1"/>
    <col min="6" max="11" width="8.54296875" style="1" customWidth="1"/>
    <col min="12" max="14" width="24.54296875" style="1" customWidth="1"/>
    <col min="15" max="15" width="24.54296875" style="1" hidden="1" customWidth="1"/>
    <col min="16" max="17" width="24.54296875" style="1" customWidth="1"/>
    <col min="18" max="16384" width="11.54296875" style="1"/>
  </cols>
  <sheetData>
    <row r="1" spans="1:17" ht="12"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P1" s="1" t="s">
        <v>14</v>
      </c>
      <c r="Q1" s="1" t="s">
        <v>208</v>
      </c>
    </row>
    <row r="2" spans="1:17" ht="12" customHeight="1" x14ac:dyDescent="0.35">
      <c r="A2" s="2" t="str">
        <f t="shared" ref="A2:A32" si="0">$E$2</f>
        <v>CC413B</v>
      </c>
      <c r="B2" s="1">
        <v>0</v>
      </c>
      <c r="C2" s="2" t="s">
        <v>16</v>
      </c>
      <c r="E2" s="2" t="s">
        <v>15</v>
      </c>
      <c r="H2" s="14"/>
      <c r="I2" s="14"/>
      <c r="J2" s="14"/>
      <c r="M2" s="2" t="s">
        <v>17</v>
      </c>
      <c r="P2" s="2" t="s">
        <v>18</v>
      </c>
      <c r="Q2" s="1" t="str">
        <f>IF($B2=0,$M2,_xlfn.TEXTBEFORE(Q1,"/",$B2,,,Q1)&amp;"/"&amp;$M2)&amp;IF(_xlfn.TEXTAFTER($D2,"..",,,,1)&lt;&gt;"1","[0]","")</f>
        <v>*</v>
      </c>
    </row>
    <row r="3" spans="1:17" ht="12" customHeight="1" outlineLevel="1" x14ac:dyDescent="0.35">
      <c r="A3" s="21" t="str">
        <f t="shared" si="0"/>
        <v>CC413B</v>
      </c>
      <c r="B3" s="22">
        <v>1</v>
      </c>
      <c r="C3" s="22" t="s">
        <v>24</v>
      </c>
      <c r="D3" s="21" t="s">
        <v>20</v>
      </c>
      <c r="E3" s="24" t="s">
        <v>21</v>
      </c>
      <c r="F3" s="22"/>
      <c r="G3" s="21" t="s">
        <v>22</v>
      </c>
      <c r="H3" s="25"/>
      <c r="I3" s="25"/>
      <c r="J3" s="25"/>
      <c r="K3" s="22"/>
      <c r="L3" s="22"/>
      <c r="M3" s="21" t="s">
        <v>21</v>
      </c>
      <c r="N3" s="22"/>
      <c r="O3" s="22"/>
      <c r="P3" s="21" t="s">
        <v>23</v>
      </c>
      <c r="Q3" s="1" t="str">
        <f t="shared" ref="Q3:Q62" si="1">IF($B3=0,$M3,_xlfn.TEXTBEFORE(Q2,"/",$B3,,,Q2)&amp;"/"&amp;$M3)&amp;IF(_xlfn.TEXTAFTER($D3,"..",,,,1)&lt;&gt;"1","[0]","")</f>
        <v>*/Extensions[0]</v>
      </c>
    </row>
    <row r="4" spans="1:17" ht="12" customHeight="1" outlineLevel="2" x14ac:dyDescent="0.35">
      <c r="A4" s="2" t="str">
        <f t="shared" si="0"/>
        <v>CC413B</v>
      </c>
      <c r="B4" s="1">
        <v>2</v>
      </c>
      <c r="C4" s="1" t="s">
        <v>19</v>
      </c>
      <c r="D4" s="2" t="s">
        <v>25</v>
      </c>
      <c r="E4" s="6" t="s">
        <v>774</v>
      </c>
      <c r="F4" s="1" t="s">
        <v>775</v>
      </c>
      <c r="G4" s="2" t="s">
        <v>27</v>
      </c>
      <c r="H4" s="14"/>
      <c r="I4" s="14"/>
      <c r="J4" s="14"/>
      <c r="M4" s="2" t="s">
        <v>776</v>
      </c>
      <c r="P4" s="2"/>
      <c r="Q4" s="1" t="str">
        <f t="shared" si="1"/>
        <v>*/Extensions[0]/SequenceNumeric</v>
      </c>
    </row>
    <row r="5" spans="1:17" ht="12" customHeight="1" outlineLevel="2" x14ac:dyDescent="0.35">
      <c r="A5" s="2" t="str">
        <f t="shared" si="0"/>
        <v>CC413B</v>
      </c>
      <c r="B5" s="1">
        <v>2</v>
      </c>
      <c r="C5" s="1" t="s">
        <v>19</v>
      </c>
      <c r="D5" s="2" t="s">
        <v>30</v>
      </c>
      <c r="E5" s="6" t="s">
        <v>777</v>
      </c>
      <c r="F5" s="1" t="s">
        <v>778</v>
      </c>
      <c r="G5" s="2" t="s">
        <v>22</v>
      </c>
      <c r="H5" s="14"/>
      <c r="I5" s="14"/>
      <c r="J5" s="14"/>
      <c r="M5" s="2" t="s">
        <v>779</v>
      </c>
      <c r="P5" s="2"/>
      <c r="Q5" s="1" t="str">
        <f t="shared" si="1"/>
        <v>*/Extensions[0]/ID</v>
      </c>
    </row>
    <row r="6" spans="1:17" ht="12" customHeight="1" outlineLevel="2" x14ac:dyDescent="0.35">
      <c r="A6" s="2" t="str">
        <f t="shared" si="0"/>
        <v>CC413B</v>
      </c>
      <c r="B6" s="1">
        <v>2</v>
      </c>
      <c r="C6" s="1" t="s">
        <v>19</v>
      </c>
      <c r="D6" s="2" t="s">
        <v>25</v>
      </c>
      <c r="E6" s="6" t="s">
        <v>780</v>
      </c>
      <c r="F6" s="1" t="s">
        <v>778</v>
      </c>
      <c r="G6" s="2" t="s">
        <v>27</v>
      </c>
      <c r="H6" s="14"/>
      <c r="I6" s="14"/>
      <c r="J6" s="14"/>
      <c r="M6" s="2" t="s">
        <v>780</v>
      </c>
      <c r="P6" s="2"/>
      <c r="Q6" s="1" t="str">
        <f t="shared" si="1"/>
        <v>*/Extensions[0]/Key</v>
      </c>
    </row>
    <row r="7" spans="1:17" ht="12" customHeight="1" outlineLevel="2" x14ac:dyDescent="0.35">
      <c r="A7" s="2" t="str">
        <f t="shared" si="0"/>
        <v>CC413B</v>
      </c>
      <c r="B7" s="1">
        <v>2</v>
      </c>
      <c r="C7" s="1" t="s">
        <v>19</v>
      </c>
      <c r="D7" s="2" t="s">
        <v>25</v>
      </c>
      <c r="E7" s="6" t="s">
        <v>781</v>
      </c>
      <c r="F7" s="1" t="s">
        <v>778</v>
      </c>
      <c r="G7" s="2" t="s">
        <v>27</v>
      </c>
      <c r="H7" s="14"/>
      <c r="I7" s="14"/>
      <c r="J7" s="14"/>
      <c r="M7" s="2" t="s">
        <v>781</v>
      </c>
      <c r="P7" s="2"/>
      <c r="Q7" s="1" t="str">
        <f t="shared" si="1"/>
        <v>*/Extensions[0]/Value</v>
      </c>
    </row>
    <row r="8" spans="1:17" ht="12" customHeight="1" outlineLevel="2" x14ac:dyDescent="0.35">
      <c r="A8" s="2" t="str">
        <f t="shared" si="0"/>
        <v>CC413B</v>
      </c>
      <c r="B8" s="1">
        <v>2</v>
      </c>
      <c r="C8" s="1" t="s">
        <v>19</v>
      </c>
      <c r="D8" s="2" t="s">
        <v>25</v>
      </c>
      <c r="E8" s="6" t="s">
        <v>782</v>
      </c>
      <c r="F8" s="14" t="s">
        <v>783</v>
      </c>
      <c r="G8" s="2" t="s">
        <v>27</v>
      </c>
      <c r="H8" s="14"/>
      <c r="I8" s="14"/>
      <c r="J8" s="14"/>
      <c r="M8" s="2" t="s">
        <v>784</v>
      </c>
      <c r="P8" s="2"/>
      <c r="Q8" s="1" t="str">
        <f t="shared" si="1"/>
        <v>*/Extensions[0]/DataType</v>
      </c>
    </row>
    <row r="9" spans="1:17" ht="12" customHeight="1" outlineLevel="2" x14ac:dyDescent="0.35">
      <c r="A9" s="21" t="str">
        <f t="shared" si="0"/>
        <v>CC413B</v>
      </c>
      <c r="B9" s="22">
        <v>2</v>
      </c>
      <c r="C9" s="22" t="s">
        <v>24</v>
      </c>
      <c r="D9" s="21" t="s">
        <v>20</v>
      </c>
      <c r="E9" s="23" t="s">
        <v>21</v>
      </c>
      <c r="F9" s="22"/>
      <c r="G9" s="21" t="s">
        <v>22</v>
      </c>
      <c r="H9" s="25"/>
      <c r="I9" s="25"/>
      <c r="J9" s="25"/>
      <c r="K9" s="22"/>
      <c r="L9" s="22"/>
      <c r="M9" s="21" t="s">
        <v>21</v>
      </c>
      <c r="N9" s="22"/>
      <c r="O9" s="22"/>
      <c r="P9" s="21" t="s">
        <v>785</v>
      </c>
      <c r="Q9" s="1" t="str">
        <f t="shared" si="1"/>
        <v>*/Extensions[0]/Extensions[0]</v>
      </c>
    </row>
    <row r="10" spans="1:17" ht="12" customHeight="1" outlineLevel="1" x14ac:dyDescent="0.35">
      <c r="A10" s="3" t="str">
        <f t="shared" si="0"/>
        <v>CC413B</v>
      </c>
      <c r="B10" s="4">
        <v>1</v>
      </c>
      <c r="C10" s="3" t="s">
        <v>24</v>
      </c>
      <c r="D10" s="3" t="s">
        <v>25</v>
      </c>
      <c r="E10" s="5" t="s">
        <v>26</v>
      </c>
      <c r="F10" s="4"/>
      <c r="G10" s="3" t="s">
        <v>27</v>
      </c>
      <c r="H10" s="16" t="s">
        <v>440</v>
      </c>
      <c r="I10" s="15"/>
      <c r="J10" s="15"/>
      <c r="K10" s="4"/>
      <c r="L10" s="4"/>
      <c r="M10" s="3" t="s">
        <v>28</v>
      </c>
      <c r="N10" s="4"/>
      <c r="O10" s="4"/>
      <c r="P10" s="3" t="s">
        <v>29</v>
      </c>
      <c r="Q10" s="1" t="str">
        <f t="shared" si="1"/>
        <v>*/ImportOperation</v>
      </c>
    </row>
    <row r="11" spans="1:17" ht="12" customHeight="1" outlineLevel="2" x14ac:dyDescent="0.35">
      <c r="A11" s="2" t="str">
        <f t="shared" si="0"/>
        <v>CC413B</v>
      </c>
      <c r="B11" s="1">
        <v>2</v>
      </c>
      <c r="C11" s="1" t="s">
        <v>19</v>
      </c>
      <c r="D11" s="2" t="s">
        <v>30</v>
      </c>
      <c r="E11" s="6" t="s">
        <v>31</v>
      </c>
      <c r="F11" s="7" t="s">
        <v>32</v>
      </c>
      <c r="G11" s="2" t="s">
        <v>396</v>
      </c>
      <c r="H11" s="14"/>
      <c r="I11" s="7" t="s">
        <v>441</v>
      </c>
      <c r="J11" s="14"/>
      <c r="L11" s="1" t="s">
        <v>1196</v>
      </c>
      <c r="M11" s="2" t="s">
        <v>33</v>
      </c>
      <c r="P11" s="2" t="s">
        <v>34</v>
      </c>
      <c r="Q11" s="1" t="str">
        <f t="shared" si="1"/>
        <v>*/ImportOperation/LRN</v>
      </c>
    </row>
    <row r="12" spans="1:17" ht="12" customHeight="1" outlineLevel="2" x14ac:dyDescent="0.35">
      <c r="A12" s="2" t="str">
        <f t="shared" si="0"/>
        <v>CC413B</v>
      </c>
      <c r="B12" s="1">
        <v>2</v>
      </c>
      <c r="C12" s="1" t="s">
        <v>19</v>
      </c>
      <c r="D12" s="2" t="s">
        <v>30</v>
      </c>
      <c r="E12" s="6" t="s">
        <v>35</v>
      </c>
      <c r="F12" s="7" t="s">
        <v>36</v>
      </c>
      <c r="G12" s="2" t="s">
        <v>396</v>
      </c>
      <c r="H12" s="14"/>
      <c r="I12" s="7" t="s">
        <v>441</v>
      </c>
      <c r="J12" s="14"/>
      <c r="M12" s="2" t="s">
        <v>37</v>
      </c>
      <c r="P12" s="2" t="s">
        <v>38</v>
      </c>
      <c r="Q12" s="1" t="str">
        <f t="shared" si="1"/>
        <v>*/ImportOperation/MRN</v>
      </c>
    </row>
    <row r="13" spans="1:17" ht="12" customHeight="1" outlineLevel="2" x14ac:dyDescent="0.35">
      <c r="A13" s="2" t="str">
        <f t="shared" si="0"/>
        <v>CC413B</v>
      </c>
      <c r="B13" s="1">
        <v>2</v>
      </c>
      <c r="C13" s="1" t="s">
        <v>19</v>
      </c>
      <c r="D13" s="2" t="s">
        <v>25</v>
      </c>
      <c r="E13" s="6" t="s">
        <v>39</v>
      </c>
      <c r="F13" s="7" t="s">
        <v>40</v>
      </c>
      <c r="G13" s="2" t="s">
        <v>27</v>
      </c>
      <c r="H13" s="14"/>
      <c r="I13" s="14"/>
      <c r="J13" s="7" t="s">
        <v>389</v>
      </c>
      <c r="L13" s="1" t="s">
        <v>1197</v>
      </c>
      <c r="M13" s="2" t="s">
        <v>41</v>
      </c>
      <c r="P13" s="2" t="s">
        <v>42</v>
      </c>
      <c r="Q13" s="1" t="str">
        <f t="shared" si="1"/>
        <v>*/ImportOperation/declarationType</v>
      </c>
    </row>
    <row r="14" spans="1:17" ht="12" customHeight="1" outlineLevel="2" x14ac:dyDescent="0.35">
      <c r="A14" s="2" t="str">
        <f t="shared" si="0"/>
        <v>CC413B</v>
      </c>
      <c r="B14" s="1">
        <v>2</v>
      </c>
      <c r="C14" s="1" t="s">
        <v>19</v>
      </c>
      <c r="D14" s="2" t="s">
        <v>25</v>
      </c>
      <c r="E14" s="6" t="s">
        <v>43</v>
      </c>
      <c r="F14" s="7" t="s">
        <v>44</v>
      </c>
      <c r="G14" s="2" t="s">
        <v>27</v>
      </c>
      <c r="H14" s="14"/>
      <c r="I14" s="14"/>
      <c r="J14" s="7" t="s">
        <v>390</v>
      </c>
      <c r="L14" s="1" t="s">
        <v>1198</v>
      </c>
      <c r="M14" s="2" t="s">
        <v>45</v>
      </c>
      <c r="P14" s="2" t="s">
        <v>46</v>
      </c>
      <c r="Q14" s="1" t="str">
        <f t="shared" si="1"/>
        <v>*/ImportOperation/additionalDeclarationType</v>
      </c>
    </row>
    <row r="15" spans="1:17" ht="12" customHeight="1" outlineLevel="2" x14ac:dyDescent="0.35">
      <c r="A15" s="2" t="str">
        <f t="shared" si="0"/>
        <v>CC413B</v>
      </c>
      <c r="B15" s="1">
        <v>2</v>
      </c>
      <c r="C15" s="1" t="s">
        <v>19</v>
      </c>
      <c r="D15" s="2" t="s">
        <v>25</v>
      </c>
      <c r="E15" s="6" t="s">
        <v>49</v>
      </c>
      <c r="F15" s="7" t="s">
        <v>50</v>
      </c>
      <c r="G15" s="2" t="s">
        <v>27</v>
      </c>
      <c r="H15" s="14" t="s">
        <v>392</v>
      </c>
      <c r="I15" s="14"/>
      <c r="J15" s="7" t="s">
        <v>391</v>
      </c>
      <c r="M15" s="2" t="s">
        <v>51</v>
      </c>
      <c r="P15" s="2" t="s">
        <v>52</v>
      </c>
      <c r="Q15" s="1" t="e">
        <f>IF($B15=0,$M15,_xlfn.TEXTBEFORE(#REF!,"/",$B15,,,#REF!)&amp;"/"&amp;$M15)&amp;IF(_xlfn.TEXTAFTER($D15,"..",,,,1)&lt;&gt;"1","[0]","")</f>
        <v>#REF!</v>
      </c>
    </row>
    <row r="16" spans="1:17" ht="12" customHeight="1" outlineLevel="1" x14ac:dyDescent="0.35">
      <c r="A16" s="3" t="str">
        <f t="shared" si="0"/>
        <v>CC413B</v>
      </c>
      <c r="B16" s="4">
        <v>1</v>
      </c>
      <c r="C16" s="3" t="s">
        <v>24</v>
      </c>
      <c r="D16" s="3" t="s">
        <v>53</v>
      </c>
      <c r="E16" s="5" t="s">
        <v>54</v>
      </c>
      <c r="F16" s="4"/>
      <c r="G16" s="3" t="s">
        <v>22</v>
      </c>
      <c r="H16" s="16" t="s">
        <v>442</v>
      </c>
      <c r="I16" s="15"/>
      <c r="J16" s="15"/>
      <c r="K16" s="4"/>
      <c r="L16" s="4" t="s">
        <v>991</v>
      </c>
      <c r="M16" s="3" t="s">
        <v>54</v>
      </c>
      <c r="N16" s="4"/>
      <c r="O16" s="4"/>
      <c r="P16" s="3" t="s">
        <v>55</v>
      </c>
      <c r="Q16" s="1" t="e">
        <f t="shared" si="1"/>
        <v>#REF!</v>
      </c>
    </row>
    <row r="17" spans="1:17" ht="12" customHeight="1" outlineLevel="2" x14ac:dyDescent="0.35">
      <c r="A17" s="2" t="str">
        <f t="shared" si="0"/>
        <v>CC413B</v>
      </c>
      <c r="B17" s="1">
        <v>2</v>
      </c>
      <c r="C17" s="1" t="s">
        <v>19</v>
      </c>
      <c r="D17" s="2" t="s">
        <v>25</v>
      </c>
      <c r="E17" s="6" t="s">
        <v>56</v>
      </c>
      <c r="F17" s="7" t="s">
        <v>57</v>
      </c>
      <c r="G17" s="2" t="s">
        <v>27</v>
      </c>
      <c r="H17" s="7" t="s">
        <v>393</v>
      </c>
      <c r="I17" s="14"/>
      <c r="J17" s="14"/>
      <c r="M17" s="2" t="s">
        <v>58</v>
      </c>
      <c r="P17" s="2" t="s">
        <v>59</v>
      </c>
      <c r="Q17" s="1" t="e">
        <f t="shared" si="1"/>
        <v>#REF!</v>
      </c>
    </row>
    <row r="18" spans="1:17" ht="12" customHeight="1" outlineLevel="2" x14ac:dyDescent="0.35">
      <c r="A18" s="2" t="str">
        <f t="shared" si="0"/>
        <v>CC413B</v>
      </c>
      <c r="B18" s="1">
        <v>2</v>
      </c>
      <c r="C18" s="1" t="s">
        <v>19</v>
      </c>
      <c r="D18" s="2" t="s">
        <v>30</v>
      </c>
      <c r="E18" s="6" t="s">
        <v>2</v>
      </c>
      <c r="F18" s="7" t="s">
        <v>60</v>
      </c>
      <c r="G18" s="2" t="s">
        <v>396</v>
      </c>
      <c r="H18" s="14"/>
      <c r="I18" s="7" t="s">
        <v>395</v>
      </c>
      <c r="J18" s="7" t="s">
        <v>394</v>
      </c>
      <c r="L18" s="1" t="s">
        <v>992</v>
      </c>
      <c r="M18" s="2" t="s">
        <v>61</v>
      </c>
      <c r="P18" s="2" t="s">
        <v>62</v>
      </c>
      <c r="Q18" s="1" t="e">
        <f t="shared" si="1"/>
        <v>#REF!</v>
      </c>
    </row>
    <row r="19" spans="1:17" ht="12" customHeight="1" outlineLevel="2" x14ac:dyDescent="0.35">
      <c r="A19" s="2" t="str">
        <f t="shared" si="0"/>
        <v>CC413B</v>
      </c>
      <c r="B19" s="1">
        <v>2</v>
      </c>
      <c r="C19" s="1" t="s">
        <v>19</v>
      </c>
      <c r="D19" s="2" t="s">
        <v>25</v>
      </c>
      <c r="E19" s="6" t="s">
        <v>63</v>
      </c>
      <c r="F19" s="7" t="s">
        <v>64</v>
      </c>
      <c r="G19" s="2" t="s">
        <v>27</v>
      </c>
      <c r="H19" s="14"/>
      <c r="I19" s="14"/>
      <c r="J19" s="14"/>
      <c r="L19" s="1" t="s">
        <v>993</v>
      </c>
      <c r="M19" s="2" t="s">
        <v>65</v>
      </c>
      <c r="P19" s="2" t="s">
        <v>66</v>
      </c>
      <c r="Q19" s="1" t="e">
        <f t="shared" si="1"/>
        <v>#REF!</v>
      </c>
    </row>
    <row r="20" spans="1:17" ht="12" customHeight="1" outlineLevel="2" x14ac:dyDescent="0.35">
      <c r="A20" s="2" t="str">
        <f t="shared" si="0"/>
        <v>CC413B</v>
      </c>
      <c r="B20" s="1">
        <v>2</v>
      </c>
      <c r="C20" s="1" t="s">
        <v>19</v>
      </c>
      <c r="D20" s="2" t="s">
        <v>30</v>
      </c>
      <c r="E20" s="6" t="s">
        <v>67</v>
      </c>
      <c r="F20" s="7" t="s">
        <v>68</v>
      </c>
      <c r="G20" s="2" t="s">
        <v>396</v>
      </c>
      <c r="H20" s="7" t="s">
        <v>397</v>
      </c>
      <c r="I20" s="7" t="s">
        <v>398</v>
      </c>
      <c r="J20" s="14"/>
      <c r="L20" s="1" t="s">
        <v>994</v>
      </c>
      <c r="M20" s="2" t="s">
        <v>69</v>
      </c>
      <c r="P20" s="2" t="s">
        <v>70</v>
      </c>
      <c r="Q20" s="1" t="e">
        <f t="shared" si="1"/>
        <v>#REF!</v>
      </c>
    </row>
    <row r="21" spans="1:17" ht="12" customHeight="1" outlineLevel="1" x14ac:dyDescent="0.35">
      <c r="A21" s="3" t="str">
        <f t="shared" si="0"/>
        <v>CC413B</v>
      </c>
      <c r="B21" s="4">
        <v>1</v>
      </c>
      <c r="C21" s="3" t="s">
        <v>24</v>
      </c>
      <c r="D21" s="3" t="s">
        <v>30</v>
      </c>
      <c r="E21" s="5" t="s">
        <v>71</v>
      </c>
      <c r="F21" s="4"/>
      <c r="G21" s="3" t="s">
        <v>22</v>
      </c>
      <c r="H21" s="16" t="s">
        <v>440</v>
      </c>
      <c r="I21" s="15"/>
      <c r="J21" s="15"/>
      <c r="K21" s="4"/>
      <c r="L21" s="4" t="s">
        <v>995</v>
      </c>
      <c r="M21" s="3" t="s">
        <v>72</v>
      </c>
      <c r="N21" s="4"/>
      <c r="O21" s="4"/>
      <c r="P21" s="3" t="s">
        <v>73</v>
      </c>
      <c r="Q21" s="1" t="e">
        <f t="shared" si="1"/>
        <v>#REF!</v>
      </c>
    </row>
    <row r="22" spans="1:17" ht="12" customHeight="1" outlineLevel="2" x14ac:dyDescent="0.35">
      <c r="A22" s="2" t="str">
        <f t="shared" si="0"/>
        <v>CC413B</v>
      </c>
      <c r="B22" s="1">
        <v>2</v>
      </c>
      <c r="C22" s="1" t="s">
        <v>19</v>
      </c>
      <c r="D22" s="2" t="s">
        <v>25</v>
      </c>
      <c r="E22" s="6" t="s">
        <v>63</v>
      </c>
      <c r="F22" s="7" t="s">
        <v>74</v>
      </c>
      <c r="G22" s="2" t="s">
        <v>27</v>
      </c>
      <c r="H22" s="14"/>
      <c r="I22" s="14"/>
      <c r="J22" s="7" t="s">
        <v>399</v>
      </c>
      <c r="L22" s="1" t="s">
        <v>996</v>
      </c>
      <c r="M22" s="2" t="s">
        <v>65</v>
      </c>
      <c r="P22" s="2" t="s">
        <v>75</v>
      </c>
      <c r="Q22" s="1" t="e">
        <f t="shared" si="1"/>
        <v>#REF!</v>
      </c>
    </row>
    <row r="23" spans="1:17" ht="12" customHeight="1" outlineLevel="1" x14ac:dyDescent="0.35">
      <c r="A23" s="3" t="str">
        <f t="shared" si="0"/>
        <v>CC413B</v>
      </c>
      <c r="B23" s="4">
        <v>1</v>
      </c>
      <c r="C23" s="3" t="s">
        <v>24</v>
      </c>
      <c r="D23" s="3" t="s">
        <v>30</v>
      </c>
      <c r="E23" s="5" t="s">
        <v>76</v>
      </c>
      <c r="F23" s="4"/>
      <c r="G23" s="3" t="s">
        <v>22</v>
      </c>
      <c r="H23" s="16" t="s">
        <v>400</v>
      </c>
      <c r="I23" s="15"/>
      <c r="J23" s="15"/>
      <c r="K23" s="4"/>
      <c r="L23" s="4" t="s">
        <v>997</v>
      </c>
      <c r="M23" s="3" t="s">
        <v>77</v>
      </c>
      <c r="N23" s="4"/>
      <c r="O23" s="4"/>
      <c r="P23" s="3" t="s">
        <v>78</v>
      </c>
      <c r="Q23" s="1" t="e">
        <f t="shared" si="1"/>
        <v>#REF!</v>
      </c>
    </row>
    <row r="24" spans="1:17" ht="12" customHeight="1" outlineLevel="2" x14ac:dyDescent="0.35">
      <c r="A24" s="2" t="str">
        <f t="shared" si="0"/>
        <v>CC413B</v>
      </c>
      <c r="B24" s="1">
        <v>2</v>
      </c>
      <c r="C24" s="1" t="s">
        <v>19</v>
      </c>
      <c r="D24" s="2" t="s">
        <v>25</v>
      </c>
      <c r="E24" s="6" t="s">
        <v>63</v>
      </c>
      <c r="F24" s="7" t="s">
        <v>74</v>
      </c>
      <c r="G24" s="2" t="s">
        <v>27</v>
      </c>
      <c r="H24" s="14"/>
      <c r="I24" s="14"/>
      <c r="J24" s="7" t="s">
        <v>399</v>
      </c>
      <c r="L24" s="1" t="s">
        <v>998</v>
      </c>
      <c r="M24" s="2" t="s">
        <v>65</v>
      </c>
      <c r="P24" s="2" t="s">
        <v>75</v>
      </c>
      <c r="Q24" s="1" t="e">
        <f t="shared" si="1"/>
        <v>#REF!</v>
      </c>
    </row>
    <row r="25" spans="1:17" ht="12" customHeight="1" outlineLevel="1" x14ac:dyDescent="0.35">
      <c r="A25" s="3" t="str">
        <f t="shared" si="0"/>
        <v>CC413B</v>
      </c>
      <c r="B25" s="4">
        <v>1</v>
      </c>
      <c r="C25" s="3" t="s">
        <v>24</v>
      </c>
      <c r="D25" s="3" t="s">
        <v>25</v>
      </c>
      <c r="E25" s="5" t="s">
        <v>79</v>
      </c>
      <c r="F25" s="4"/>
      <c r="G25" s="3" t="s">
        <v>27</v>
      </c>
      <c r="H25" s="15"/>
      <c r="I25" s="15"/>
      <c r="J25" s="15"/>
      <c r="K25" s="4"/>
      <c r="L25" s="4" t="s">
        <v>999</v>
      </c>
      <c r="M25" s="3" t="s">
        <v>79</v>
      </c>
      <c r="N25" s="4"/>
      <c r="O25" s="4"/>
      <c r="P25" s="3" t="s">
        <v>80</v>
      </c>
      <c r="Q25" s="1" t="e">
        <f t="shared" si="1"/>
        <v>#REF!</v>
      </c>
    </row>
    <row r="26" spans="1:17" ht="12" customHeight="1" outlineLevel="2" x14ac:dyDescent="0.35">
      <c r="A26" s="2" t="str">
        <f t="shared" si="0"/>
        <v>CC413B</v>
      </c>
      <c r="B26" s="1">
        <v>2</v>
      </c>
      <c r="C26" s="1" t="s">
        <v>19</v>
      </c>
      <c r="D26" s="2" t="s">
        <v>30</v>
      </c>
      <c r="E26" s="6" t="s">
        <v>81</v>
      </c>
      <c r="F26" s="7" t="s">
        <v>68</v>
      </c>
      <c r="G26" s="2" t="s">
        <v>22</v>
      </c>
      <c r="H26" s="7" t="s">
        <v>397</v>
      </c>
      <c r="I26" s="14"/>
      <c r="J26" s="14"/>
      <c r="L26" s="1" t="s">
        <v>1000</v>
      </c>
      <c r="M26" s="2" t="s">
        <v>82</v>
      </c>
      <c r="P26" s="2" t="s">
        <v>70</v>
      </c>
      <c r="Q26" s="1" t="e">
        <f t="shared" si="1"/>
        <v>#REF!</v>
      </c>
    </row>
    <row r="27" spans="1:17" ht="12" customHeight="1" outlineLevel="2" x14ac:dyDescent="0.35">
      <c r="A27" s="2" t="str">
        <f t="shared" si="0"/>
        <v>CC413B</v>
      </c>
      <c r="B27" s="1">
        <v>2</v>
      </c>
      <c r="C27" s="1" t="s">
        <v>19</v>
      </c>
      <c r="D27" s="2" t="s">
        <v>30</v>
      </c>
      <c r="E27" s="6" t="s">
        <v>4</v>
      </c>
      <c r="F27" s="7" t="s">
        <v>83</v>
      </c>
      <c r="G27" s="2" t="s">
        <v>396</v>
      </c>
      <c r="H27" s="14"/>
      <c r="I27" s="7" t="s">
        <v>401</v>
      </c>
      <c r="J27" s="14"/>
      <c r="L27" s="1" t="s">
        <v>1001</v>
      </c>
      <c r="M27" s="2" t="s">
        <v>84</v>
      </c>
      <c r="P27" s="2" t="s">
        <v>85</v>
      </c>
      <c r="Q27" s="1" t="e">
        <f t="shared" si="1"/>
        <v>#REF!</v>
      </c>
    </row>
    <row r="28" spans="1:17" ht="12" customHeight="1" outlineLevel="2" x14ac:dyDescent="0.35">
      <c r="A28" s="3" t="str">
        <f t="shared" si="0"/>
        <v>CC413B</v>
      </c>
      <c r="B28" s="4">
        <v>2</v>
      </c>
      <c r="C28" s="3" t="s">
        <v>24</v>
      </c>
      <c r="D28" s="3" t="s">
        <v>30</v>
      </c>
      <c r="E28" s="8" t="s">
        <v>86</v>
      </c>
      <c r="F28" s="4"/>
      <c r="G28" s="3" t="s">
        <v>396</v>
      </c>
      <c r="H28" s="15"/>
      <c r="I28" s="16" t="s">
        <v>401</v>
      </c>
      <c r="J28" s="15"/>
      <c r="K28" s="4"/>
      <c r="L28" s="4" t="s">
        <v>1002</v>
      </c>
      <c r="M28" s="3" t="s">
        <v>86</v>
      </c>
      <c r="N28" s="4"/>
      <c r="O28" s="4"/>
      <c r="P28" s="3" t="s">
        <v>87</v>
      </c>
      <c r="Q28" s="1" t="e">
        <f t="shared" si="1"/>
        <v>#REF!</v>
      </c>
    </row>
    <row r="29" spans="1:17" ht="12" customHeight="1" outlineLevel="3" x14ac:dyDescent="0.35">
      <c r="A29" s="2" t="str">
        <f t="shared" si="0"/>
        <v>CC413B</v>
      </c>
      <c r="B29" s="1">
        <v>3</v>
      </c>
      <c r="C29" s="1" t="s">
        <v>19</v>
      </c>
      <c r="D29" s="2" t="s">
        <v>25</v>
      </c>
      <c r="E29" s="9" t="s">
        <v>88</v>
      </c>
      <c r="F29" s="7" t="s">
        <v>83</v>
      </c>
      <c r="G29" s="2" t="s">
        <v>27</v>
      </c>
      <c r="H29" s="14"/>
      <c r="I29" s="14"/>
      <c r="J29" s="14"/>
      <c r="L29" s="1" t="s">
        <v>1003</v>
      </c>
      <c r="M29" s="2" t="s">
        <v>89</v>
      </c>
      <c r="P29" s="2" t="s">
        <v>90</v>
      </c>
      <c r="Q29" s="1" t="e">
        <f t="shared" si="1"/>
        <v>#REF!</v>
      </c>
    </row>
    <row r="30" spans="1:17" ht="12" customHeight="1" outlineLevel="3" x14ac:dyDescent="0.35">
      <c r="A30" s="2" t="str">
        <f t="shared" si="0"/>
        <v>CC413B</v>
      </c>
      <c r="B30" s="1">
        <v>3</v>
      </c>
      <c r="C30" s="1" t="s">
        <v>19</v>
      </c>
      <c r="D30" s="2" t="s">
        <v>30</v>
      </c>
      <c r="E30" s="9" t="s">
        <v>91</v>
      </c>
      <c r="F30" s="7" t="s">
        <v>92</v>
      </c>
      <c r="G30" s="2" t="s">
        <v>396</v>
      </c>
      <c r="H30" s="14"/>
      <c r="I30" s="7" t="s">
        <v>402</v>
      </c>
      <c r="J30" s="14"/>
      <c r="L30" s="1" t="s">
        <v>1004</v>
      </c>
      <c r="M30" s="2" t="s">
        <v>93</v>
      </c>
      <c r="P30" s="2" t="s">
        <v>94</v>
      </c>
      <c r="Q30" s="1" t="e">
        <f t="shared" si="1"/>
        <v>#REF!</v>
      </c>
    </row>
    <row r="31" spans="1:17" ht="12" customHeight="1" outlineLevel="3" x14ac:dyDescent="0.35">
      <c r="A31" s="2" t="str">
        <f t="shared" si="0"/>
        <v>CC413B</v>
      </c>
      <c r="B31" s="1">
        <v>3</v>
      </c>
      <c r="C31" s="1" t="s">
        <v>19</v>
      </c>
      <c r="D31" s="2" t="s">
        <v>25</v>
      </c>
      <c r="E31" s="9" t="s">
        <v>95</v>
      </c>
      <c r="F31" s="7" t="s">
        <v>96</v>
      </c>
      <c r="G31" s="2" t="s">
        <v>27</v>
      </c>
      <c r="H31" s="14"/>
      <c r="I31" s="14"/>
      <c r="J31" s="14"/>
      <c r="L31" s="1" t="s">
        <v>1005</v>
      </c>
      <c r="M31" s="2" t="s">
        <v>97</v>
      </c>
      <c r="P31" s="2" t="s">
        <v>98</v>
      </c>
      <c r="Q31" s="1" t="e">
        <f t="shared" si="1"/>
        <v>#REF!</v>
      </c>
    </row>
    <row r="32" spans="1:17" ht="12" customHeight="1" outlineLevel="3" x14ac:dyDescent="0.35">
      <c r="A32" s="2" t="str">
        <f t="shared" si="0"/>
        <v>CC413B</v>
      </c>
      <c r="B32" s="1">
        <v>3</v>
      </c>
      <c r="C32" s="1" t="s">
        <v>19</v>
      </c>
      <c r="D32" s="2" t="s">
        <v>25</v>
      </c>
      <c r="E32" s="9" t="s">
        <v>99</v>
      </c>
      <c r="F32" s="7" t="s">
        <v>50</v>
      </c>
      <c r="G32" s="2" t="s">
        <v>27</v>
      </c>
      <c r="H32" s="14"/>
      <c r="I32" s="14"/>
      <c r="J32" s="7" t="s">
        <v>403</v>
      </c>
      <c r="L32" s="1" t="s">
        <v>1006</v>
      </c>
      <c r="M32" s="2" t="s">
        <v>100</v>
      </c>
      <c r="P32" s="2" t="s">
        <v>52</v>
      </c>
      <c r="Q32" s="1" t="e">
        <f t="shared" si="1"/>
        <v>#REF!</v>
      </c>
    </row>
    <row r="33" spans="1:17" ht="12" customHeight="1" outlineLevel="1" x14ac:dyDescent="0.35">
      <c r="A33" s="3" t="str">
        <f t="shared" ref="A33:A61" si="2">$E$2</f>
        <v>CC413B</v>
      </c>
      <c r="B33" s="4">
        <v>1</v>
      </c>
      <c r="C33" s="3" t="s">
        <v>24</v>
      </c>
      <c r="D33" s="3" t="s">
        <v>25</v>
      </c>
      <c r="E33" s="5" t="s">
        <v>101</v>
      </c>
      <c r="F33" s="4"/>
      <c r="G33" s="3" t="s">
        <v>27</v>
      </c>
      <c r="H33" s="16" t="s">
        <v>440</v>
      </c>
      <c r="I33" s="15"/>
      <c r="J33" s="15"/>
      <c r="K33" s="4"/>
      <c r="L33" s="4" t="s">
        <v>1007</v>
      </c>
      <c r="M33" s="3" t="s">
        <v>101</v>
      </c>
      <c r="N33" s="4"/>
      <c r="O33" s="4"/>
      <c r="P33" s="3" t="s">
        <v>102</v>
      </c>
      <c r="Q33" s="1" t="e">
        <f t="shared" si="1"/>
        <v>#REF!</v>
      </c>
    </row>
    <row r="34" spans="1:17" ht="12" customHeight="1" outlineLevel="2" x14ac:dyDescent="0.35">
      <c r="A34" s="2" t="str">
        <f t="shared" si="2"/>
        <v>CC413B</v>
      </c>
      <c r="B34" s="1">
        <v>2</v>
      </c>
      <c r="C34" s="1" t="s">
        <v>19</v>
      </c>
      <c r="D34" s="2" t="s">
        <v>30</v>
      </c>
      <c r="E34" s="6" t="s">
        <v>81</v>
      </c>
      <c r="F34" s="7" t="s">
        <v>68</v>
      </c>
      <c r="G34" s="2" t="s">
        <v>22</v>
      </c>
      <c r="H34" s="7" t="s">
        <v>397</v>
      </c>
      <c r="I34" s="14"/>
      <c r="J34" s="14"/>
      <c r="L34" s="1" t="s">
        <v>1008</v>
      </c>
      <c r="M34" s="2" t="s">
        <v>82</v>
      </c>
      <c r="P34" s="2" t="s">
        <v>70</v>
      </c>
      <c r="Q34" s="1" t="e">
        <f t="shared" si="1"/>
        <v>#REF!</v>
      </c>
    </row>
    <row r="35" spans="1:17" ht="12" customHeight="1" outlineLevel="2" x14ac:dyDescent="0.35">
      <c r="A35" s="2" t="str">
        <f t="shared" si="2"/>
        <v>CC413B</v>
      </c>
      <c r="B35" s="1">
        <v>2</v>
      </c>
      <c r="C35" s="1" t="s">
        <v>19</v>
      </c>
      <c r="D35" s="2" t="s">
        <v>30</v>
      </c>
      <c r="E35" s="6" t="s">
        <v>4</v>
      </c>
      <c r="F35" s="7" t="s">
        <v>83</v>
      </c>
      <c r="G35" s="2" t="s">
        <v>396</v>
      </c>
      <c r="H35" s="14"/>
      <c r="I35" s="7" t="s">
        <v>401</v>
      </c>
      <c r="J35" s="14"/>
      <c r="L35" s="1" t="s">
        <v>1009</v>
      </c>
      <c r="M35" s="2" t="s">
        <v>84</v>
      </c>
      <c r="P35" s="2" t="s">
        <v>85</v>
      </c>
      <c r="Q35" s="1" t="e">
        <f>IF($B35=0,$M35,_xlfn.TEXTBEFORE(#REF!,"/",$B35,,,#REF!)&amp;"/"&amp;$M35)&amp;IF(_xlfn.TEXTAFTER($D35,"..",,,,1)&lt;&gt;"1","[0]","")</f>
        <v>#REF!</v>
      </c>
    </row>
    <row r="36" spans="1:17" ht="12" customHeight="1" outlineLevel="2" x14ac:dyDescent="0.35">
      <c r="A36" s="3" t="str">
        <f t="shared" si="2"/>
        <v>CC413B</v>
      </c>
      <c r="B36" s="4">
        <v>2</v>
      </c>
      <c r="C36" s="3" t="s">
        <v>24</v>
      </c>
      <c r="D36" s="3" t="s">
        <v>30</v>
      </c>
      <c r="E36" s="8" t="s">
        <v>86</v>
      </c>
      <c r="F36" s="4"/>
      <c r="G36" s="3" t="s">
        <v>396</v>
      </c>
      <c r="H36" s="15"/>
      <c r="I36" s="16" t="s">
        <v>401</v>
      </c>
      <c r="J36" s="15"/>
      <c r="K36" s="4"/>
      <c r="L36" s="4" t="s">
        <v>1010</v>
      </c>
      <c r="M36" s="3" t="s">
        <v>86</v>
      </c>
      <c r="N36" s="4"/>
      <c r="O36" s="4"/>
      <c r="P36" s="3" t="s">
        <v>87</v>
      </c>
      <c r="Q36" s="1" t="e">
        <f t="shared" si="1"/>
        <v>#REF!</v>
      </c>
    </row>
    <row r="37" spans="1:17" ht="12" customHeight="1" outlineLevel="3" x14ac:dyDescent="0.35">
      <c r="A37" s="2" t="str">
        <f t="shared" si="2"/>
        <v>CC413B</v>
      </c>
      <c r="B37" s="1">
        <v>3</v>
      </c>
      <c r="C37" s="1" t="s">
        <v>19</v>
      </c>
      <c r="D37" s="2" t="s">
        <v>25</v>
      </c>
      <c r="E37" s="9" t="s">
        <v>88</v>
      </c>
      <c r="F37" s="7" t="s">
        <v>83</v>
      </c>
      <c r="G37" s="2" t="s">
        <v>27</v>
      </c>
      <c r="H37" s="14"/>
      <c r="I37" s="14"/>
      <c r="J37" s="14"/>
      <c r="L37" s="1" t="s">
        <v>1011</v>
      </c>
      <c r="M37" s="2" t="s">
        <v>89</v>
      </c>
      <c r="P37" s="2" t="s">
        <v>90</v>
      </c>
      <c r="Q37" s="1" t="e">
        <f t="shared" si="1"/>
        <v>#REF!</v>
      </c>
    </row>
    <row r="38" spans="1:17" ht="12" customHeight="1" outlineLevel="3" x14ac:dyDescent="0.35">
      <c r="A38" s="2" t="str">
        <f t="shared" si="2"/>
        <v>CC413B</v>
      </c>
      <c r="B38" s="1">
        <v>3</v>
      </c>
      <c r="C38" s="1" t="s">
        <v>19</v>
      </c>
      <c r="D38" s="2" t="s">
        <v>30</v>
      </c>
      <c r="E38" s="9" t="s">
        <v>91</v>
      </c>
      <c r="F38" s="7" t="s">
        <v>92</v>
      </c>
      <c r="G38" s="2" t="s">
        <v>396</v>
      </c>
      <c r="H38" s="14"/>
      <c r="I38" s="7" t="s">
        <v>402</v>
      </c>
      <c r="J38" s="14"/>
      <c r="L38" s="1" t="s">
        <v>1012</v>
      </c>
      <c r="M38" s="2" t="s">
        <v>93</v>
      </c>
      <c r="P38" s="2" t="s">
        <v>94</v>
      </c>
      <c r="Q38" s="1" t="e">
        <f t="shared" si="1"/>
        <v>#REF!</v>
      </c>
    </row>
    <row r="39" spans="1:17" ht="12" customHeight="1" outlineLevel="3" x14ac:dyDescent="0.35">
      <c r="A39" s="2" t="str">
        <f t="shared" si="2"/>
        <v>CC413B</v>
      </c>
      <c r="B39" s="1">
        <v>3</v>
      </c>
      <c r="C39" s="1" t="s">
        <v>19</v>
      </c>
      <c r="D39" s="2" t="s">
        <v>25</v>
      </c>
      <c r="E39" s="9" t="s">
        <v>95</v>
      </c>
      <c r="F39" s="7" t="s">
        <v>96</v>
      </c>
      <c r="G39" s="2" t="s">
        <v>27</v>
      </c>
      <c r="H39" s="14"/>
      <c r="I39" s="14"/>
      <c r="J39" s="14"/>
      <c r="L39" s="1" t="s">
        <v>1013</v>
      </c>
      <c r="M39" s="2" t="s">
        <v>97</v>
      </c>
      <c r="P39" s="2" t="s">
        <v>98</v>
      </c>
      <c r="Q39" s="1" t="e">
        <f t="shared" si="1"/>
        <v>#REF!</v>
      </c>
    </row>
    <row r="40" spans="1:17" ht="12" customHeight="1" outlineLevel="3" x14ac:dyDescent="0.35">
      <c r="A40" s="2" t="str">
        <f t="shared" si="2"/>
        <v>CC413B</v>
      </c>
      <c r="B40" s="1">
        <v>3</v>
      </c>
      <c r="C40" s="1" t="s">
        <v>19</v>
      </c>
      <c r="D40" s="2" t="s">
        <v>25</v>
      </c>
      <c r="E40" s="9" t="s">
        <v>99</v>
      </c>
      <c r="F40" s="7" t="s">
        <v>50</v>
      </c>
      <c r="G40" s="2" t="s">
        <v>27</v>
      </c>
      <c r="H40" s="14"/>
      <c r="I40" s="14"/>
      <c r="J40" s="7" t="s">
        <v>403</v>
      </c>
      <c r="L40" s="1" t="s">
        <v>1014</v>
      </c>
      <c r="M40" s="2" t="s">
        <v>100</v>
      </c>
      <c r="P40" s="2" t="s">
        <v>52</v>
      </c>
      <c r="Q40" s="1" t="e">
        <f t="shared" si="1"/>
        <v>#REF!</v>
      </c>
    </row>
    <row r="41" spans="1:17" ht="12" customHeight="1" outlineLevel="2" x14ac:dyDescent="0.35">
      <c r="A41" s="3" t="str">
        <f t="shared" si="2"/>
        <v>CC413B</v>
      </c>
      <c r="B41" s="4">
        <v>2</v>
      </c>
      <c r="C41" s="3" t="s">
        <v>24</v>
      </c>
      <c r="D41" s="3" t="s">
        <v>30</v>
      </c>
      <c r="E41" s="8" t="s">
        <v>105</v>
      </c>
      <c r="F41" s="4"/>
      <c r="G41" s="3" t="s">
        <v>22</v>
      </c>
      <c r="H41" s="16" t="s">
        <v>409</v>
      </c>
      <c r="I41" s="15"/>
      <c r="J41" s="15"/>
      <c r="K41" s="4"/>
      <c r="L41" s="4" t="s">
        <v>1015</v>
      </c>
      <c r="M41" s="3" t="s">
        <v>106</v>
      </c>
      <c r="N41" s="4"/>
      <c r="O41" s="4"/>
      <c r="P41" s="3" t="s">
        <v>107</v>
      </c>
      <c r="Q41" s="1" t="e">
        <f t="shared" si="1"/>
        <v>#REF!</v>
      </c>
    </row>
    <row r="42" spans="1:17" ht="12" customHeight="1" outlineLevel="3" x14ac:dyDescent="0.35">
      <c r="A42" s="2" t="str">
        <f t="shared" si="2"/>
        <v>CC413B</v>
      </c>
      <c r="B42" s="1">
        <v>3</v>
      </c>
      <c r="C42" s="1" t="s">
        <v>19</v>
      </c>
      <c r="D42" s="2" t="s">
        <v>25</v>
      </c>
      <c r="E42" s="9" t="s">
        <v>4</v>
      </c>
      <c r="F42" s="7" t="s">
        <v>83</v>
      </c>
      <c r="G42" s="2" t="s">
        <v>27</v>
      </c>
      <c r="H42" s="14"/>
      <c r="I42" s="14"/>
      <c r="J42" s="14"/>
      <c r="L42" s="1" t="s">
        <v>1030</v>
      </c>
      <c r="M42" s="2" t="s">
        <v>84</v>
      </c>
      <c r="P42" s="2" t="s">
        <v>85</v>
      </c>
      <c r="Q42" s="1" t="e">
        <f t="shared" si="1"/>
        <v>#REF!</v>
      </c>
    </row>
    <row r="43" spans="1:17" ht="12" customHeight="1" outlineLevel="3" x14ac:dyDescent="0.35">
      <c r="A43" s="2" t="str">
        <f t="shared" si="2"/>
        <v>CC413B</v>
      </c>
      <c r="B43" s="1">
        <v>3</v>
      </c>
      <c r="C43" s="1" t="s">
        <v>19</v>
      </c>
      <c r="D43" s="2" t="s">
        <v>25</v>
      </c>
      <c r="E43" s="9" t="s">
        <v>108</v>
      </c>
      <c r="F43" s="7" t="s">
        <v>96</v>
      </c>
      <c r="G43" s="2" t="s">
        <v>27</v>
      </c>
      <c r="H43" s="14"/>
      <c r="I43" s="14"/>
      <c r="J43" s="14"/>
      <c r="L43" s="1" t="s">
        <v>1031</v>
      </c>
      <c r="M43" s="2" t="s">
        <v>109</v>
      </c>
      <c r="P43" s="2" t="s">
        <v>110</v>
      </c>
      <c r="Q43" s="1" t="e">
        <f t="shared" si="1"/>
        <v>#REF!</v>
      </c>
    </row>
    <row r="44" spans="1:17" ht="12" customHeight="1" outlineLevel="3" x14ac:dyDescent="0.35">
      <c r="A44" s="2" t="str">
        <f t="shared" si="2"/>
        <v>CC413B</v>
      </c>
      <c r="B44" s="1">
        <v>3</v>
      </c>
      <c r="C44" s="1" t="s">
        <v>19</v>
      </c>
      <c r="D44" s="2" t="s">
        <v>25</v>
      </c>
      <c r="E44" s="9" t="s">
        <v>111</v>
      </c>
      <c r="F44" s="7" t="s">
        <v>112</v>
      </c>
      <c r="G44" s="2" t="s">
        <v>27</v>
      </c>
      <c r="H44" s="14"/>
      <c r="I44" s="14"/>
      <c r="J44" s="14"/>
      <c r="L44" s="1" t="s">
        <v>1032</v>
      </c>
      <c r="M44" s="2" t="s">
        <v>113</v>
      </c>
      <c r="P44" s="2" t="s">
        <v>114</v>
      </c>
      <c r="Q44" s="1" t="e">
        <f t="shared" si="1"/>
        <v>#REF!</v>
      </c>
    </row>
    <row r="45" spans="1:17" ht="12" customHeight="1" outlineLevel="1" x14ac:dyDescent="0.35">
      <c r="A45" s="3" t="str">
        <f t="shared" si="2"/>
        <v>CC413B</v>
      </c>
      <c r="B45" s="4">
        <v>1</v>
      </c>
      <c r="C45" s="3" t="s">
        <v>24</v>
      </c>
      <c r="D45" s="3" t="s">
        <v>30</v>
      </c>
      <c r="E45" s="5" t="s">
        <v>115</v>
      </c>
      <c r="F45" s="4"/>
      <c r="G45" s="3" t="s">
        <v>396</v>
      </c>
      <c r="H45" s="16" t="s">
        <v>397</v>
      </c>
      <c r="I45" s="16" t="s">
        <v>404</v>
      </c>
      <c r="J45" s="15"/>
      <c r="K45" s="4"/>
      <c r="L45" s="4" t="s">
        <v>1016</v>
      </c>
      <c r="M45" s="3" t="s">
        <v>116</v>
      </c>
      <c r="N45" s="4"/>
      <c r="O45" s="4"/>
      <c r="P45" s="3" t="s">
        <v>117</v>
      </c>
      <c r="Q45" s="1" t="e">
        <f t="shared" si="1"/>
        <v>#REF!</v>
      </c>
    </row>
    <row r="46" spans="1:17" ht="12" customHeight="1" outlineLevel="2" x14ac:dyDescent="0.35">
      <c r="A46" s="2" t="str">
        <f t="shared" si="2"/>
        <v>CC413B</v>
      </c>
      <c r="B46" s="1">
        <v>2</v>
      </c>
      <c r="C46" s="1" t="s">
        <v>19</v>
      </c>
      <c r="D46" s="2" t="s">
        <v>25</v>
      </c>
      <c r="E46" s="6" t="s">
        <v>81</v>
      </c>
      <c r="F46" s="7" t="s">
        <v>68</v>
      </c>
      <c r="G46" s="2" t="s">
        <v>27</v>
      </c>
      <c r="H46" s="14"/>
      <c r="I46" s="14"/>
      <c r="J46" s="14"/>
      <c r="L46" s="1" t="s">
        <v>1017</v>
      </c>
      <c r="M46" s="2" t="s">
        <v>82</v>
      </c>
      <c r="P46" s="2" t="s">
        <v>70</v>
      </c>
      <c r="Q46" s="1" t="e">
        <f t="shared" si="1"/>
        <v>#REF!</v>
      </c>
    </row>
    <row r="47" spans="1:17" ht="12" customHeight="1" outlineLevel="1" x14ac:dyDescent="0.35">
      <c r="A47" s="3" t="str">
        <f t="shared" si="2"/>
        <v>CC413B</v>
      </c>
      <c r="B47" s="4">
        <v>1</v>
      </c>
      <c r="C47" s="3" t="s">
        <v>24</v>
      </c>
      <c r="D47" s="3" t="s">
        <v>30</v>
      </c>
      <c r="E47" s="5" t="s">
        <v>118</v>
      </c>
      <c r="F47" s="4"/>
      <c r="G47" s="3" t="s">
        <v>396</v>
      </c>
      <c r="H47" s="16" t="s">
        <v>397</v>
      </c>
      <c r="I47" s="16" t="s">
        <v>405</v>
      </c>
      <c r="J47" s="15"/>
      <c r="K47" s="4"/>
      <c r="L47" s="4" t="s">
        <v>1201</v>
      </c>
      <c r="M47" s="3" t="s">
        <v>119</v>
      </c>
      <c r="N47" s="4"/>
      <c r="O47" s="4"/>
      <c r="P47" s="3" t="s">
        <v>120</v>
      </c>
      <c r="Q47" s="1" t="e">
        <f t="shared" si="1"/>
        <v>#REF!</v>
      </c>
    </row>
    <row r="48" spans="1:17" ht="12" customHeight="1" outlineLevel="2" x14ac:dyDescent="0.35">
      <c r="A48" s="2" t="str">
        <f t="shared" si="2"/>
        <v>CC413B</v>
      </c>
      <c r="B48" s="1">
        <v>2</v>
      </c>
      <c r="C48" s="1" t="s">
        <v>19</v>
      </c>
      <c r="D48" s="2" t="s">
        <v>25</v>
      </c>
      <c r="E48" s="6" t="s">
        <v>81</v>
      </c>
      <c r="F48" s="7" t="s">
        <v>68</v>
      </c>
      <c r="G48" s="2" t="s">
        <v>27</v>
      </c>
      <c r="H48" s="14"/>
      <c r="I48" s="14"/>
      <c r="J48" s="14"/>
      <c r="L48" s="1" t="s">
        <v>1202</v>
      </c>
      <c r="M48" s="2" t="s">
        <v>82</v>
      </c>
      <c r="P48" s="2" t="s">
        <v>70</v>
      </c>
      <c r="Q48" s="1" t="e">
        <f t="shared" si="1"/>
        <v>#REF!</v>
      </c>
    </row>
    <row r="49" spans="1:17" ht="12" customHeight="1" outlineLevel="1" x14ac:dyDescent="0.35">
      <c r="A49" s="3" t="str">
        <f t="shared" si="2"/>
        <v>CC413B</v>
      </c>
      <c r="B49" s="4">
        <v>1</v>
      </c>
      <c r="C49" s="3" t="s">
        <v>24</v>
      </c>
      <c r="D49" s="3" t="s">
        <v>30</v>
      </c>
      <c r="E49" s="5" t="s">
        <v>121</v>
      </c>
      <c r="F49" s="4"/>
      <c r="G49" s="3" t="s">
        <v>22</v>
      </c>
      <c r="H49" s="16" t="s">
        <v>440</v>
      </c>
      <c r="I49" s="15"/>
      <c r="J49" s="15"/>
      <c r="K49" s="4"/>
      <c r="L49" s="4" t="s">
        <v>1018</v>
      </c>
      <c r="M49" s="3" t="s">
        <v>121</v>
      </c>
      <c r="N49" s="4"/>
      <c r="O49" s="4"/>
      <c r="P49" s="3" t="s">
        <v>122</v>
      </c>
      <c r="Q49" s="1" t="e">
        <f t="shared" si="1"/>
        <v>#REF!</v>
      </c>
    </row>
    <row r="50" spans="1:17" ht="12" customHeight="1" outlineLevel="2" x14ac:dyDescent="0.35">
      <c r="A50" s="2" t="str">
        <f t="shared" si="2"/>
        <v>CC413B</v>
      </c>
      <c r="B50" s="1">
        <v>2</v>
      </c>
      <c r="C50" s="1" t="s">
        <v>19</v>
      </c>
      <c r="D50" s="2" t="s">
        <v>25</v>
      </c>
      <c r="E50" s="6" t="s">
        <v>81</v>
      </c>
      <c r="F50" s="7" t="s">
        <v>68</v>
      </c>
      <c r="G50" s="2" t="s">
        <v>27</v>
      </c>
      <c r="H50" s="7" t="s">
        <v>406</v>
      </c>
      <c r="I50" s="14"/>
      <c r="J50" s="14"/>
      <c r="L50" s="1" t="s">
        <v>1019</v>
      </c>
      <c r="M50" s="2" t="s">
        <v>82</v>
      </c>
      <c r="P50" s="2" t="s">
        <v>70</v>
      </c>
      <c r="Q50" s="1" t="e">
        <f t="shared" si="1"/>
        <v>#REF!</v>
      </c>
    </row>
    <row r="51" spans="1:17" ht="12" customHeight="1" outlineLevel="2" x14ac:dyDescent="0.35">
      <c r="A51" s="2" t="str">
        <f t="shared" si="2"/>
        <v>CC413B</v>
      </c>
      <c r="B51" s="1">
        <v>2</v>
      </c>
      <c r="C51" s="1" t="s">
        <v>19</v>
      </c>
      <c r="D51" s="2" t="s">
        <v>25</v>
      </c>
      <c r="E51" s="6" t="s">
        <v>6</v>
      </c>
      <c r="F51" s="7" t="s">
        <v>123</v>
      </c>
      <c r="G51" s="2" t="s">
        <v>27</v>
      </c>
      <c r="H51" s="7" t="s">
        <v>407</v>
      </c>
      <c r="I51" s="14"/>
      <c r="J51" s="7" t="s">
        <v>408</v>
      </c>
      <c r="L51" s="1" t="s">
        <v>1020</v>
      </c>
      <c r="M51" s="2" t="s">
        <v>124</v>
      </c>
      <c r="P51" s="2" t="s">
        <v>125</v>
      </c>
      <c r="Q51" s="1" t="e">
        <f>IF($B51=0,$M51,_xlfn.TEXTBEFORE(#REF!,"/",$B51,,,#REF!)&amp;"/"&amp;$M51)&amp;IF(_xlfn.TEXTAFTER($D51,"..",,,,1)&lt;&gt;"1","[0]","")</f>
        <v>#REF!</v>
      </c>
    </row>
    <row r="52" spans="1:17" ht="12" customHeight="1" outlineLevel="2" x14ac:dyDescent="0.35">
      <c r="A52" s="3" t="str">
        <f t="shared" si="2"/>
        <v>CC413B</v>
      </c>
      <c r="B52" s="4">
        <v>2</v>
      </c>
      <c r="C52" s="3" t="s">
        <v>24</v>
      </c>
      <c r="D52" s="3" t="s">
        <v>30</v>
      </c>
      <c r="E52" s="8" t="s">
        <v>105</v>
      </c>
      <c r="F52" s="4"/>
      <c r="G52" s="3" t="s">
        <v>22</v>
      </c>
      <c r="H52" s="16" t="s">
        <v>409</v>
      </c>
      <c r="I52" s="15"/>
      <c r="J52" s="15"/>
      <c r="K52" s="4"/>
      <c r="L52" s="4" t="s">
        <v>1021</v>
      </c>
      <c r="M52" s="3" t="s">
        <v>106</v>
      </c>
      <c r="N52" s="4"/>
      <c r="O52" s="4"/>
      <c r="P52" s="3" t="s">
        <v>107</v>
      </c>
      <c r="Q52" s="1" t="e">
        <f t="shared" si="1"/>
        <v>#REF!</v>
      </c>
    </row>
    <row r="53" spans="1:17" ht="12" customHeight="1" outlineLevel="3" x14ac:dyDescent="0.35">
      <c r="A53" s="2" t="str">
        <f t="shared" si="2"/>
        <v>CC413B</v>
      </c>
      <c r="B53" s="1">
        <v>3</v>
      </c>
      <c r="C53" s="1" t="s">
        <v>19</v>
      </c>
      <c r="D53" s="2" t="s">
        <v>25</v>
      </c>
      <c r="E53" s="9" t="s">
        <v>4</v>
      </c>
      <c r="F53" s="7" t="s">
        <v>83</v>
      </c>
      <c r="G53" s="2" t="s">
        <v>27</v>
      </c>
      <c r="H53" s="14"/>
      <c r="I53" s="14"/>
      <c r="J53" s="14"/>
      <c r="L53" s="1" t="s">
        <v>1033</v>
      </c>
      <c r="M53" s="2" t="s">
        <v>84</v>
      </c>
      <c r="P53" s="2" t="s">
        <v>85</v>
      </c>
      <c r="Q53" s="1" t="e">
        <f t="shared" si="1"/>
        <v>#REF!</v>
      </c>
    </row>
    <row r="54" spans="1:17" ht="12" customHeight="1" outlineLevel="3" x14ac:dyDescent="0.35">
      <c r="A54" s="2" t="str">
        <f t="shared" si="2"/>
        <v>CC413B</v>
      </c>
      <c r="B54" s="1">
        <v>3</v>
      </c>
      <c r="C54" s="1" t="s">
        <v>19</v>
      </c>
      <c r="D54" s="2" t="s">
        <v>25</v>
      </c>
      <c r="E54" s="9" t="s">
        <v>108</v>
      </c>
      <c r="F54" s="7" t="s">
        <v>96</v>
      </c>
      <c r="G54" s="2" t="s">
        <v>27</v>
      </c>
      <c r="H54" s="14"/>
      <c r="I54" s="14"/>
      <c r="J54" s="14"/>
      <c r="L54" s="1" t="s">
        <v>1034</v>
      </c>
      <c r="M54" s="2" t="s">
        <v>109</v>
      </c>
      <c r="P54" s="2" t="s">
        <v>110</v>
      </c>
      <c r="Q54" s="1" t="e">
        <f t="shared" si="1"/>
        <v>#REF!</v>
      </c>
    </row>
    <row r="55" spans="1:17" ht="12" customHeight="1" outlineLevel="3" x14ac:dyDescent="0.35">
      <c r="A55" s="2" t="str">
        <f t="shared" si="2"/>
        <v>CC413B</v>
      </c>
      <c r="B55" s="1">
        <v>3</v>
      </c>
      <c r="C55" s="1" t="s">
        <v>19</v>
      </c>
      <c r="D55" s="2" t="s">
        <v>25</v>
      </c>
      <c r="E55" s="9" t="s">
        <v>111</v>
      </c>
      <c r="F55" s="7" t="s">
        <v>112</v>
      </c>
      <c r="G55" s="2" t="s">
        <v>27</v>
      </c>
      <c r="H55" s="14"/>
      <c r="I55" s="14"/>
      <c r="J55" s="14"/>
      <c r="L55" s="1" t="s">
        <v>1035</v>
      </c>
      <c r="M55" s="2" t="s">
        <v>113</v>
      </c>
      <c r="P55" s="2" t="s">
        <v>114</v>
      </c>
      <c r="Q55" s="1" t="e">
        <f t="shared" si="1"/>
        <v>#REF!</v>
      </c>
    </row>
    <row r="56" spans="1:17" ht="12" customHeight="1" outlineLevel="1" x14ac:dyDescent="0.35">
      <c r="A56" s="3" t="str">
        <f t="shared" si="2"/>
        <v>CC413B</v>
      </c>
      <c r="B56" s="4">
        <v>1</v>
      </c>
      <c r="C56" s="3" t="s">
        <v>24</v>
      </c>
      <c r="D56" s="3" t="s">
        <v>53</v>
      </c>
      <c r="E56" s="5" t="s">
        <v>126</v>
      </c>
      <c r="F56" s="4"/>
      <c r="G56" s="3" t="s">
        <v>396</v>
      </c>
      <c r="H56" s="16" t="s">
        <v>410</v>
      </c>
      <c r="I56" s="16" t="s">
        <v>411</v>
      </c>
      <c r="J56" s="15"/>
      <c r="K56" s="4"/>
      <c r="L56" s="4"/>
      <c r="M56" s="3" t="s">
        <v>126</v>
      </c>
      <c r="N56" s="4"/>
      <c r="O56" s="4"/>
      <c r="P56" s="3" t="s">
        <v>127</v>
      </c>
      <c r="Q56" s="1" t="e">
        <f t="shared" si="1"/>
        <v>#REF!</v>
      </c>
    </row>
    <row r="57" spans="1:17" ht="12" customHeight="1" outlineLevel="2" x14ac:dyDescent="0.35">
      <c r="A57" s="2" t="str">
        <f t="shared" si="2"/>
        <v>CC413B</v>
      </c>
      <c r="B57" s="1">
        <v>2</v>
      </c>
      <c r="C57" s="1" t="s">
        <v>19</v>
      </c>
      <c r="D57" s="2" t="s">
        <v>25</v>
      </c>
      <c r="E57" s="6" t="s">
        <v>56</v>
      </c>
      <c r="F57" s="7" t="s">
        <v>57</v>
      </c>
      <c r="G57" s="2" t="s">
        <v>27</v>
      </c>
      <c r="H57" s="7" t="s">
        <v>393</v>
      </c>
      <c r="I57" s="14"/>
      <c r="J57" s="14"/>
      <c r="M57" s="2" t="s">
        <v>58</v>
      </c>
      <c r="P57" s="2" t="s">
        <v>59</v>
      </c>
      <c r="Q57" s="1" t="e">
        <f t="shared" si="1"/>
        <v>#REF!</v>
      </c>
    </row>
    <row r="58" spans="1:17" ht="12" customHeight="1" outlineLevel="2" x14ac:dyDescent="0.35">
      <c r="A58" s="2" t="str">
        <f t="shared" si="2"/>
        <v>CC413B</v>
      </c>
      <c r="B58" s="1">
        <v>2</v>
      </c>
      <c r="C58" s="1" t="s">
        <v>19</v>
      </c>
      <c r="D58" s="2" t="s">
        <v>25</v>
      </c>
      <c r="E58" s="6" t="s">
        <v>128</v>
      </c>
      <c r="F58" s="7" t="s">
        <v>129</v>
      </c>
      <c r="G58" s="2" t="s">
        <v>27</v>
      </c>
      <c r="H58" s="14"/>
      <c r="I58" s="14"/>
      <c r="J58" s="7" t="s">
        <v>412</v>
      </c>
      <c r="L58" s="1" t="s">
        <v>1022</v>
      </c>
      <c r="M58" s="2" t="s">
        <v>130</v>
      </c>
      <c r="P58" s="2" t="s">
        <v>131</v>
      </c>
      <c r="Q58" s="1" t="e">
        <f t="shared" si="1"/>
        <v>#REF!</v>
      </c>
    </row>
    <row r="59" spans="1:17" ht="12" customHeight="1" outlineLevel="2" x14ac:dyDescent="0.35">
      <c r="A59" s="3" t="str">
        <f t="shared" si="2"/>
        <v>CC413B</v>
      </c>
      <c r="B59" s="4">
        <v>2</v>
      </c>
      <c r="C59" s="3" t="s">
        <v>24</v>
      </c>
      <c r="D59" s="3" t="s">
        <v>134</v>
      </c>
      <c r="E59" s="8" t="s">
        <v>135</v>
      </c>
      <c r="F59" s="4"/>
      <c r="G59" s="3" t="s">
        <v>27</v>
      </c>
      <c r="H59" s="15"/>
      <c r="I59" s="15"/>
      <c r="J59" s="15"/>
      <c r="K59" s="4"/>
      <c r="L59" s="4" t="s">
        <v>1203</v>
      </c>
      <c r="M59" s="3" t="s">
        <v>136</v>
      </c>
      <c r="N59" s="4"/>
      <c r="O59" s="4"/>
      <c r="P59" s="3" t="s">
        <v>137</v>
      </c>
      <c r="Q59" s="1" t="e">
        <f>IF($B59=0,$M59,_xlfn.TEXTBEFORE(#REF!,"/",$B59,,,#REF!)&amp;"/"&amp;$M59)&amp;IF(_xlfn.TEXTAFTER($D59,"..",,,,1)&lt;&gt;"1","[0]","")</f>
        <v>#REF!</v>
      </c>
    </row>
    <row r="60" spans="1:17" ht="12" customHeight="1" outlineLevel="3" x14ac:dyDescent="0.35">
      <c r="A60" s="2" t="str">
        <f t="shared" si="2"/>
        <v>CC413B</v>
      </c>
      <c r="B60" s="1">
        <v>3</v>
      </c>
      <c r="C60" s="1" t="s">
        <v>19</v>
      </c>
      <c r="D60" s="2" t="s">
        <v>25</v>
      </c>
      <c r="E60" s="9" t="s">
        <v>56</v>
      </c>
      <c r="F60" s="7" t="s">
        <v>57</v>
      </c>
      <c r="G60" s="2" t="s">
        <v>27</v>
      </c>
      <c r="H60" s="7" t="s">
        <v>393</v>
      </c>
      <c r="I60" s="14"/>
      <c r="J60" s="14"/>
      <c r="M60" s="2" t="s">
        <v>58</v>
      </c>
      <c r="P60" s="2" t="s">
        <v>59</v>
      </c>
      <c r="Q60" s="1" t="e">
        <f t="shared" si="1"/>
        <v>#REF!</v>
      </c>
    </row>
    <row r="61" spans="1:17" ht="12" customHeight="1" outlineLevel="3" x14ac:dyDescent="0.35">
      <c r="A61" s="2" t="str">
        <f t="shared" si="2"/>
        <v>CC413B</v>
      </c>
      <c r="B61" s="1">
        <v>3</v>
      </c>
      <c r="C61" s="1" t="s">
        <v>19</v>
      </c>
      <c r="D61" s="2" t="s">
        <v>30</v>
      </c>
      <c r="E61" s="9" t="s">
        <v>138</v>
      </c>
      <c r="F61" s="7" t="s">
        <v>139</v>
      </c>
      <c r="G61" s="2" t="s">
        <v>396</v>
      </c>
      <c r="H61" s="14"/>
      <c r="I61" s="7" t="s">
        <v>413</v>
      </c>
      <c r="J61" s="14"/>
      <c r="L61" s="1" t="s">
        <v>1023</v>
      </c>
      <c r="M61" s="2" t="s">
        <v>140</v>
      </c>
      <c r="P61" s="2" t="s">
        <v>141</v>
      </c>
      <c r="Q61" s="1" t="e">
        <f t="shared" si="1"/>
        <v>#REF!</v>
      </c>
    </row>
    <row r="62" spans="1:17" ht="12" customHeight="1" outlineLevel="3" x14ac:dyDescent="0.35">
      <c r="A62" s="2" t="str">
        <f t="shared" ref="A62:A93" si="3">$E$2</f>
        <v>CC413B</v>
      </c>
      <c r="B62" s="1">
        <v>3</v>
      </c>
      <c r="C62" s="1" t="s">
        <v>19</v>
      </c>
      <c r="D62" s="2" t="s">
        <v>30</v>
      </c>
      <c r="E62" s="9" t="s">
        <v>142</v>
      </c>
      <c r="F62" s="7" t="s">
        <v>50</v>
      </c>
      <c r="G62" s="2" t="s">
        <v>396</v>
      </c>
      <c r="H62" s="7" t="s">
        <v>414</v>
      </c>
      <c r="I62" s="7" t="s">
        <v>415</v>
      </c>
      <c r="J62" s="7" t="s">
        <v>416</v>
      </c>
      <c r="M62" s="2" t="s">
        <v>143</v>
      </c>
      <c r="P62" s="2" t="s">
        <v>52</v>
      </c>
      <c r="Q62" s="1" t="e">
        <f t="shared" si="1"/>
        <v>#REF!</v>
      </c>
    </row>
    <row r="63" spans="1:17" ht="12" customHeight="1" outlineLevel="3" x14ac:dyDescent="0.35">
      <c r="A63" s="2" t="str">
        <f t="shared" si="3"/>
        <v>CC413B</v>
      </c>
      <c r="B63" s="1">
        <v>3</v>
      </c>
      <c r="C63" s="1" t="s">
        <v>19</v>
      </c>
      <c r="D63" s="2" t="s">
        <v>30</v>
      </c>
      <c r="E63" s="9" t="s">
        <v>144</v>
      </c>
      <c r="F63" s="7" t="s">
        <v>60</v>
      </c>
      <c r="G63" s="2" t="s">
        <v>22</v>
      </c>
      <c r="H63" s="7" t="s">
        <v>417</v>
      </c>
      <c r="I63" s="14"/>
      <c r="J63" s="14"/>
      <c r="L63" s="1" t="s">
        <v>1024</v>
      </c>
      <c r="M63" s="2" t="s">
        <v>145</v>
      </c>
      <c r="P63" s="2" t="s">
        <v>146</v>
      </c>
      <c r="Q63" s="1" t="e">
        <f t="shared" ref="Q63:Q117" si="4">IF($B63=0,$M63,_xlfn.TEXTBEFORE(Q62,"/",$B63,,,Q62)&amp;"/"&amp;$M63)&amp;IF(_xlfn.TEXTAFTER($D63,"..",,,,1)&lt;&gt;"1","[0]","")</f>
        <v>#REF!</v>
      </c>
    </row>
    <row r="64" spans="1:17" ht="12" customHeight="1" outlineLevel="3" x14ac:dyDescent="0.35">
      <c r="A64" s="2" t="str">
        <f t="shared" si="3"/>
        <v>CC413B</v>
      </c>
      <c r="B64" s="1">
        <v>3</v>
      </c>
      <c r="C64" s="1" t="s">
        <v>19</v>
      </c>
      <c r="D64" s="2" t="s">
        <v>25</v>
      </c>
      <c r="E64" s="9" t="s">
        <v>147</v>
      </c>
      <c r="F64" s="7" t="s">
        <v>148</v>
      </c>
      <c r="G64" s="2" t="s">
        <v>27</v>
      </c>
      <c r="H64" s="14"/>
      <c r="I64" s="14"/>
      <c r="J64" s="7" t="s">
        <v>418</v>
      </c>
      <c r="L64" s="1" t="s">
        <v>1036</v>
      </c>
      <c r="M64" s="2" t="s">
        <v>149</v>
      </c>
      <c r="P64" s="2" t="s">
        <v>150</v>
      </c>
      <c r="Q64" s="1" t="e">
        <f t="shared" si="4"/>
        <v>#REF!</v>
      </c>
    </row>
    <row r="65" spans="1:17" ht="12" customHeight="1" outlineLevel="3" x14ac:dyDescent="0.35">
      <c r="A65" s="2" t="str">
        <f t="shared" si="3"/>
        <v>CC413B</v>
      </c>
      <c r="B65" s="1">
        <v>3</v>
      </c>
      <c r="C65" s="1" t="s">
        <v>19</v>
      </c>
      <c r="D65" s="2" t="s">
        <v>25</v>
      </c>
      <c r="E65" s="9" t="s">
        <v>151</v>
      </c>
      <c r="F65" s="7" t="s">
        <v>152</v>
      </c>
      <c r="G65" s="2" t="s">
        <v>27</v>
      </c>
      <c r="H65" s="7" t="s">
        <v>419</v>
      </c>
      <c r="I65" s="14"/>
      <c r="J65" s="14"/>
      <c r="L65" s="1" t="s">
        <v>1025</v>
      </c>
      <c r="M65" s="2" t="s">
        <v>153</v>
      </c>
      <c r="P65" s="2" t="s">
        <v>154</v>
      </c>
      <c r="Q65" s="1" t="e">
        <f t="shared" si="4"/>
        <v>#REF!</v>
      </c>
    </row>
    <row r="66" spans="1:17" ht="12" customHeight="1" outlineLevel="3" x14ac:dyDescent="0.35">
      <c r="A66" s="2" t="str">
        <f t="shared" si="3"/>
        <v>CC413B</v>
      </c>
      <c r="B66" s="1">
        <v>3</v>
      </c>
      <c r="C66" s="1" t="s">
        <v>19</v>
      </c>
      <c r="D66" s="2" t="s">
        <v>30</v>
      </c>
      <c r="E66" s="9" t="s">
        <v>155</v>
      </c>
      <c r="F66" s="7" t="s">
        <v>156</v>
      </c>
      <c r="G66" s="2" t="s">
        <v>396</v>
      </c>
      <c r="H66" s="14"/>
      <c r="I66" s="7" t="s">
        <v>415</v>
      </c>
      <c r="J66" s="14"/>
      <c r="L66" s="1" t="s">
        <v>1028</v>
      </c>
      <c r="M66" s="2" t="s">
        <v>157</v>
      </c>
      <c r="P66" s="2" t="s">
        <v>158</v>
      </c>
      <c r="Q66" s="1" t="e">
        <f t="shared" si="4"/>
        <v>#REF!</v>
      </c>
    </row>
    <row r="67" spans="1:17" ht="12" customHeight="1" outlineLevel="3" x14ac:dyDescent="0.35">
      <c r="A67" s="3" t="str">
        <f t="shared" si="3"/>
        <v>CC413B</v>
      </c>
      <c r="B67" s="4">
        <v>3</v>
      </c>
      <c r="C67" s="3" t="s">
        <v>24</v>
      </c>
      <c r="D67" s="3" t="s">
        <v>30</v>
      </c>
      <c r="E67" s="10" t="s">
        <v>159</v>
      </c>
      <c r="F67" s="4"/>
      <c r="G67" s="3" t="s">
        <v>396</v>
      </c>
      <c r="H67" s="15"/>
      <c r="I67" s="16" t="s">
        <v>420</v>
      </c>
      <c r="J67" s="15"/>
      <c r="K67" s="4"/>
      <c r="L67" s="4" t="s">
        <v>1029</v>
      </c>
      <c r="M67" s="3" t="s">
        <v>160</v>
      </c>
      <c r="N67" s="4"/>
      <c r="O67" s="4"/>
      <c r="P67" s="3" t="s">
        <v>161</v>
      </c>
      <c r="Q67" s="1" t="e">
        <f t="shared" si="4"/>
        <v>#REF!</v>
      </c>
    </row>
    <row r="68" spans="1:17" ht="12" customHeight="1" outlineLevel="4" x14ac:dyDescent="0.35">
      <c r="A68" s="2" t="str">
        <f t="shared" si="3"/>
        <v>CC413B</v>
      </c>
      <c r="B68" s="1">
        <v>4</v>
      </c>
      <c r="C68" s="1" t="s">
        <v>19</v>
      </c>
      <c r="D68" s="2" t="s">
        <v>25</v>
      </c>
      <c r="E68" s="11" t="s">
        <v>63</v>
      </c>
      <c r="F68" s="7" t="s">
        <v>74</v>
      </c>
      <c r="G68" s="2" t="s">
        <v>27</v>
      </c>
      <c r="H68" s="14"/>
      <c r="I68" s="14"/>
      <c r="J68" s="7" t="s">
        <v>399</v>
      </c>
      <c r="L68" s="1" t="s">
        <v>1029</v>
      </c>
      <c r="M68" s="2" t="s">
        <v>65</v>
      </c>
      <c r="P68" s="2" t="s">
        <v>75</v>
      </c>
      <c r="Q68" s="1" t="e">
        <f t="shared" si="4"/>
        <v>#REF!</v>
      </c>
    </row>
    <row r="69" spans="1:17" ht="12" customHeight="1" outlineLevel="1" x14ac:dyDescent="0.35">
      <c r="A69" s="3" t="str">
        <f t="shared" si="3"/>
        <v>CC413B</v>
      </c>
      <c r="B69" s="4">
        <v>1</v>
      </c>
      <c r="C69" s="3" t="s">
        <v>24</v>
      </c>
      <c r="D69" s="3" t="s">
        <v>30</v>
      </c>
      <c r="E69" s="5" t="s">
        <v>162</v>
      </c>
      <c r="F69" s="4"/>
      <c r="G69" s="3" t="s">
        <v>22</v>
      </c>
      <c r="H69" s="16" t="s">
        <v>444</v>
      </c>
      <c r="I69" s="15"/>
      <c r="J69" s="15"/>
      <c r="K69" s="4"/>
      <c r="L69" s="4" t="s">
        <v>1037</v>
      </c>
      <c r="M69" s="3" t="s">
        <v>163</v>
      </c>
      <c r="N69" s="4"/>
      <c r="O69" s="4"/>
      <c r="P69" s="3" t="s">
        <v>164</v>
      </c>
      <c r="Q69" s="1" t="e">
        <f t="shared" si="4"/>
        <v>#REF!</v>
      </c>
    </row>
    <row r="70" spans="1:17" ht="12" customHeight="1" outlineLevel="2" x14ac:dyDescent="0.35">
      <c r="A70" s="2" t="str">
        <f t="shared" si="3"/>
        <v>CC413B</v>
      </c>
      <c r="B70" s="1">
        <v>2</v>
      </c>
      <c r="C70" s="1" t="s">
        <v>19</v>
      </c>
      <c r="D70" s="2" t="s">
        <v>30</v>
      </c>
      <c r="E70" s="6" t="s">
        <v>165</v>
      </c>
      <c r="F70" s="7" t="s">
        <v>148</v>
      </c>
      <c r="G70" s="2" t="s">
        <v>396</v>
      </c>
      <c r="H70" s="7" t="s">
        <v>445</v>
      </c>
      <c r="I70" s="7" t="s">
        <v>446</v>
      </c>
      <c r="J70" s="7" t="s">
        <v>418</v>
      </c>
      <c r="L70" s="1" t="s">
        <v>1038</v>
      </c>
      <c r="M70" s="2" t="s">
        <v>166</v>
      </c>
      <c r="P70" s="2" t="s">
        <v>150</v>
      </c>
      <c r="Q70" s="1" t="e">
        <f t="shared" si="4"/>
        <v>#REF!</v>
      </c>
    </row>
    <row r="71" spans="1:17" ht="12" customHeight="1" outlineLevel="1" x14ac:dyDescent="0.35">
      <c r="A71" s="3" t="str">
        <f t="shared" si="3"/>
        <v>CC413B</v>
      </c>
      <c r="B71" s="4">
        <v>1</v>
      </c>
      <c r="C71" s="3" t="s">
        <v>24</v>
      </c>
      <c r="D71" s="3" t="s">
        <v>53</v>
      </c>
      <c r="E71" s="5" t="s">
        <v>167</v>
      </c>
      <c r="F71" s="4"/>
      <c r="G71" s="3" t="s">
        <v>396</v>
      </c>
      <c r="H71" s="15"/>
      <c r="I71" s="16" t="s">
        <v>421</v>
      </c>
      <c r="J71" s="15"/>
      <c r="K71" s="4"/>
      <c r="L71" s="4" t="s">
        <v>1026</v>
      </c>
      <c r="M71" s="3" t="s">
        <v>168</v>
      </c>
      <c r="N71" s="4"/>
      <c r="O71" s="4"/>
      <c r="P71" s="3" t="s">
        <v>169</v>
      </c>
      <c r="Q71" s="1" t="e">
        <f t="shared" si="4"/>
        <v>#REF!</v>
      </c>
    </row>
    <row r="72" spans="1:17" ht="12" customHeight="1" outlineLevel="2" x14ac:dyDescent="0.35">
      <c r="A72" s="2" t="str">
        <f t="shared" si="3"/>
        <v>CC413B</v>
      </c>
      <c r="B72" s="1">
        <v>2</v>
      </c>
      <c r="C72" s="1" t="s">
        <v>19</v>
      </c>
      <c r="D72" s="2" t="s">
        <v>25</v>
      </c>
      <c r="E72" s="6" t="s">
        <v>56</v>
      </c>
      <c r="F72" s="7" t="s">
        <v>57</v>
      </c>
      <c r="G72" s="2" t="s">
        <v>27</v>
      </c>
      <c r="H72" s="7" t="s">
        <v>393</v>
      </c>
      <c r="I72" s="14"/>
      <c r="J72" s="14"/>
      <c r="M72" s="2" t="s">
        <v>58</v>
      </c>
      <c r="P72" s="2" t="s">
        <v>59</v>
      </c>
      <c r="Q72" s="1" t="e">
        <f t="shared" si="4"/>
        <v>#REF!</v>
      </c>
    </row>
    <row r="73" spans="1:17" ht="12" customHeight="1" outlineLevel="2" x14ac:dyDescent="0.35">
      <c r="A73" s="2" t="str">
        <f t="shared" si="3"/>
        <v>CC413B</v>
      </c>
      <c r="B73" s="1">
        <v>2</v>
      </c>
      <c r="C73" s="1" t="s">
        <v>19</v>
      </c>
      <c r="D73" s="2" t="s">
        <v>25</v>
      </c>
      <c r="E73" s="6" t="s">
        <v>167</v>
      </c>
      <c r="F73" s="7" t="s">
        <v>156</v>
      </c>
      <c r="G73" s="2" t="s">
        <v>27</v>
      </c>
      <c r="H73" s="14"/>
      <c r="I73" s="14"/>
      <c r="J73" s="14"/>
      <c r="L73" s="1" t="s">
        <v>1027</v>
      </c>
      <c r="M73" s="2" t="s">
        <v>170</v>
      </c>
      <c r="P73" s="2" t="s">
        <v>171</v>
      </c>
      <c r="Q73" s="1" t="e">
        <f t="shared" si="4"/>
        <v>#REF!</v>
      </c>
    </row>
    <row r="74" spans="1:17" ht="12" customHeight="1" outlineLevel="2" x14ac:dyDescent="0.35">
      <c r="A74" s="2" t="str">
        <f t="shared" si="3"/>
        <v>CC413B</v>
      </c>
      <c r="B74" s="1">
        <v>2</v>
      </c>
      <c r="C74" s="1" t="s">
        <v>19</v>
      </c>
      <c r="D74" s="2" t="s">
        <v>30</v>
      </c>
      <c r="E74" s="6" t="s">
        <v>142</v>
      </c>
      <c r="F74" s="7" t="s">
        <v>50</v>
      </c>
      <c r="G74" s="2" t="s">
        <v>22</v>
      </c>
      <c r="H74" s="7" t="s">
        <v>414</v>
      </c>
      <c r="I74" s="14"/>
      <c r="J74" s="7" t="s">
        <v>416</v>
      </c>
      <c r="M74" s="2" t="s">
        <v>143</v>
      </c>
      <c r="P74" s="2" t="s">
        <v>52</v>
      </c>
      <c r="Q74" s="1" t="e">
        <f t="shared" si="4"/>
        <v>#REF!</v>
      </c>
    </row>
    <row r="75" spans="1:17" ht="12" customHeight="1" outlineLevel="1" x14ac:dyDescent="0.35">
      <c r="A75" s="3" t="str">
        <f t="shared" si="3"/>
        <v>CC413B</v>
      </c>
      <c r="B75" s="4">
        <v>1</v>
      </c>
      <c r="C75" s="3" t="s">
        <v>24</v>
      </c>
      <c r="D75" s="3" t="s">
        <v>172</v>
      </c>
      <c r="E75" s="5" t="s">
        <v>173</v>
      </c>
      <c r="F75" s="4"/>
      <c r="G75" s="3" t="s">
        <v>27</v>
      </c>
      <c r="H75" s="16" t="s">
        <v>422</v>
      </c>
      <c r="I75" s="15"/>
      <c r="J75" s="15"/>
      <c r="K75" s="4"/>
      <c r="L75" s="4"/>
      <c r="M75" s="3" t="s">
        <v>174</v>
      </c>
      <c r="N75" s="4"/>
      <c r="O75" s="4"/>
      <c r="P75" s="3" t="s">
        <v>175</v>
      </c>
      <c r="Q75" s="1" t="e">
        <f t="shared" si="4"/>
        <v>#REF!</v>
      </c>
    </row>
    <row r="76" spans="1:17" ht="12" customHeight="1" outlineLevel="2" x14ac:dyDescent="0.35">
      <c r="A76" s="2" t="str">
        <f t="shared" si="3"/>
        <v>CC413B</v>
      </c>
      <c r="B76" s="1">
        <v>2</v>
      </c>
      <c r="C76" s="1" t="s">
        <v>19</v>
      </c>
      <c r="D76" s="2" t="s">
        <v>25</v>
      </c>
      <c r="E76" s="6" t="s">
        <v>56</v>
      </c>
      <c r="F76" s="7" t="s">
        <v>57</v>
      </c>
      <c r="G76" s="2" t="s">
        <v>27</v>
      </c>
      <c r="H76" s="7" t="s">
        <v>393</v>
      </c>
      <c r="I76" s="14"/>
      <c r="J76" s="14"/>
      <c r="M76" s="2" t="s">
        <v>58</v>
      </c>
      <c r="P76" s="2" t="s">
        <v>59</v>
      </c>
      <c r="Q76" s="1" t="e">
        <f t="shared" si="4"/>
        <v>#REF!</v>
      </c>
    </row>
    <row r="77" spans="1:17" ht="12" customHeight="1" outlineLevel="2" x14ac:dyDescent="0.35">
      <c r="A77" s="2" t="str">
        <f t="shared" si="3"/>
        <v>CC413B</v>
      </c>
      <c r="B77" s="1">
        <v>2</v>
      </c>
      <c r="C77" s="1" t="s">
        <v>19</v>
      </c>
      <c r="D77" s="2" t="s">
        <v>30</v>
      </c>
      <c r="E77" s="6" t="s">
        <v>176</v>
      </c>
      <c r="F77" s="7" t="s">
        <v>177</v>
      </c>
      <c r="G77" s="2" t="s">
        <v>396</v>
      </c>
      <c r="H77" s="7" t="s">
        <v>423</v>
      </c>
      <c r="I77" s="7" t="s">
        <v>424</v>
      </c>
      <c r="J77" s="7" t="s">
        <v>425</v>
      </c>
      <c r="L77" s="1" t="s">
        <v>1039</v>
      </c>
      <c r="M77" s="2" t="s">
        <v>178</v>
      </c>
      <c r="P77" s="2" t="s">
        <v>179</v>
      </c>
      <c r="Q77" s="1" t="e">
        <f t="shared" si="4"/>
        <v>#REF!</v>
      </c>
    </row>
    <row r="78" spans="1:17" ht="12" customHeight="1" outlineLevel="2" x14ac:dyDescent="0.35">
      <c r="A78" s="2" t="str">
        <f t="shared" si="3"/>
        <v>CC413B</v>
      </c>
      <c r="B78" s="1">
        <v>2</v>
      </c>
      <c r="C78" s="1" t="s">
        <v>19</v>
      </c>
      <c r="D78" s="2" t="s">
        <v>30</v>
      </c>
      <c r="E78" s="6" t="s">
        <v>180</v>
      </c>
      <c r="F78" s="7" t="s">
        <v>181</v>
      </c>
      <c r="G78" s="2" t="s">
        <v>396</v>
      </c>
      <c r="H78" s="14"/>
      <c r="I78" s="7" t="s">
        <v>426</v>
      </c>
      <c r="J78" s="14"/>
      <c r="L78" s="1" t="s">
        <v>1040</v>
      </c>
      <c r="M78" s="2" t="s">
        <v>182</v>
      </c>
      <c r="P78" s="2" t="s">
        <v>183</v>
      </c>
      <c r="Q78" s="1" t="e">
        <f t="shared" si="4"/>
        <v>#REF!</v>
      </c>
    </row>
    <row r="79" spans="1:17" ht="12" customHeight="1" outlineLevel="2" x14ac:dyDescent="0.35">
      <c r="A79" s="2" t="str">
        <f t="shared" si="3"/>
        <v>CC413B</v>
      </c>
      <c r="B79" s="1">
        <v>2</v>
      </c>
      <c r="C79" s="1" t="s">
        <v>19</v>
      </c>
      <c r="D79" s="2" t="s">
        <v>30</v>
      </c>
      <c r="E79" s="6" t="s">
        <v>184</v>
      </c>
      <c r="F79" s="7" t="s">
        <v>148</v>
      </c>
      <c r="G79" s="2" t="s">
        <v>396</v>
      </c>
      <c r="H79" s="7" t="s">
        <v>447</v>
      </c>
      <c r="I79" s="7" t="s">
        <v>428</v>
      </c>
      <c r="J79" s="7" t="s">
        <v>429</v>
      </c>
      <c r="L79" s="1" t="s">
        <v>1041</v>
      </c>
      <c r="M79" s="2" t="s">
        <v>185</v>
      </c>
      <c r="P79" s="2" t="s">
        <v>150</v>
      </c>
      <c r="Q79" s="1" t="e">
        <f t="shared" si="4"/>
        <v>#REF!</v>
      </c>
    </row>
    <row r="80" spans="1:17" ht="12" customHeight="1" outlineLevel="2" x14ac:dyDescent="0.35">
      <c r="A80" s="2" t="str">
        <f t="shared" si="3"/>
        <v>CC413B</v>
      </c>
      <c r="B80" s="1">
        <v>2</v>
      </c>
      <c r="C80" s="1" t="s">
        <v>19</v>
      </c>
      <c r="D80" s="2" t="s">
        <v>30</v>
      </c>
      <c r="E80" s="6" t="s">
        <v>186</v>
      </c>
      <c r="F80" s="7" t="s">
        <v>47</v>
      </c>
      <c r="G80" s="2" t="s">
        <v>396</v>
      </c>
      <c r="H80" s="7" t="s">
        <v>430</v>
      </c>
      <c r="I80" s="7" t="s">
        <v>431</v>
      </c>
      <c r="J80" s="14"/>
      <c r="L80" s="1" t="s">
        <v>1042</v>
      </c>
      <c r="M80" s="2" t="s">
        <v>187</v>
      </c>
      <c r="P80" s="2" t="s">
        <v>188</v>
      </c>
      <c r="Q80" s="1" t="e">
        <f t="shared" si="4"/>
        <v>#REF!</v>
      </c>
    </row>
    <row r="81" spans="1:17" ht="12" customHeight="1" outlineLevel="2" x14ac:dyDescent="0.35">
      <c r="A81" s="2" t="str">
        <f t="shared" si="3"/>
        <v>CC413B</v>
      </c>
      <c r="B81" s="1">
        <v>2</v>
      </c>
      <c r="C81" s="1" t="s">
        <v>19</v>
      </c>
      <c r="D81" s="2" t="s">
        <v>30</v>
      </c>
      <c r="E81" s="6" t="s">
        <v>189</v>
      </c>
      <c r="F81" s="7" t="s">
        <v>190</v>
      </c>
      <c r="G81" s="2" t="s">
        <v>22</v>
      </c>
      <c r="H81" s="7" t="s">
        <v>448</v>
      </c>
      <c r="I81" s="14"/>
      <c r="J81" s="14"/>
      <c r="M81" s="2" t="s">
        <v>191</v>
      </c>
      <c r="P81" s="2" t="s">
        <v>192</v>
      </c>
      <c r="Q81" s="1" t="e">
        <f t="shared" si="4"/>
        <v>#REF!</v>
      </c>
    </row>
    <row r="82" spans="1:17" ht="12" customHeight="1" outlineLevel="2" x14ac:dyDescent="0.35">
      <c r="A82" s="3" t="str">
        <f t="shared" si="3"/>
        <v>CC413B</v>
      </c>
      <c r="B82" s="4">
        <v>2</v>
      </c>
      <c r="C82" s="3" t="s">
        <v>24</v>
      </c>
      <c r="D82" s="3" t="s">
        <v>193</v>
      </c>
      <c r="E82" s="8" t="s">
        <v>194</v>
      </c>
      <c r="F82" s="4"/>
      <c r="G82" s="3" t="s">
        <v>22</v>
      </c>
      <c r="H82" s="16" t="s">
        <v>432</v>
      </c>
      <c r="I82" s="15"/>
      <c r="J82" s="15"/>
      <c r="K82" s="4"/>
      <c r="L82" s="4" t="s">
        <v>1043</v>
      </c>
      <c r="M82" s="3" t="s">
        <v>195</v>
      </c>
      <c r="N82" s="4"/>
      <c r="O82" s="4"/>
      <c r="P82" s="3" t="s">
        <v>196</v>
      </c>
      <c r="Q82" s="1" t="e">
        <f t="shared" si="4"/>
        <v>#REF!</v>
      </c>
    </row>
    <row r="83" spans="1:17" ht="12" customHeight="1" outlineLevel="3" x14ac:dyDescent="0.35">
      <c r="A83" s="2" t="str">
        <f t="shared" si="3"/>
        <v>CC413B</v>
      </c>
      <c r="B83" s="1">
        <v>3</v>
      </c>
      <c r="C83" s="1" t="s">
        <v>19</v>
      </c>
      <c r="D83" s="2" t="s">
        <v>25</v>
      </c>
      <c r="E83" s="9" t="s">
        <v>56</v>
      </c>
      <c r="F83" s="7" t="s">
        <v>57</v>
      </c>
      <c r="G83" s="2" t="s">
        <v>27</v>
      </c>
      <c r="H83" s="7" t="s">
        <v>393</v>
      </c>
      <c r="I83" s="14"/>
      <c r="J83" s="14"/>
      <c r="M83" s="2" t="s">
        <v>58</v>
      </c>
      <c r="P83" s="2" t="s">
        <v>59</v>
      </c>
      <c r="Q83" s="1" t="e">
        <f t="shared" si="4"/>
        <v>#REF!</v>
      </c>
    </row>
    <row r="84" spans="1:17" ht="12" customHeight="1" outlineLevel="3" x14ac:dyDescent="0.35">
      <c r="A84" s="2" t="str">
        <f t="shared" si="3"/>
        <v>CC413B</v>
      </c>
      <c r="B84" s="1">
        <v>3</v>
      </c>
      <c r="C84" s="1" t="s">
        <v>19</v>
      </c>
      <c r="D84" s="2" t="s">
        <v>25</v>
      </c>
      <c r="E84" s="9" t="s">
        <v>197</v>
      </c>
      <c r="F84" s="7" t="s">
        <v>198</v>
      </c>
      <c r="G84" s="2" t="s">
        <v>27</v>
      </c>
      <c r="H84" s="14"/>
      <c r="I84" s="14"/>
      <c r="J84" s="7" t="s">
        <v>433</v>
      </c>
      <c r="L84" s="1" t="s">
        <v>1044</v>
      </c>
      <c r="M84" s="2" t="s">
        <v>199</v>
      </c>
      <c r="P84" s="2" t="s">
        <v>200</v>
      </c>
      <c r="Q84" s="1" t="e">
        <f t="shared" si="4"/>
        <v>#REF!</v>
      </c>
    </row>
    <row r="85" spans="1:17" ht="12" customHeight="1" outlineLevel="3" x14ac:dyDescent="0.35">
      <c r="A85" s="2" t="str">
        <f t="shared" si="3"/>
        <v>CC413B</v>
      </c>
      <c r="B85" s="1">
        <v>3</v>
      </c>
      <c r="C85" s="1" t="s">
        <v>19</v>
      </c>
      <c r="D85" s="2" t="s">
        <v>25</v>
      </c>
      <c r="E85" s="9" t="s">
        <v>81</v>
      </c>
      <c r="F85" s="7" t="s">
        <v>68</v>
      </c>
      <c r="G85" s="2" t="s">
        <v>27</v>
      </c>
      <c r="H85" s="7" t="s">
        <v>434</v>
      </c>
      <c r="I85" s="14"/>
      <c r="J85" s="14"/>
      <c r="L85" s="1" t="s">
        <v>1045</v>
      </c>
      <c r="M85" s="2" t="s">
        <v>82</v>
      </c>
      <c r="P85" s="2" t="s">
        <v>70</v>
      </c>
      <c r="Q85" s="1" t="e">
        <f t="shared" si="4"/>
        <v>#REF!</v>
      </c>
    </row>
    <row r="86" spans="1:17" ht="12" customHeight="1" outlineLevel="2" x14ac:dyDescent="0.35">
      <c r="A86" s="3" t="str">
        <f t="shared" si="3"/>
        <v>CC413B</v>
      </c>
      <c r="B86" s="4">
        <v>2</v>
      </c>
      <c r="C86" s="3" t="s">
        <v>24</v>
      </c>
      <c r="D86" s="3" t="s">
        <v>30</v>
      </c>
      <c r="E86" s="8" t="s">
        <v>201</v>
      </c>
      <c r="F86" s="4"/>
      <c r="G86" s="3" t="s">
        <v>396</v>
      </c>
      <c r="H86" s="16" t="s">
        <v>435</v>
      </c>
      <c r="I86" s="16" t="s">
        <v>436</v>
      </c>
      <c r="J86" s="15"/>
      <c r="K86" s="4"/>
      <c r="L86" s="4" t="s">
        <v>1046</v>
      </c>
      <c r="M86" s="3" t="s">
        <v>201</v>
      </c>
      <c r="N86" s="4"/>
      <c r="O86" s="4"/>
      <c r="P86" s="3" t="s">
        <v>202</v>
      </c>
      <c r="Q86" s="1" t="e">
        <f t="shared" si="4"/>
        <v>#REF!</v>
      </c>
    </row>
    <row r="87" spans="1:17" ht="12" customHeight="1" outlineLevel="3" x14ac:dyDescent="0.35">
      <c r="A87" s="2" t="str">
        <f t="shared" si="3"/>
        <v>CC413B</v>
      </c>
      <c r="B87" s="1">
        <v>3</v>
      </c>
      <c r="C87" s="1" t="s">
        <v>19</v>
      </c>
      <c r="D87" s="2" t="s">
        <v>30</v>
      </c>
      <c r="E87" s="9" t="s">
        <v>81</v>
      </c>
      <c r="F87" s="7" t="s">
        <v>68</v>
      </c>
      <c r="G87" s="2" t="s">
        <v>22</v>
      </c>
      <c r="H87" s="7" t="s">
        <v>434</v>
      </c>
      <c r="I87" s="14"/>
      <c r="J87" s="14"/>
      <c r="L87" s="1" t="s">
        <v>1047</v>
      </c>
      <c r="M87" s="2" t="s">
        <v>82</v>
      </c>
      <c r="P87" s="2" t="s">
        <v>70</v>
      </c>
      <c r="Q87" s="1" t="e">
        <f t="shared" si="4"/>
        <v>#REF!</v>
      </c>
    </row>
    <row r="88" spans="1:17" ht="12" customHeight="1" outlineLevel="3" x14ac:dyDescent="0.35">
      <c r="A88" s="2" t="str">
        <f t="shared" si="3"/>
        <v>CC413B</v>
      </c>
      <c r="B88" s="1">
        <v>3</v>
      </c>
      <c r="C88" s="1" t="s">
        <v>19</v>
      </c>
      <c r="D88" s="2" t="s">
        <v>30</v>
      </c>
      <c r="E88" s="9" t="s">
        <v>4</v>
      </c>
      <c r="F88" s="7" t="s">
        <v>83</v>
      </c>
      <c r="G88" s="2" t="s">
        <v>396</v>
      </c>
      <c r="H88" s="14"/>
      <c r="I88" s="7" t="s">
        <v>401</v>
      </c>
      <c r="J88" s="14"/>
      <c r="L88" s="1" t="s">
        <v>1048</v>
      </c>
      <c r="M88" s="2" t="s">
        <v>84</v>
      </c>
      <c r="P88" s="2" t="s">
        <v>85</v>
      </c>
      <c r="Q88" s="1" t="e">
        <f t="shared" si="4"/>
        <v>#REF!</v>
      </c>
    </row>
    <row r="89" spans="1:17" ht="12" customHeight="1" outlineLevel="3" x14ac:dyDescent="0.35">
      <c r="A89" s="3" t="str">
        <f t="shared" si="3"/>
        <v>CC413B</v>
      </c>
      <c r="B89" s="4">
        <v>3</v>
      </c>
      <c r="C89" s="3" t="s">
        <v>24</v>
      </c>
      <c r="D89" s="3" t="s">
        <v>30</v>
      </c>
      <c r="E89" s="10" t="s">
        <v>86</v>
      </c>
      <c r="F89" s="4"/>
      <c r="G89" s="3" t="s">
        <v>396</v>
      </c>
      <c r="H89" s="15"/>
      <c r="I89" s="16" t="s">
        <v>401</v>
      </c>
      <c r="J89" s="15"/>
      <c r="K89" s="4"/>
      <c r="L89" s="4" t="s">
        <v>1049</v>
      </c>
      <c r="M89" s="3" t="s">
        <v>86</v>
      </c>
      <c r="N89" s="4"/>
      <c r="O89" s="4"/>
      <c r="P89" s="3" t="s">
        <v>87</v>
      </c>
      <c r="Q89" s="1" t="e">
        <f t="shared" si="4"/>
        <v>#REF!</v>
      </c>
    </row>
    <row r="90" spans="1:17" ht="12" customHeight="1" outlineLevel="4" x14ac:dyDescent="0.35">
      <c r="A90" s="2" t="str">
        <f t="shared" si="3"/>
        <v>CC413B</v>
      </c>
      <c r="B90" s="1">
        <v>4</v>
      </c>
      <c r="C90" s="1" t="s">
        <v>19</v>
      </c>
      <c r="D90" s="2" t="s">
        <v>25</v>
      </c>
      <c r="E90" s="11" t="s">
        <v>88</v>
      </c>
      <c r="F90" s="7" t="s">
        <v>83</v>
      </c>
      <c r="G90" s="2" t="s">
        <v>27</v>
      </c>
      <c r="H90" s="14"/>
      <c r="I90" s="14"/>
      <c r="J90" s="14"/>
      <c r="L90" s="1" t="s">
        <v>1050</v>
      </c>
      <c r="M90" s="2" t="s">
        <v>89</v>
      </c>
      <c r="P90" s="2" t="s">
        <v>90</v>
      </c>
      <c r="Q90" s="1" t="e">
        <f t="shared" si="4"/>
        <v>#REF!</v>
      </c>
    </row>
    <row r="91" spans="1:17" ht="12" customHeight="1" outlineLevel="4" x14ac:dyDescent="0.35">
      <c r="A91" s="2" t="str">
        <f t="shared" si="3"/>
        <v>CC413B</v>
      </c>
      <c r="B91" s="1">
        <v>4</v>
      </c>
      <c r="C91" s="1" t="s">
        <v>19</v>
      </c>
      <c r="D91" s="2" t="s">
        <v>30</v>
      </c>
      <c r="E91" s="11" t="s">
        <v>91</v>
      </c>
      <c r="F91" s="7" t="s">
        <v>92</v>
      </c>
      <c r="G91" s="2" t="s">
        <v>396</v>
      </c>
      <c r="H91" s="14"/>
      <c r="I91" s="7" t="s">
        <v>402</v>
      </c>
      <c r="J91" s="14"/>
      <c r="L91" s="1" t="s">
        <v>1051</v>
      </c>
      <c r="M91" s="2" t="s">
        <v>93</v>
      </c>
      <c r="P91" s="2" t="s">
        <v>94</v>
      </c>
      <c r="Q91" s="1" t="e">
        <f t="shared" si="4"/>
        <v>#REF!</v>
      </c>
    </row>
    <row r="92" spans="1:17" ht="12" customHeight="1" outlineLevel="4" x14ac:dyDescent="0.35">
      <c r="A92" s="2" t="str">
        <f t="shared" si="3"/>
        <v>CC413B</v>
      </c>
      <c r="B92" s="1">
        <v>4</v>
      </c>
      <c r="C92" s="1" t="s">
        <v>19</v>
      </c>
      <c r="D92" s="2" t="s">
        <v>25</v>
      </c>
      <c r="E92" s="11" t="s">
        <v>95</v>
      </c>
      <c r="F92" s="7" t="s">
        <v>96</v>
      </c>
      <c r="G92" s="2" t="s">
        <v>27</v>
      </c>
      <c r="H92" s="14"/>
      <c r="I92" s="14"/>
      <c r="J92" s="14"/>
      <c r="L92" s="1" t="s">
        <v>1052</v>
      </c>
      <c r="M92" s="2" t="s">
        <v>97</v>
      </c>
      <c r="P92" s="2" t="s">
        <v>98</v>
      </c>
      <c r="Q92" s="1" t="e">
        <f t="shared" si="4"/>
        <v>#REF!</v>
      </c>
    </row>
    <row r="93" spans="1:17" ht="12" customHeight="1" outlineLevel="4" x14ac:dyDescent="0.35">
      <c r="A93" s="2" t="str">
        <f t="shared" si="3"/>
        <v>CC413B</v>
      </c>
      <c r="B93" s="1">
        <v>4</v>
      </c>
      <c r="C93" s="1" t="s">
        <v>19</v>
      </c>
      <c r="D93" s="2" t="s">
        <v>25</v>
      </c>
      <c r="E93" s="11" t="s">
        <v>99</v>
      </c>
      <c r="F93" s="7" t="s">
        <v>50</v>
      </c>
      <c r="G93" s="2" t="s">
        <v>27</v>
      </c>
      <c r="H93" s="14"/>
      <c r="I93" s="14"/>
      <c r="J93" s="7" t="s">
        <v>403</v>
      </c>
      <c r="L93" s="1" t="s">
        <v>1053</v>
      </c>
      <c r="M93" s="2" t="s">
        <v>100</v>
      </c>
      <c r="P93" s="2" t="s">
        <v>52</v>
      </c>
      <c r="Q93" s="1" t="e">
        <f t="shared" si="4"/>
        <v>#REF!</v>
      </c>
    </row>
    <row r="94" spans="1:17" ht="12" customHeight="1" outlineLevel="2" x14ac:dyDescent="0.35">
      <c r="A94" s="3" t="str">
        <f t="shared" ref="A94:A109" si="5">$E$2</f>
        <v>CC413B</v>
      </c>
      <c r="B94" s="4">
        <v>2</v>
      </c>
      <c r="C94" s="3" t="s">
        <v>24</v>
      </c>
      <c r="D94" s="3" t="s">
        <v>30</v>
      </c>
      <c r="E94" s="8" t="s">
        <v>203</v>
      </c>
      <c r="F94" s="4"/>
      <c r="G94" s="3" t="s">
        <v>396</v>
      </c>
      <c r="H94" s="16" t="s">
        <v>437</v>
      </c>
      <c r="I94" s="16" t="s">
        <v>436</v>
      </c>
      <c r="J94" s="15"/>
      <c r="K94" s="4"/>
      <c r="L94" s="4" t="s">
        <v>1054</v>
      </c>
      <c r="M94" s="3" t="s">
        <v>203</v>
      </c>
      <c r="N94" s="4"/>
      <c r="O94" s="4"/>
      <c r="P94" s="3" t="s">
        <v>204</v>
      </c>
      <c r="Q94" s="1" t="e">
        <f t="shared" si="4"/>
        <v>#REF!</v>
      </c>
    </row>
    <row r="95" spans="1:17" ht="12" customHeight="1" outlineLevel="3" x14ac:dyDescent="0.35">
      <c r="A95" s="2" t="str">
        <f t="shared" si="5"/>
        <v>CC413B</v>
      </c>
      <c r="B95" s="1">
        <v>3</v>
      </c>
      <c r="C95" s="1" t="s">
        <v>19</v>
      </c>
      <c r="D95" s="2" t="s">
        <v>30</v>
      </c>
      <c r="E95" s="9" t="s">
        <v>81</v>
      </c>
      <c r="F95" s="7" t="s">
        <v>68</v>
      </c>
      <c r="G95" s="2" t="s">
        <v>22</v>
      </c>
      <c r="H95" s="7" t="s">
        <v>434</v>
      </c>
      <c r="I95" s="14"/>
      <c r="J95" s="14"/>
      <c r="L95" s="1" t="s">
        <v>1055</v>
      </c>
      <c r="M95" s="2" t="s">
        <v>82</v>
      </c>
      <c r="P95" s="2" t="s">
        <v>70</v>
      </c>
      <c r="Q95" s="1" t="e">
        <f t="shared" si="4"/>
        <v>#REF!</v>
      </c>
    </row>
    <row r="96" spans="1:17" ht="12" customHeight="1" outlineLevel="3" x14ac:dyDescent="0.35">
      <c r="A96" s="2" t="str">
        <f t="shared" si="5"/>
        <v>CC413B</v>
      </c>
      <c r="B96" s="1">
        <v>3</v>
      </c>
      <c r="C96" s="1" t="s">
        <v>19</v>
      </c>
      <c r="D96" s="2" t="s">
        <v>30</v>
      </c>
      <c r="E96" s="9" t="s">
        <v>4</v>
      </c>
      <c r="F96" s="7" t="s">
        <v>83</v>
      </c>
      <c r="G96" s="2" t="s">
        <v>396</v>
      </c>
      <c r="H96" s="14"/>
      <c r="I96" s="7" t="s">
        <v>401</v>
      </c>
      <c r="J96" s="14"/>
      <c r="L96" s="1" t="s">
        <v>1056</v>
      </c>
      <c r="M96" s="2" t="s">
        <v>84</v>
      </c>
      <c r="P96" s="2" t="s">
        <v>85</v>
      </c>
      <c r="Q96" s="1" t="e">
        <f t="shared" si="4"/>
        <v>#REF!</v>
      </c>
    </row>
    <row r="97" spans="1:17" ht="12" customHeight="1" outlineLevel="3" x14ac:dyDescent="0.35">
      <c r="A97" s="3" t="str">
        <f t="shared" si="5"/>
        <v>CC413B</v>
      </c>
      <c r="B97" s="4">
        <v>3</v>
      </c>
      <c r="C97" s="3" t="s">
        <v>24</v>
      </c>
      <c r="D97" s="3" t="s">
        <v>30</v>
      </c>
      <c r="E97" s="10" t="s">
        <v>86</v>
      </c>
      <c r="F97" s="4"/>
      <c r="G97" s="3" t="s">
        <v>396</v>
      </c>
      <c r="H97" s="15"/>
      <c r="I97" s="16" t="s">
        <v>401</v>
      </c>
      <c r="J97" s="15"/>
      <c r="K97" s="4"/>
      <c r="L97" s="4" t="s">
        <v>1057</v>
      </c>
      <c r="M97" s="3" t="s">
        <v>86</v>
      </c>
      <c r="N97" s="4"/>
      <c r="O97" s="4"/>
      <c r="P97" s="3" t="s">
        <v>87</v>
      </c>
      <c r="Q97" s="1" t="e">
        <f t="shared" si="4"/>
        <v>#REF!</v>
      </c>
    </row>
    <row r="98" spans="1:17" ht="12" customHeight="1" outlineLevel="4" x14ac:dyDescent="0.35">
      <c r="A98" s="2" t="str">
        <f t="shared" si="5"/>
        <v>CC413B</v>
      </c>
      <c r="B98" s="1">
        <v>4</v>
      </c>
      <c r="C98" s="1" t="s">
        <v>19</v>
      </c>
      <c r="D98" s="2" t="s">
        <v>25</v>
      </c>
      <c r="E98" s="11" t="s">
        <v>88</v>
      </c>
      <c r="F98" s="7" t="s">
        <v>83</v>
      </c>
      <c r="G98" s="2" t="s">
        <v>27</v>
      </c>
      <c r="H98" s="14"/>
      <c r="I98" s="14"/>
      <c r="J98" s="14"/>
      <c r="L98" s="1" t="s">
        <v>1058</v>
      </c>
      <c r="M98" s="2" t="s">
        <v>89</v>
      </c>
      <c r="P98" s="2" t="s">
        <v>90</v>
      </c>
      <c r="Q98" s="1" t="e">
        <f t="shared" si="4"/>
        <v>#REF!</v>
      </c>
    </row>
    <row r="99" spans="1:17" ht="12" customHeight="1" outlineLevel="4" x14ac:dyDescent="0.35">
      <c r="A99" s="2" t="str">
        <f t="shared" si="5"/>
        <v>CC413B</v>
      </c>
      <c r="B99" s="1">
        <v>4</v>
      </c>
      <c r="C99" s="1" t="s">
        <v>19</v>
      </c>
      <c r="D99" s="2" t="s">
        <v>30</v>
      </c>
      <c r="E99" s="11" t="s">
        <v>91</v>
      </c>
      <c r="F99" s="7" t="s">
        <v>92</v>
      </c>
      <c r="G99" s="2" t="s">
        <v>396</v>
      </c>
      <c r="H99" s="14"/>
      <c r="I99" s="7" t="s">
        <v>402</v>
      </c>
      <c r="J99" s="14"/>
      <c r="L99" s="1" t="s">
        <v>1059</v>
      </c>
      <c r="M99" s="2" t="s">
        <v>93</v>
      </c>
      <c r="P99" s="2" t="s">
        <v>94</v>
      </c>
      <c r="Q99" s="1" t="e">
        <f t="shared" si="4"/>
        <v>#REF!</v>
      </c>
    </row>
    <row r="100" spans="1:17" ht="12" customHeight="1" outlineLevel="4" x14ac:dyDescent="0.35">
      <c r="A100" s="2" t="str">
        <f t="shared" si="5"/>
        <v>CC413B</v>
      </c>
      <c r="B100" s="1">
        <v>4</v>
      </c>
      <c r="C100" s="1" t="s">
        <v>19</v>
      </c>
      <c r="D100" s="2" t="s">
        <v>25</v>
      </c>
      <c r="E100" s="11" t="s">
        <v>95</v>
      </c>
      <c r="F100" s="7" t="s">
        <v>96</v>
      </c>
      <c r="G100" s="2" t="s">
        <v>27</v>
      </c>
      <c r="H100" s="14"/>
      <c r="I100" s="14"/>
      <c r="J100" s="14"/>
      <c r="L100" s="1" t="s">
        <v>1060</v>
      </c>
      <c r="M100" s="2" t="s">
        <v>97</v>
      </c>
      <c r="P100" s="2" t="s">
        <v>98</v>
      </c>
      <c r="Q100" s="1" t="e">
        <f t="shared" si="4"/>
        <v>#REF!</v>
      </c>
    </row>
    <row r="101" spans="1:17" ht="12" customHeight="1" outlineLevel="4" x14ac:dyDescent="0.35">
      <c r="A101" s="2" t="str">
        <f t="shared" si="5"/>
        <v>CC413B</v>
      </c>
      <c r="B101" s="1">
        <v>4</v>
      </c>
      <c r="C101" s="1" t="s">
        <v>19</v>
      </c>
      <c r="D101" s="2" t="s">
        <v>25</v>
      </c>
      <c r="E101" s="11" t="s">
        <v>99</v>
      </c>
      <c r="F101" s="7" t="s">
        <v>50</v>
      </c>
      <c r="G101" s="2" t="s">
        <v>27</v>
      </c>
      <c r="H101" s="14"/>
      <c r="I101" s="14"/>
      <c r="J101" s="7" t="s">
        <v>403</v>
      </c>
      <c r="L101" s="1" t="s">
        <v>1061</v>
      </c>
      <c r="M101" s="2" t="s">
        <v>100</v>
      </c>
      <c r="P101" s="2" t="s">
        <v>52</v>
      </c>
      <c r="Q101" s="1" t="e">
        <f t="shared" si="4"/>
        <v>#REF!</v>
      </c>
    </row>
    <row r="102" spans="1:17" ht="12" customHeight="1" outlineLevel="2" x14ac:dyDescent="0.35">
      <c r="A102" s="3" t="str">
        <f t="shared" si="5"/>
        <v>CC413B</v>
      </c>
      <c r="B102" s="4">
        <v>2</v>
      </c>
      <c r="C102" s="3" t="s">
        <v>24</v>
      </c>
      <c r="D102" s="3" t="s">
        <v>30</v>
      </c>
      <c r="E102" s="8" t="s">
        <v>205</v>
      </c>
      <c r="F102" s="4"/>
      <c r="G102" s="3" t="s">
        <v>396</v>
      </c>
      <c r="H102" s="16" t="s">
        <v>439</v>
      </c>
      <c r="I102" s="16" t="s">
        <v>438</v>
      </c>
      <c r="J102" s="15"/>
      <c r="K102" s="4"/>
      <c r="L102" s="4" t="s">
        <v>1062</v>
      </c>
      <c r="M102" s="3" t="s">
        <v>205</v>
      </c>
      <c r="N102" s="4"/>
      <c r="O102" s="4"/>
      <c r="P102" s="3" t="s">
        <v>206</v>
      </c>
      <c r="Q102" s="1" t="e">
        <f t="shared" si="4"/>
        <v>#REF!</v>
      </c>
    </row>
    <row r="103" spans="1:17" ht="12" customHeight="1" outlineLevel="3" x14ac:dyDescent="0.35">
      <c r="A103" s="2" t="str">
        <f t="shared" si="5"/>
        <v>CC413B</v>
      </c>
      <c r="B103" s="1">
        <v>3</v>
      </c>
      <c r="C103" s="1" t="s">
        <v>19</v>
      </c>
      <c r="D103" s="2" t="s">
        <v>30</v>
      </c>
      <c r="E103" s="9" t="s">
        <v>81</v>
      </c>
      <c r="F103" s="7" t="s">
        <v>68</v>
      </c>
      <c r="G103" s="2" t="s">
        <v>22</v>
      </c>
      <c r="H103" s="7" t="s">
        <v>434</v>
      </c>
      <c r="I103" s="14"/>
      <c r="J103" s="14"/>
      <c r="L103" s="1" t="s">
        <v>1063</v>
      </c>
      <c r="M103" s="2" t="s">
        <v>82</v>
      </c>
      <c r="P103" s="2" t="s">
        <v>70</v>
      </c>
      <c r="Q103" s="1" t="e">
        <f t="shared" si="4"/>
        <v>#REF!</v>
      </c>
    </row>
    <row r="104" spans="1:17" ht="12" customHeight="1" outlineLevel="3" x14ac:dyDescent="0.35">
      <c r="A104" s="2" t="str">
        <f t="shared" si="5"/>
        <v>CC413B</v>
      </c>
      <c r="B104" s="1">
        <v>3</v>
      </c>
      <c r="C104" s="1" t="s">
        <v>19</v>
      </c>
      <c r="D104" s="2" t="s">
        <v>30</v>
      </c>
      <c r="E104" s="9" t="s">
        <v>4</v>
      </c>
      <c r="F104" s="7" t="s">
        <v>83</v>
      </c>
      <c r="G104" s="2" t="s">
        <v>396</v>
      </c>
      <c r="H104" s="14"/>
      <c r="I104" s="7" t="s">
        <v>401</v>
      </c>
      <c r="J104" s="14"/>
      <c r="L104" s="1" t="s">
        <v>1064</v>
      </c>
      <c r="M104" s="2" t="s">
        <v>84</v>
      </c>
      <c r="P104" s="2" t="s">
        <v>85</v>
      </c>
      <c r="Q104" s="1" t="e">
        <f t="shared" si="4"/>
        <v>#REF!</v>
      </c>
    </row>
    <row r="105" spans="1:17" ht="12" customHeight="1" outlineLevel="3" x14ac:dyDescent="0.35">
      <c r="A105" s="3" t="str">
        <f t="shared" si="5"/>
        <v>CC413B</v>
      </c>
      <c r="B105" s="4">
        <v>3</v>
      </c>
      <c r="C105" s="3" t="s">
        <v>24</v>
      </c>
      <c r="D105" s="3" t="s">
        <v>30</v>
      </c>
      <c r="E105" s="10" t="s">
        <v>86</v>
      </c>
      <c r="F105" s="4"/>
      <c r="G105" s="3" t="s">
        <v>396</v>
      </c>
      <c r="H105" s="15"/>
      <c r="I105" s="16" t="s">
        <v>401</v>
      </c>
      <c r="J105" s="15"/>
      <c r="K105" s="4"/>
      <c r="L105" s="4" t="s">
        <v>1065</v>
      </c>
      <c r="M105" s="3" t="s">
        <v>86</v>
      </c>
      <c r="N105" s="4"/>
      <c r="O105" s="4"/>
      <c r="P105" s="3" t="s">
        <v>87</v>
      </c>
      <c r="Q105" s="1" t="e">
        <f t="shared" si="4"/>
        <v>#REF!</v>
      </c>
    </row>
    <row r="106" spans="1:17" ht="12" customHeight="1" outlineLevel="4" x14ac:dyDescent="0.35">
      <c r="A106" s="2" t="str">
        <f t="shared" si="5"/>
        <v>CC413B</v>
      </c>
      <c r="B106" s="1">
        <v>4</v>
      </c>
      <c r="C106" s="1" t="s">
        <v>19</v>
      </c>
      <c r="D106" s="2" t="s">
        <v>25</v>
      </c>
      <c r="E106" s="11" t="s">
        <v>88</v>
      </c>
      <c r="F106" s="7" t="s">
        <v>83</v>
      </c>
      <c r="G106" s="2" t="s">
        <v>27</v>
      </c>
      <c r="H106" s="14"/>
      <c r="I106" s="14"/>
      <c r="J106" s="14"/>
      <c r="L106" s="1" t="s">
        <v>1066</v>
      </c>
      <c r="M106" s="2" t="s">
        <v>89</v>
      </c>
      <c r="P106" s="2" t="s">
        <v>90</v>
      </c>
      <c r="Q106" s="1" t="e">
        <f t="shared" si="4"/>
        <v>#REF!</v>
      </c>
    </row>
    <row r="107" spans="1:17" ht="12" customHeight="1" outlineLevel="4" x14ac:dyDescent="0.35">
      <c r="A107" s="2" t="str">
        <f t="shared" si="5"/>
        <v>CC413B</v>
      </c>
      <c r="B107" s="1">
        <v>4</v>
      </c>
      <c r="C107" s="1" t="s">
        <v>19</v>
      </c>
      <c r="D107" s="2" t="s">
        <v>30</v>
      </c>
      <c r="E107" s="11" t="s">
        <v>91</v>
      </c>
      <c r="F107" s="7" t="s">
        <v>92</v>
      </c>
      <c r="G107" s="2" t="s">
        <v>396</v>
      </c>
      <c r="H107" s="14"/>
      <c r="I107" s="7" t="s">
        <v>402</v>
      </c>
      <c r="J107" s="14"/>
      <c r="L107" s="1" t="s">
        <v>1067</v>
      </c>
      <c r="M107" s="2" t="s">
        <v>93</v>
      </c>
      <c r="P107" s="2" t="s">
        <v>94</v>
      </c>
      <c r="Q107" s="1" t="e">
        <f t="shared" si="4"/>
        <v>#REF!</v>
      </c>
    </row>
    <row r="108" spans="1:17" ht="12" customHeight="1" outlineLevel="4" x14ac:dyDescent="0.35">
      <c r="A108" s="2" t="str">
        <f t="shared" si="5"/>
        <v>CC413B</v>
      </c>
      <c r="B108" s="1">
        <v>4</v>
      </c>
      <c r="C108" s="1" t="s">
        <v>19</v>
      </c>
      <c r="D108" s="2" t="s">
        <v>25</v>
      </c>
      <c r="E108" s="11" t="s">
        <v>95</v>
      </c>
      <c r="F108" s="7" t="s">
        <v>96</v>
      </c>
      <c r="G108" s="2" t="s">
        <v>27</v>
      </c>
      <c r="H108" s="14"/>
      <c r="I108" s="14"/>
      <c r="J108" s="14"/>
      <c r="L108" s="1" t="s">
        <v>1068</v>
      </c>
      <c r="M108" s="2" t="s">
        <v>97</v>
      </c>
      <c r="P108" s="2" t="s">
        <v>98</v>
      </c>
      <c r="Q108" s="1" t="e">
        <f t="shared" si="4"/>
        <v>#REF!</v>
      </c>
    </row>
    <row r="109" spans="1:17" ht="12" customHeight="1" outlineLevel="4" x14ac:dyDescent="0.35">
      <c r="A109" s="2" t="str">
        <f t="shared" si="5"/>
        <v>CC413B</v>
      </c>
      <c r="B109" s="1">
        <v>4</v>
      </c>
      <c r="C109" s="1" t="s">
        <v>19</v>
      </c>
      <c r="D109" s="2" t="s">
        <v>25</v>
      </c>
      <c r="E109" s="11" t="s">
        <v>99</v>
      </c>
      <c r="F109" s="7" t="s">
        <v>50</v>
      </c>
      <c r="G109" s="2" t="s">
        <v>27</v>
      </c>
      <c r="H109" s="14"/>
      <c r="I109" s="14"/>
      <c r="J109" s="7" t="s">
        <v>403</v>
      </c>
      <c r="L109" s="1" t="s">
        <v>1069</v>
      </c>
      <c r="M109" s="2" t="s">
        <v>100</v>
      </c>
      <c r="P109" s="2" t="s">
        <v>52</v>
      </c>
      <c r="Q109" s="1" t="e">
        <f t="shared" si="4"/>
        <v>#REF!</v>
      </c>
    </row>
    <row r="110" spans="1:17" ht="12" customHeight="1" outlineLevel="2" x14ac:dyDescent="0.35">
      <c r="A110" s="3" t="str">
        <f t="shared" ref="A110:A140" si="6">$E$2</f>
        <v>CC413B</v>
      </c>
      <c r="B110" s="4">
        <v>2</v>
      </c>
      <c r="C110" s="3" t="s">
        <v>24</v>
      </c>
      <c r="D110" s="3" t="s">
        <v>30</v>
      </c>
      <c r="E110" s="8" t="s">
        <v>449</v>
      </c>
      <c r="F110" s="4"/>
      <c r="G110" s="3" t="s">
        <v>396</v>
      </c>
      <c r="H110" s="16" t="s">
        <v>450</v>
      </c>
      <c r="I110" s="16" t="s">
        <v>451</v>
      </c>
      <c r="J110" s="15"/>
      <c r="K110" s="4"/>
      <c r="L110" s="4" t="s">
        <v>1070</v>
      </c>
      <c r="M110" s="3" t="s">
        <v>452</v>
      </c>
      <c r="N110" s="4"/>
      <c r="O110" s="4"/>
      <c r="P110" s="3" t="s">
        <v>453</v>
      </c>
      <c r="Q110" s="1" t="e">
        <f>IF($B110=0,$M110,_xlfn.TEXTBEFORE(#REF!,"/",$B110,,,#REF!)&amp;"/"&amp;$M110)&amp;IF(_xlfn.TEXTAFTER($D110,"..",,,,1)&lt;&gt;"1","[0]","")</f>
        <v>#REF!</v>
      </c>
    </row>
    <row r="111" spans="1:17" ht="12" customHeight="1" outlineLevel="3" x14ac:dyDescent="0.35">
      <c r="A111" s="2" t="str">
        <f t="shared" si="6"/>
        <v>CC413B</v>
      </c>
      <c r="B111" s="1">
        <v>3</v>
      </c>
      <c r="C111" s="1" t="s">
        <v>19</v>
      </c>
      <c r="D111" s="2" t="s">
        <v>25</v>
      </c>
      <c r="E111" s="9" t="s">
        <v>454</v>
      </c>
      <c r="F111" s="7" t="s">
        <v>148</v>
      </c>
      <c r="G111" s="2" t="s">
        <v>27</v>
      </c>
      <c r="H111" s="14"/>
      <c r="I111" s="14"/>
      <c r="J111" s="7" t="s">
        <v>455</v>
      </c>
      <c r="L111" s="1" t="s">
        <v>1071</v>
      </c>
      <c r="M111" s="2" t="s">
        <v>456</v>
      </c>
      <c r="P111" s="2" t="s">
        <v>457</v>
      </c>
      <c r="Q111" s="1" t="e">
        <f t="shared" si="4"/>
        <v>#REF!</v>
      </c>
    </row>
    <row r="112" spans="1:17" ht="12" customHeight="1" outlineLevel="3" x14ac:dyDescent="0.35">
      <c r="A112" s="2" t="str">
        <f t="shared" si="6"/>
        <v>CC413B</v>
      </c>
      <c r="B112" s="1">
        <v>3</v>
      </c>
      <c r="C112" s="1" t="s">
        <v>19</v>
      </c>
      <c r="D112" s="2" t="s">
        <v>30</v>
      </c>
      <c r="E112" s="9" t="s">
        <v>270</v>
      </c>
      <c r="F112" s="7" t="s">
        <v>103</v>
      </c>
      <c r="G112" s="2" t="s">
        <v>396</v>
      </c>
      <c r="H112" s="14"/>
      <c r="I112" s="7" t="s">
        <v>458</v>
      </c>
      <c r="J112" s="7" t="s">
        <v>459</v>
      </c>
      <c r="L112" s="1" t="s">
        <v>1072</v>
      </c>
      <c r="M112" s="2" t="s">
        <v>271</v>
      </c>
      <c r="P112" s="2" t="s">
        <v>272</v>
      </c>
      <c r="Q112" s="1" t="e">
        <f t="shared" si="4"/>
        <v>#REF!</v>
      </c>
    </row>
    <row r="113" spans="1:17" ht="12" customHeight="1" outlineLevel="3" x14ac:dyDescent="0.35">
      <c r="A113" s="2" t="str">
        <f t="shared" si="6"/>
        <v>CC413B</v>
      </c>
      <c r="B113" s="1">
        <v>3</v>
      </c>
      <c r="C113" s="1" t="s">
        <v>19</v>
      </c>
      <c r="D113" s="2" t="s">
        <v>30</v>
      </c>
      <c r="E113" s="9" t="s">
        <v>460</v>
      </c>
      <c r="F113" s="7" t="s">
        <v>96</v>
      </c>
      <c r="G113" s="2" t="s">
        <v>396</v>
      </c>
      <c r="H113" s="14"/>
      <c r="I113" s="7" t="s">
        <v>458</v>
      </c>
      <c r="J113" s="14"/>
      <c r="L113" s="1" t="s">
        <v>1073</v>
      </c>
      <c r="M113" s="2" t="s">
        <v>461</v>
      </c>
      <c r="P113" s="2" t="s">
        <v>462</v>
      </c>
      <c r="Q113" s="1" t="e">
        <f t="shared" si="4"/>
        <v>#REF!</v>
      </c>
    </row>
    <row r="114" spans="1:17" ht="12" customHeight="1" outlineLevel="3" x14ac:dyDescent="0.35">
      <c r="A114" s="2" t="str">
        <f t="shared" si="6"/>
        <v>CC413B</v>
      </c>
      <c r="B114" s="1">
        <v>3</v>
      </c>
      <c r="C114" s="1" t="s">
        <v>19</v>
      </c>
      <c r="D114" s="2" t="s">
        <v>30</v>
      </c>
      <c r="E114" s="9" t="s">
        <v>99</v>
      </c>
      <c r="F114" s="7" t="s">
        <v>50</v>
      </c>
      <c r="G114" s="2" t="s">
        <v>396</v>
      </c>
      <c r="H114" s="14"/>
      <c r="I114" s="7" t="s">
        <v>458</v>
      </c>
      <c r="J114" s="7" t="s">
        <v>403</v>
      </c>
      <c r="L114" s="1" t="s">
        <v>1074</v>
      </c>
      <c r="M114" s="2" t="s">
        <v>100</v>
      </c>
      <c r="P114" s="2" t="s">
        <v>52</v>
      </c>
      <c r="Q114" s="1" t="e">
        <f t="shared" si="4"/>
        <v>#REF!</v>
      </c>
    </row>
    <row r="115" spans="1:17" ht="12" customHeight="1" outlineLevel="3" x14ac:dyDescent="0.35">
      <c r="A115" s="2" t="str">
        <f t="shared" si="6"/>
        <v>CC413B</v>
      </c>
      <c r="B115" s="1">
        <v>3</v>
      </c>
      <c r="C115" s="1" t="s">
        <v>19</v>
      </c>
      <c r="D115" s="2" t="s">
        <v>30</v>
      </c>
      <c r="E115" s="9" t="s">
        <v>226</v>
      </c>
      <c r="F115" s="7" t="s">
        <v>216</v>
      </c>
      <c r="G115" s="2" t="s">
        <v>396</v>
      </c>
      <c r="H115" s="14"/>
      <c r="I115" s="7" t="s">
        <v>458</v>
      </c>
      <c r="J115" s="14"/>
      <c r="L115" s="1" t="s">
        <v>1204</v>
      </c>
      <c r="M115" s="2" t="s">
        <v>227</v>
      </c>
      <c r="P115" s="2" t="s">
        <v>218</v>
      </c>
      <c r="Q115" s="1" t="e">
        <f t="shared" si="4"/>
        <v>#REF!</v>
      </c>
    </row>
    <row r="116" spans="1:17" ht="12" customHeight="1" outlineLevel="2" x14ac:dyDescent="0.35">
      <c r="A116" s="3" t="str">
        <f t="shared" si="6"/>
        <v>CC413B</v>
      </c>
      <c r="B116" s="4">
        <v>2</v>
      </c>
      <c r="C116" s="3" t="s">
        <v>24</v>
      </c>
      <c r="D116" s="3" t="s">
        <v>30</v>
      </c>
      <c r="E116" s="8" t="s">
        <v>464</v>
      </c>
      <c r="F116" s="4"/>
      <c r="G116" s="3" t="s">
        <v>396</v>
      </c>
      <c r="H116" s="16" t="s">
        <v>739</v>
      </c>
      <c r="I116" s="16" t="s">
        <v>615</v>
      </c>
      <c r="J116" s="15"/>
      <c r="K116" s="4"/>
      <c r="L116" s="4" t="s">
        <v>1075</v>
      </c>
      <c r="M116" s="3" t="s">
        <v>465</v>
      </c>
      <c r="N116" s="4"/>
      <c r="O116" s="4"/>
      <c r="P116" s="3" t="s">
        <v>466</v>
      </c>
      <c r="Q116" s="1" t="e">
        <f>IF($B116=0,$M116,_xlfn.TEXTBEFORE(#REF!,"/",$B116,,,#REF!)&amp;"/"&amp;$M116)&amp;IF(_xlfn.TEXTAFTER($D116,"..",,,,1)&lt;&gt;"1","[0]","")</f>
        <v>#REF!</v>
      </c>
    </row>
    <row r="117" spans="1:17" ht="12" customHeight="1" outlineLevel="3" x14ac:dyDescent="0.35">
      <c r="A117" s="2" t="str">
        <f t="shared" si="6"/>
        <v>CC413B</v>
      </c>
      <c r="B117" s="1">
        <v>3</v>
      </c>
      <c r="C117" s="1" t="s">
        <v>19</v>
      </c>
      <c r="D117" s="2" t="s">
        <v>25</v>
      </c>
      <c r="E117" s="9" t="s">
        <v>464</v>
      </c>
      <c r="F117" s="7" t="s">
        <v>50</v>
      </c>
      <c r="G117" s="2" t="s">
        <v>27</v>
      </c>
      <c r="H117" s="7" t="s">
        <v>467</v>
      </c>
      <c r="I117" s="14"/>
      <c r="J117" s="7" t="s">
        <v>468</v>
      </c>
      <c r="L117" s="1" t="s">
        <v>1076</v>
      </c>
      <c r="M117" s="2" t="s">
        <v>469</v>
      </c>
      <c r="P117" s="2" t="s">
        <v>52</v>
      </c>
      <c r="Q117" s="1" t="e">
        <f t="shared" si="4"/>
        <v>#REF!</v>
      </c>
    </row>
    <row r="118" spans="1:17" ht="12" customHeight="1" outlineLevel="2" x14ac:dyDescent="0.35">
      <c r="A118" s="3" t="str">
        <f t="shared" si="6"/>
        <v>CC413B</v>
      </c>
      <c r="B118" s="4">
        <v>2</v>
      </c>
      <c r="C118" s="3" t="s">
        <v>24</v>
      </c>
      <c r="D118" s="3" t="s">
        <v>30</v>
      </c>
      <c r="E118" s="8" t="s">
        <v>470</v>
      </c>
      <c r="F118" s="4"/>
      <c r="G118" s="3" t="s">
        <v>396</v>
      </c>
      <c r="H118" s="16" t="s">
        <v>740</v>
      </c>
      <c r="I118" s="16" t="s">
        <v>743</v>
      </c>
      <c r="J118" s="15"/>
      <c r="K118" s="4"/>
      <c r="L118" s="4" t="s">
        <v>1077</v>
      </c>
      <c r="M118" s="3" t="s">
        <v>470</v>
      </c>
      <c r="N118" s="4"/>
      <c r="O118" s="4"/>
      <c r="P118" s="3" t="s">
        <v>471</v>
      </c>
      <c r="Q118" s="1" t="e">
        <f t="shared" ref="Q118:Q171" si="7">IF($B118=0,$M118,_xlfn.TEXTBEFORE(Q117,"/",$B118,,,Q117)&amp;"/"&amp;$M118)&amp;IF(_xlfn.TEXTAFTER($D118,"..",,,,1)&lt;&gt;"1","[0]","")</f>
        <v>#REF!</v>
      </c>
    </row>
    <row r="119" spans="1:17" ht="12" customHeight="1" outlineLevel="3" x14ac:dyDescent="0.35">
      <c r="A119" s="2" t="str">
        <f t="shared" si="6"/>
        <v>CC413B</v>
      </c>
      <c r="B119" s="1">
        <v>3</v>
      </c>
      <c r="C119" s="1" t="s">
        <v>19</v>
      </c>
      <c r="D119" s="2" t="s">
        <v>30</v>
      </c>
      <c r="E119" s="9" t="s">
        <v>472</v>
      </c>
      <c r="F119" s="7" t="s">
        <v>50</v>
      </c>
      <c r="G119" s="2" t="s">
        <v>396</v>
      </c>
      <c r="H119" s="7" t="s">
        <v>473</v>
      </c>
      <c r="I119" s="7" t="s">
        <v>474</v>
      </c>
      <c r="J119" s="7" t="s">
        <v>416</v>
      </c>
      <c r="L119" s="1" t="s">
        <v>1078</v>
      </c>
      <c r="M119" s="2" t="s">
        <v>475</v>
      </c>
      <c r="P119" s="2" t="s">
        <v>52</v>
      </c>
      <c r="Q119" s="1" t="e">
        <f t="shared" si="7"/>
        <v>#REF!</v>
      </c>
    </row>
    <row r="120" spans="1:17" ht="12" customHeight="1" outlineLevel="3" x14ac:dyDescent="0.35">
      <c r="A120" s="2" t="str">
        <f t="shared" si="6"/>
        <v>CC413B</v>
      </c>
      <c r="B120" s="1">
        <v>3</v>
      </c>
      <c r="C120" s="1" t="s">
        <v>19</v>
      </c>
      <c r="D120" s="2" t="s">
        <v>30</v>
      </c>
      <c r="E120" s="9" t="s">
        <v>476</v>
      </c>
      <c r="F120" s="7" t="s">
        <v>96</v>
      </c>
      <c r="G120" s="2" t="s">
        <v>396</v>
      </c>
      <c r="H120" s="7" t="s">
        <v>742</v>
      </c>
      <c r="I120" s="7" t="s">
        <v>741</v>
      </c>
      <c r="J120" s="14"/>
      <c r="L120" s="1" t="s">
        <v>1079</v>
      </c>
      <c r="M120" s="2" t="s">
        <v>478</v>
      </c>
      <c r="P120" s="2" t="s">
        <v>479</v>
      </c>
      <c r="Q120" s="1" t="e">
        <f t="shared" si="7"/>
        <v>#REF!</v>
      </c>
    </row>
    <row r="121" spans="1:17" ht="12" customHeight="1" outlineLevel="3" x14ac:dyDescent="0.35">
      <c r="A121" s="2" t="str">
        <f t="shared" si="6"/>
        <v>CC413B</v>
      </c>
      <c r="B121" s="1">
        <v>3</v>
      </c>
      <c r="C121" s="1" t="s">
        <v>19</v>
      </c>
      <c r="D121" s="2" t="s">
        <v>30</v>
      </c>
      <c r="E121" s="9" t="s">
        <v>142</v>
      </c>
      <c r="F121" s="7" t="s">
        <v>50</v>
      </c>
      <c r="G121" s="2" t="s">
        <v>396</v>
      </c>
      <c r="H121" s="7" t="s">
        <v>744</v>
      </c>
      <c r="I121" s="7" t="s">
        <v>480</v>
      </c>
      <c r="J121" s="7" t="s">
        <v>416</v>
      </c>
      <c r="M121" s="2" t="s">
        <v>143</v>
      </c>
      <c r="P121" s="2" t="s">
        <v>52</v>
      </c>
      <c r="Q121" s="1" t="e">
        <f t="shared" si="7"/>
        <v>#REF!</v>
      </c>
    </row>
    <row r="122" spans="1:17" ht="12" customHeight="1" outlineLevel="2" x14ac:dyDescent="0.35">
      <c r="A122" s="3" t="str">
        <f t="shared" si="6"/>
        <v>CC413B</v>
      </c>
      <c r="B122" s="4">
        <v>2</v>
      </c>
      <c r="C122" s="3" t="s">
        <v>24</v>
      </c>
      <c r="D122" s="3" t="s">
        <v>30</v>
      </c>
      <c r="E122" s="8" t="s">
        <v>481</v>
      </c>
      <c r="F122" s="4"/>
      <c r="G122" s="3" t="s">
        <v>396</v>
      </c>
      <c r="H122" s="16" t="s">
        <v>746</v>
      </c>
      <c r="I122" s="16" t="s">
        <v>745</v>
      </c>
      <c r="J122" s="15"/>
      <c r="K122" s="4"/>
      <c r="L122" s="4" t="s">
        <v>1080</v>
      </c>
      <c r="M122" s="3" t="s">
        <v>481</v>
      </c>
      <c r="N122" s="4"/>
      <c r="O122" s="4"/>
      <c r="P122" s="3" t="s">
        <v>482</v>
      </c>
      <c r="Q122" s="1" t="e">
        <f t="shared" si="7"/>
        <v>#REF!</v>
      </c>
    </row>
    <row r="123" spans="1:17" ht="12" customHeight="1" outlineLevel="3" x14ac:dyDescent="0.35">
      <c r="A123" s="2" t="str">
        <f t="shared" si="6"/>
        <v>CC413B</v>
      </c>
      <c r="B123" s="1">
        <v>3</v>
      </c>
      <c r="C123" s="1" t="s">
        <v>19</v>
      </c>
      <c r="D123" s="2" t="s">
        <v>25</v>
      </c>
      <c r="E123" s="9" t="s">
        <v>2</v>
      </c>
      <c r="F123" s="7" t="s">
        <v>44</v>
      </c>
      <c r="G123" s="2" t="s">
        <v>27</v>
      </c>
      <c r="H123" s="14"/>
      <c r="I123" s="14"/>
      <c r="J123" s="7" t="s">
        <v>483</v>
      </c>
      <c r="L123" s="1" t="s">
        <v>1081</v>
      </c>
      <c r="M123" s="2" t="s">
        <v>61</v>
      </c>
      <c r="P123" s="2" t="s">
        <v>484</v>
      </c>
      <c r="Q123" s="1" t="e">
        <f t="shared" si="7"/>
        <v>#REF!</v>
      </c>
    </row>
    <row r="124" spans="1:17" ht="12" customHeight="1" outlineLevel="3" x14ac:dyDescent="0.35">
      <c r="A124" s="2" t="str">
        <f t="shared" si="6"/>
        <v>CC413B</v>
      </c>
      <c r="B124" s="1">
        <v>3</v>
      </c>
      <c r="C124" s="1" t="s">
        <v>19</v>
      </c>
      <c r="D124" s="2" t="s">
        <v>25</v>
      </c>
      <c r="E124" s="9" t="s">
        <v>485</v>
      </c>
      <c r="F124" s="7" t="s">
        <v>64</v>
      </c>
      <c r="G124" s="2" t="s">
        <v>27</v>
      </c>
      <c r="H124" s="7" t="s">
        <v>486</v>
      </c>
      <c r="I124" s="14"/>
      <c r="J124" s="14"/>
      <c r="L124" s="1" t="s">
        <v>1082</v>
      </c>
      <c r="M124" s="2" t="s">
        <v>487</v>
      </c>
      <c r="P124" s="2" t="s">
        <v>488</v>
      </c>
      <c r="Q124" s="1" t="e">
        <f t="shared" si="7"/>
        <v>#REF!</v>
      </c>
    </row>
    <row r="125" spans="1:17" ht="12" customHeight="1" outlineLevel="2" x14ac:dyDescent="0.35">
      <c r="A125" s="3" t="str">
        <f t="shared" si="6"/>
        <v>CC413B</v>
      </c>
      <c r="B125" s="4">
        <v>2</v>
      </c>
      <c r="C125" s="3" t="s">
        <v>24</v>
      </c>
      <c r="D125" s="3" t="s">
        <v>193</v>
      </c>
      <c r="E125" s="8" t="s">
        <v>303</v>
      </c>
      <c r="F125" s="4"/>
      <c r="G125" s="3" t="s">
        <v>22</v>
      </c>
      <c r="H125" s="16" t="s">
        <v>489</v>
      </c>
      <c r="I125" s="15"/>
      <c r="J125" s="15"/>
      <c r="K125" s="4"/>
      <c r="L125" s="4" t="s">
        <v>1083</v>
      </c>
      <c r="M125" s="3" t="s">
        <v>304</v>
      </c>
      <c r="N125" s="4"/>
      <c r="O125" s="4"/>
      <c r="P125" s="3" t="s">
        <v>490</v>
      </c>
      <c r="Q125" s="1" t="e">
        <f t="shared" si="7"/>
        <v>#REF!</v>
      </c>
    </row>
    <row r="126" spans="1:17" ht="12" customHeight="1" outlineLevel="3" x14ac:dyDescent="0.35">
      <c r="A126" s="2" t="str">
        <f t="shared" si="6"/>
        <v>CC413B</v>
      </c>
      <c r="B126" s="1">
        <v>3</v>
      </c>
      <c r="C126" s="1" t="s">
        <v>19</v>
      </c>
      <c r="D126" s="2" t="s">
        <v>25</v>
      </c>
      <c r="E126" s="9" t="s">
        <v>56</v>
      </c>
      <c r="F126" s="7" t="s">
        <v>57</v>
      </c>
      <c r="G126" s="2" t="s">
        <v>27</v>
      </c>
      <c r="H126" s="7" t="s">
        <v>393</v>
      </c>
      <c r="I126" s="14"/>
      <c r="J126" s="14"/>
      <c r="M126" s="2" t="s">
        <v>58</v>
      </c>
      <c r="P126" s="2" t="s">
        <v>59</v>
      </c>
      <c r="Q126" s="1" t="e">
        <f t="shared" si="7"/>
        <v>#REF!</v>
      </c>
    </row>
    <row r="127" spans="1:17" ht="12" customHeight="1" outlineLevel="3" x14ac:dyDescent="0.35">
      <c r="A127" s="2" t="str">
        <f t="shared" si="6"/>
        <v>CC413B</v>
      </c>
      <c r="B127" s="1">
        <v>3</v>
      </c>
      <c r="C127" s="1" t="s">
        <v>19</v>
      </c>
      <c r="D127" s="2" t="s">
        <v>25</v>
      </c>
      <c r="E127" s="9" t="s">
        <v>2</v>
      </c>
      <c r="F127" s="7" t="s">
        <v>306</v>
      </c>
      <c r="G127" s="2" t="s">
        <v>27</v>
      </c>
      <c r="H127" s="7" t="s">
        <v>747</v>
      </c>
      <c r="I127" s="14"/>
      <c r="J127" s="7" t="s">
        <v>491</v>
      </c>
      <c r="L127" s="1" t="s">
        <v>1084</v>
      </c>
      <c r="M127" s="2" t="s">
        <v>61</v>
      </c>
      <c r="P127" s="2" t="s">
        <v>307</v>
      </c>
      <c r="Q127" s="1" t="e">
        <f t="shared" si="7"/>
        <v>#REF!</v>
      </c>
    </row>
    <row r="128" spans="1:17" ht="12" customHeight="1" outlineLevel="3" x14ac:dyDescent="0.35">
      <c r="A128" s="2" t="str">
        <f t="shared" si="6"/>
        <v>CC413B</v>
      </c>
      <c r="B128" s="1">
        <v>3</v>
      </c>
      <c r="C128" s="1" t="s">
        <v>19</v>
      </c>
      <c r="D128" s="2" t="s">
        <v>30</v>
      </c>
      <c r="E128" s="9" t="s">
        <v>142</v>
      </c>
      <c r="F128" s="7" t="s">
        <v>50</v>
      </c>
      <c r="G128" s="2" t="s">
        <v>396</v>
      </c>
      <c r="H128" s="7" t="s">
        <v>748</v>
      </c>
      <c r="I128" s="7" t="s">
        <v>493</v>
      </c>
      <c r="J128" s="7" t="s">
        <v>416</v>
      </c>
      <c r="M128" s="2" t="s">
        <v>143</v>
      </c>
      <c r="P128" s="2" t="s">
        <v>52</v>
      </c>
      <c r="Q128" s="1" t="e">
        <f t="shared" si="7"/>
        <v>#REF!</v>
      </c>
    </row>
    <row r="129" spans="1:17" ht="12" customHeight="1" outlineLevel="3" x14ac:dyDescent="0.35">
      <c r="A129" s="2" t="str">
        <f t="shared" si="6"/>
        <v>CC413B</v>
      </c>
      <c r="B129" s="1">
        <v>3</v>
      </c>
      <c r="C129" s="1" t="s">
        <v>19</v>
      </c>
      <c r="D129" s="2" t="s">
        <v>25</v>
      </c>
      <c r="E129" s="9" t="s">
        <v>63</v>
      </c>
      <c r="F129" s="7" t="s">
        <v>83</v>
      </c>
      <c r="G129" s="2" t="s">
        <v>27</v>
      </c>
      <c r="H129" s="7" t="s">
        <v>494</v>
      </c>
      <c r="I129" s="14"/>
      <c r="J129" s="14"/>
      <c r="L129" s="1" t="s">
        <v>1085</v>
      </c>
      <c r="M129" s="2" t="s">
        <v>65</v>
      </c>
      <c r="P129" s="2" t="s">
        <v>308</v>
      </c>
      <c r="Q129" s="1" t="e">
        <f t="shared" si="7"/>
        <v>#REF!</v>
      </c>
    </row>
    <row r="130" spans="1:17" ht="12" customHeight="1" outlineLevel="2" x14ac:dyDescent="0.35">
      <c r="A130" s="3" t="str">
        <f t="shared" si="6"/>
        <v>CC413B</v>
      </c>
      <c r="B130" s="4">
        <v>2</v>
      </c>
      <c r="C130" s="3" t="s">
        <v>24</v>
      </c>
      <c r="D130" s="3" t="s">
        <v>193</v>
      </c>
      <c r="E130" s="8" t="s">
        <v>495</v>
      </c>
      <c r="F130" s="4"/>
      <c r="G130" s="3" t="s">
        <v>22</v>
      </c>
      <c r="H130" s="16" t="s">
        <v>489</v>
      </c>
      <c r="I130" s="15"/>
      <c r="J130" s="15"/>
      <c r="K130" s="4"/>
      <c r="L130" s="4" t="s">
        <v>1086</v>
      </c>
      <c r="M130" s="3" t="s">
        <v>496</v>
      </c>
      <c r="N130" s="4"/>
      <c r="O130" s="4"/>
      <c r="P130" s="3" t="s">
        <v>497</v>
      </c>
      <c r="Q130" s="1" t="e">
        <f t="shared" si="7"/>
        <v>#REF!</v>
      </c>
    </row>
    <row r="131" spans="1:17" ht="12" customHeight="1" outlineLevel="3" x14ac:dyDescent="0.35">
      <c r="A131" s="2" t="str">
        <f t="shared" si="6"/>
        <v>CC413B</v>
      </c>
      <c r="B131" s="1">
        <v>3</v>
      </c>
      <c r="C131" s="1" t="s">
        <v>19</v>
      </c>
      <c r="D131" s="2" t="s">
        <v>25</v>
      </c>
      <c r="E131" s="9" t="s">
        <v>56</v>
      </c>
      <c r="F131" s="7" t="s">
        <v>57</v>
      </c>
      <c r="G131" s="2" t="s">
        <v>27</v>
      </c>
      <c r="H131" s="7" t="s">
        <v>393</v>
      </c>
      <c r="I131" s="14"/>
      <c r="J131" s="14"/>
      <c r="M131" s="2" t="s">
        <v>58</v>
      </c>
      <c r="P131" s="2" t="s">
        <v>59</v>
      </c>
      <c r="Q131" s="1" t="e">
        <f t="shared" si="7"/>
        <v>#REF!</v>
      </c>
    </row>
    <row r="132" spans="1:17" ht="12" customHeight="1" outlineLevel="3" x14ac:dyDescent="0.35">
      <c r="A132" s="2" t="str">
        <f t="shared" si="6"/>
        <v>CC413B</v>
      </c>
      <c r="B132" s="1">
        <v>3</v>
      </c>
      <c r="C132" s="1" t="s">
        <v>19</v>
      </c>
      <c r="D132" s="2" t="s">
        <v>25</v>
      </c>
      <c r="E132" s="9" t="s">
        <v>2</v>
      </c>
      <c r="F132" s="7" t="s">
        <v>306</v>
      </c>
      <c r="G132" s="2" t="s">
        <v>27</v>
      </c>
      <c r="H132" s="7" t="s">
        <v>477</v>
      </c>
      <c r="I132" s="14"/>
      <c r="J132" s="7" t="s">
        <v>498</v>
      </c>
      <c r="L132" s="1" t="s">
        <v>1087</v>
      </c>
      <c r="M132" s="2" t="s">
        <v>61</v>
      </c>
      <c r="P132" s="2" t="s">
        <v>307</v>
      </c>
      <c r="Q132" s="1" t="e">
        <f t="shared" si="7"/>
        <v>#REF!</v>
      </c>
    </row>
    <row r="133" spans="1:17" ht="12" customHeight="1" outlineLevel="3" x14ac:dyDescent="0.35">
      <c r="A133" s="2" t="str">
        <f t="shared" si="6"/>
        <v>CC413B</v>
      </c>
      <c r="B133" s="1">
        <v>3</v>
      </c>
      <c r="C133" s="1" t="s">
        <v>19</v>
      </c>
      <c r="D133" s="2" t="s">
        <v>30</v>
      </c>
      <c r="E133" s="9" t="s">
        <v>142</v>
      </c>
      <c r="F133" s="7" t="s">
        <v>50</v>
      </c>
      <c r="G133" s="2" t="s">
        <v>396</v>
      </c>
      <c r="H133" s="7" t="s">
        <v>748</v>
      </c>
      <c r="I133" s="7" t="s">
        <v>493</v>
      </c>
      <c r="J133" s="7" t="s">
        <v>416</v>
      </c>
      <c r="M133" s="2" t="s">
        <v>143</v>
      </c>
      <c r="P133" s="2" t="s">
        <v>52</v>
      </c>
      <c r="Q133" s="1" t="e">
        <f t="shared" si="7"/>
        <v>#REF!</v>
      </c>
    </row>
    <row r="134" spans="1:17" ht="12" customHeight="1" outlineLevel="3" x14ac:dyDescent="0.35">
      <c r="A134" s="2" t="str">
        <f t="shared" si="6"/>
        <v>CC413B</v>
      </c>
      <c r="B134" s="1">
        <v>3</v>
      </c>
      <c r="C134" s="1" t="s">
        <v>19</v>
      </c>
      <c r="D134" s="2" t="s">
        <v>30</v>
      </c>
      <c r="E134" s="9" t="s">
        <v>63</v>
      </c>
      <c r="F134" s="7" t="s">
        <v>83</v>
      </c>
      <c r="G134" s="2" t="s">
        <v>22</v>
      </c>
      <c r="H134" s="7" t="s">
        <v>494</v>
      </c>
      <c r="I134" s="14"/>
      <c r="J134" s="14"/>
      <c r="L134" s="1" t="s">
        <v>1088</v>
      </c>
      <c r="M134" s="2" t="s">
        <v>65</v>
      </c>
      <c r="P134" s="2" t="s">
        <v>308</v>
      </c>
      <c r="Q134" s="1" t="e">
        <f t="shared" si="7"/>
        <v>#REF!</v>
      </c>
    </row>
    <row r="135" spans="1:17" ht="12" customHeight="1" outlineLevel="3" x14ac:dyDescent="0.35">
      <c r="A135" s="2" t="str">
        <f t="shared" si="6"/>
        <v>CC413B</v>
      </c>
      <c r="B135" s="1">
        <v>3</v>
      </c>
      <c r="C135" s="1" t="s">
        <v>19</v>
      </c>
      <c r="D135" s="2" t="s">
        <v>30</v>
      </c>
      <c r="E135" s="9" t="s">
        <v>499</v>
      </c>
      <c r="F135" s="7" t="s">
        <v>57</v>
      </c>
      <c r="G135" s="2" t="s">
        <v>22</v>
      </c>
      <c r="H135" s="14"/>
      <c r="I135" s="14"/>
      <c r="J135" s="14"/>
      <c r="L135" s="1" t="s">
        <v>1089</v>
      </c>
      <c r="M135" s="2" t="s">
        <v>500</v>
      </c>
      <c r="P135" s="2" t="s">
        <v>255</v>
      </c>
      <c r="Q135" s="1" t="e">
        <f t="shared" si="7"/>
        <v>#REF!</v>
      </c>
    </row>
    <row r="136" spans="1:17" ht="12" customHeight="1" outlineLevel="3" x14ac:dyDescent="0.35">
      <c r="A136" s="2" t="str">
        <f t="shared" si="6"/>
        <v>CC413B</v>
      </c>
      <c r="B136" s="1">
        <v>3</v>
      </c>
      <c r="C136" s="1" t="s">
        <v>19</v>
      </c>
      <c r="D136" s="2" t="s">
        <v>30</v>
      </c>
      <c r="E136" s="9" t="s">
        <v>501</v>
      </c>
      <c r="F136" s="7" t="s">
        <v>83</v>
      </c>
      <c r="G136" s="2" t="s">
        <v>22</v>
      </c>
      <c r="H136" s="14"/>
      <c r="I136" s="14"/>
      <c r="J136" s="14"/>
      <c r="L136" s="1" t="s">
        <v>1090</v>
      </c>
      <c r="M136" s="2" t="s">
        <v>502</v>
      </c>
      <c r="P136" s="2" t="s">
        <v>503</v>
      </c>
      <c r="Q136" s="1" t="e">
        <f t="shared" si="7"/>
        <v>#REF!</v>
      </c>
    </row>
    <row r="137" spans="1:17" ht="12" customHeight="1" outlineLevel="3" x14ac:dyDescent="0.35">
      <c r="A137" s="2" t="str">
        <f t="shared" si="6"/>
        <v>CC413B</v>
      </c>
      <c r="B137" s="1">
        <v>3</v>
      </c>
      <c r="C137" s="1" t="s">
        <v>19</v>
      </c>
      <c r="D137" s="2" t="s">
        <v>30</v>
      </c>
      <c r="E137" s="9" t="s">
        <v>504</v>
      </c>
      <c r="F137" s="7" t="s">
        <v>505</v>
      </c>
      <c r="G137" s="2" t="s">
        <v>22</v>
      </c>
      <c r="H137" s="14"/>
      <c r="I137" s="14"/>
      <c r="J137" s="14"/>
      <c r="L137" s="1" t="s">
        <v>1091</v>
      </c>
      <c r="M137" s="2" t="s">
        <v>506</v>
      </c>
      <c r="P137" s="2" t="s">
        <v>507</v>
      </c>
      <c r="Q137" s="1" t="e">
        <f t="shared" si="7"/>
        <v>#REF!</v>
      </c>
    </row>
    <row r="138" spans="1:17" ht="12" customHeight="1" outlineLevel="2" x14ac:dyDescent="0.35">
      <c r="A138" s="3" t="str">
        <f t="shared" si="6"/>
        <v>CC413B</v>
      </c>
      <c r="B138" s="4">
        <v>2</v>
      </c>
      <c r="C138" s="3" t="s">
        <v>24</v>
      </c>
      <c r="D138" s="3" t="s">
        <v>193</v>
      </c>
      <c r="E138" s="8" t="s">
        <v>508</v>
      </c>
      <c r="F138" s="4"/>
      <c r="G138" s="3" t="s">
        <v>22</v>
      </c>
      <c r="H138" s="16" t="s">
        <v>749</v>
      </c>
      <c r="I138" s="15"/>
      <c r="J138" s="15"/>
      <c r="K138" s="4"/>
      <c r="L138" s="4" t="s">
        <v>1092</v>
      </c>
      <c r="M138" s="3" t="s">
        <v>509</v>
      </c>
      <c r="N138" s="4"/>
      <c r="O138" s="4"/>
      <c r="P138" s="3" t="s">
        <v>510</v>
      </c>
      <c r="Q138" s="1" t="e">
        <f t="shared" si="7"/>
        <v>#REF!</v>
      </c>
    </row>
    <row r="139" spans="1:17" ht="12" customHeight="1" outlineLevel="3" x14ac:dyDescent="0.35">
      <c r="A139" s="2" t="str">
        <f t="shared" si="6"/>
        <v>CC413B</v>
      </c>
      <c r="B139" s="1">
        <v>3</v>
      </c>
      <c r="C139" s="1" t="s">
        <v>19</v>
      </c>
      <c r="D139" s="2" t="s">
        <v>25</v>
      </c>
      <c r="E139" s="9" t="s">
        <v>56</v>
      </c>
      <c r="F139" s="7" t="s">
        <v>57</v>
      </c>
      <c r="G139" s="2" t="s">
        <v>27</v>
      </c>
      <c r="H139" s="7" t="s">
        <v>393</v>
      </c>
      <c r="I139" s="14"/>
      <c r="J139" s="14"/>
      <c r="M139" s="2" t="s">
        <v>58</v>
      </c>
      <c r="P139" s="2" t="s">
        <v>59</v>
      </c>
      <c r="Q139" s="1" t="e">
        <f t="shared" si="7"/>
        <v>#REF!</v>
      </c>
    </row>
    <row r="140" spans="1:17" ht="12" customHeight="1" outlineLevel="3" x14ac:dyDescent="0.35">
      <c r="A140" s="2" t="str">
        <f t="shared" si="6"/>
        <v>CC413B</v>
      </c>
      <c r="B140" s="1">
        <v>3</v>
      </c>
      <c r="C140" s="1" t="s">
        <v>19</v>
      </c>
      <c r="D140" s="2" t="s">
        <v>25</v>
      </c>
      <c r="E140" s="9" t="s">
        <v>2</v>
      </c>
      <c r="F140" s="7" t="s">
        <v>306</v>
      </c>
      <c r="G140" s="2" t="s">
        <v>27</v>
      </c>
      <c r="H140" s="14"/>
      <c r="I140" s="14"/>
      <c r="J140" s="7" t="s">
        <v>511</v>
      </c>
      <c r="L140" s="1" t="s">
        <v>1093</v>
      </c>
      <c r="M140" s="2" t="s">
        <v>61</v>
      </c>
      <c r="P140" s="2" t="s">
        <v>307</v>
      </c>
      <c r="Q140" s="1" t="e">
        <f t="shared" si="7"/>
        <v>#REF!</v>
      </c>
    </row>
    <row r="141" spans="1:17" ht="12" customHeight="1" outlineLevel="3" x14ac:dyDescent="0.35">
      <c r="A141" s="2" t="str">
        <f t="shared" ref="A141:A162" si="8">$E$2</f>
        <v>CC413B</v>
      </c>
      <c r="B141" s="1">
        <v>3</v>
      </c>
      <c r="C141" s="1" t="s">
        <v>19</v>
      </c>
      <c r="D141" s="2" t="s">
        <v>30</v>
      </c>
      <c r="E141" s="9" t="s">
        <v>142</v>
      </c>
      <c r="F141" s="7" t="s">
        <v>50</v>
      </c>
      <c r="G141" s="2" t="s">
        <v>396</v>
      </c>
      <c r="H141" s="7" t="s">
        <v>748</v>
      </c>
      <c r="I141" s="7" t="s">
        <v>493</v>
      </c>
      <c r="J141" s="7" t="s">
        <v>416</v>
      </c>
      <c r="M141" s="2" t="s">
        <v>143</v>
      </c>
      <c r="P141" s="2" t="s">
        <v>52</v>
      </c>
      <c r="Q141" s="1" t="e">
        <f t="shared" si="7"/>
        <v>#REF!</v>
      </c>
    </row>
    <row r="142" spans="1:17" ht="12" customHeight="1" outlineLevel="3" x14ac:dyDescent="0.35">
      <c r="A142" s="2" t="str">
        <f t="shared" si="8"/>
        <v>CC413B</v>
      </c>
      <c r="B142" s="1">
        <v>3</v>
      </c>
      <c r="C142" s="1" t="s">
        <v>19</v>
      </c>
      <c r="D142" s="2" t="s">
        <v>30</v>
      </c>
      <c r="E142" s="9" t="s">
        <v>63</v>
      </c>
      <c r="F142" s="7" t="s">
        <v>83</v>
      </c>
      <c r="G142" s="2" t="s">
        <v>22</v>
      </c>
      <c r="H142" s="7" t="s">
        <v>494</v>
      </c>
      <c r="I142" s="14"/>
      <c r="J142" s="14"/>
      <c r="L142" s="1" t="s">
        <v>1094</v>
      </c>
      <c r="M142" s="2" t="s">
        <v>65</v>
      </c>
      <c r="P142" s="2" t="s">
        <v>308</v>
      </c>
      <c r="Q142" s="1" t="e">
        <f t="shared" si="7"/>
        <v>#REF!</v>
      </c>
    </row>
    <row r="143" spans="1:17" ht="12" customHeight="1" outlineLevel="2" x14ac:dyDescent="0.35">
      <c r="A143" s="3" t="str">
        <f t="shared" si="8"/>
        <v>CC413B</v>
      </c>
      <c r="B143" s="4">
        <v>2</v>
      </c>
      <c r="C143" s="3" t="s">
        <v>24</v>
      </c>
      <c r="D143" s="3" t="s">
        <v>193</v>
      </c>
      <c r="E143" s="8" t="s">
        <v>219</v>
      </c>
      <c r="F143" s="4"/>
      <c r="G143" s="3" t="s">
        <v>22</v>
      </c>
      <c r="H143" s="16" t="s">
        <v>489</v>
      </c>
      <c r="I143" s="15"/>
      <c r="J143" s="15"/>
      <c r="K143" s="4"/>
      <c r="L143" s="4" t="s">
        <v>1095</v>
      </c>
      <c r="M143" s="3" t="s">
        <v>220</v>
      </c>
      <c r="N143" s="4"/>
      <c r="O143" s="4"/>
      <c r="P143" s="3" t="s">
        <v>221</v>
      </c>
      <c r="Q143" s="1" t="e">
        <f t="shared" si="7"/>
        <v>#REF!</v>
      </c>
    </row>
    <row r="144" spans="1:17" ht="12" customHeight="1" outlineLevel="3" x14ac:dyDescent="0.35">
      <c r="A144" s="2" t="str">
        <f t="shared" si="8"/>
        <v>CC413B</v>
      </c>
      <c r="B144" s="1">
        <v>3</v>
      </c>
      <c r="C144" s="1" t="s">
        <v>19</v>
      </c>
      <c r="D144" s="2" t="s">
        <v>25</v>
      </c>
      <c r="E144" s="9" t="s">
        <v>56</v>
      </c>
      <c r="F144" s="7" t="s">
        <v>57</v>
      </c>
      <c r="G144" s="2" t="s">
        <v>27</v>
      </c>
      <c r="H144" s="7" t="s">
        <v>393</v>
      </c>
      <c r="I144" s="14"/>
      <c r="J144" s="14"/>
      <c r="M144" s="2" t="s">
        <v>58</v>
      </c>
      <c r="P144" s="2" t="s">
        <v>59</v>
      </c>
      <c r="Q144" s="1" t="e">
        <f t="shared" si="7"/>
        <v>#REF!</v>
      </c>
    </row>
    <row r="145" spans="1:17" ht="12" customHeight="1" outlineLevel="3" x14ac:dyDescent="0.35">
      <c r="A145" s="2" t="str">
        <f t="shared" si="8"/>
        <v>CC413B</v>
      </c>
      <c r="B145" s="1">
        <v>3</v>
      </c>
      <c r="C145" s="1" t="s">
        <v>19</v>
      </c>
      <c r="D145" s="2" t="s">
        <v>25</v>
      </c>
      <c r="E145" s="9" t="s">
        <v>222</v>
      </c>
      <c r="F145" s="7" t="s">
        <v>223</v>
      </c>
      <c r="G145" s="2" t="s">
        <v>27</v>
      </c>
      <c r="H145" s="7" t="s">
        <v>477</v>
      </c>
      <c r="I145" s="14"/>
      <c r="J145" s="7" t="s">
        <v>513</v>
      </c>
      <c r="L145" s="1" t="s">
        <v>1096</v>
      </c>
      <c r="M145" s="2" t="s">
        <v>224</v>
      </c>
      <c r="P145" s="2" t="s">
        <v>225</v>
      </c>
      <c r="Q145" s="1" t="e">
        <f t="shared" si="7"/>
        <v>#REF!</v>
      </c>
    </row>
    <row r="146" spans="1:17" ht="12" customHeight="1" outlineLevel="3" x14ac:dyDescent="0.35">
      <c r="A146" s="2" t="str">
        <f t="shared" si="8"/>
        <v>CC413B</v>
      </c>
      <c r="B146" s="1">
        <v>3</v>
      </c>
      <c r="C146" s="1" t="s">
        <v>19</v>
      </c>
      <c r="D146" s="2" t="s">
        <v>30</v>
      </c>
      <c r="E146" s="9" t="s">
        <v>142</v>
      </c>
      <c r="F146" s="7" t="s">
        <v>50</v>
      </c>
      <c r="G146" s="2" t="s">
        <v>396</v>
      </c>
      <c r="H146" s="7" t="s">
        <v>748</v>
      </c>
      <c r="I146" s="7" t="s">
        <v>493</v>
      </c>
      <c r="J146" s="7" t="s">
        <v>416</v>
      </c>
      <c r="M146" s="2" t="s">
        <v>143</v>
      </c>
      <c r="P146" s="2" t="s">
        <v>52</v>
      </c>
      <c r="Q146" s="1" t="e">
        <f t="shared" si="7"/>
        <v>#REF!</v>
      </c>
    </row>
    <row r="147" spans="1:17" ht="12" customHeight="1" outlineLevel="3" x14ac:dyDescent="0.35">
      <c r="A147" s="2" t="str">
        <f t="shared" si="8"/>
        <v>CC413B</v>
      </c>
      <c r="B147" s="1">
        <v>3</v>
      </c>
      <c r="C147" s="1" t="s">
        <v>19</v>
      </c>
      <c r="D147" s="2" t="s">
        <v>30</v>
      </c>
      <c r="E147" s="9" t="s">
        <v>226</v>
      </c>
      <c r="F147" s="7" t="s">
        <v>216</v>
      </c>
      <c r="G147" s="2" t="s">
        <v>22</v>
      </c>
      <c r="H147" s="14"/>
      <c r="I147" s="14"/>
      <c r="J147" s="14"/>
      <c r="L147" s="1" t="s">
        <v>1097</v>
      </c>
      <c r="M147" s="2" t="s">
        <v>227</v>
      </c>
      <c r="P147" s="2" t="s">
        <v>218</v>
      </c>
      <c r="Q147" s="1" t="e">
        <f t="shared" si="7"/>
        <v>#REF!</v>
      </c>
    </row>
    <row r="148" spans="1:17" ht="12" customHeight="1" outlineLevel="2" x14ac:dyDescent="0.35">
      <c r="A148" s="3" t="str">
        <f t="shared" si="8"/>
        <v>CC413B</v>
      </c>
      <c r="B148" s="4">
        <v>2</v>
      </c>
      <c r="C148" s="3" t="s">
        <v>24</v>
      </c>
      <c r="D148" s="3" t="s">
        <v>193</v>
      </c>
      <c r="E148" s="8" t="s">
        <v>514</v>
      </c>
      <c r="F148" s="4"/>
      <c r="G148" s="3" t="s">
        <v>396</v>
      </c>
      <c r="H148" s="16" t="s">
        <v>750</v>
      </c>
      <c r="I148" s="16" t="s">
        <v>515</v>
      </c>
      <c r="J148" s="15"/>
      <c r="K148" s="4"/>
      <c r="L148" s="4" t="s">
        <v>1098</v>
      </c>
      <c r="M148" s="3" t="s">
        <v>516</v>
      </c>
      <c r="N148" s="4"/>
      <c r="O148" s="4"/>
      <c r="P148" s="3" t="s">
        <v>517</v>
      </c>
      <c r="Q148" s="1" t="e">
        <f t="shared" si="7"/>
        <v>#REF!</v>
      </c>
    </row>
    <row r="149" spans="1:17" ht="12" customHeight="1" outlineLevel="3" x14ac:dyDescent="0.35">
      <c r="A149" s="2" t="str">
        <f t="shared" si="8"/>
        <v>CC413B</v>
      </c>
      <c r="B149" s="1">
        <v>3</v>
      </c>
      <c r="C149" s="1" t="s">
        <v>19</v>
      </c>
      <c r="D149" s="2" t="s">
        <v>25</v>
      </c>
      <c r="E149" s="9" t="s">
        <v>56</v>
      </c>
      <c r="F149" s="7" t="s">
        <v>57</v>
      </c>
      <c r="G149" s="2" t="s">
        <v>27</v>
      </c>
      <c r="H149" s="7" t="s">
        <v>393</v>
      </c>
      <c r="I149" s="14"/>
      <c r="J149" s="14"/>
      <c r="M149" s="2" t="s">
        <v>58</v>
      </c>
      <c r="P149" s="2" t="s">
        <v>59</v>
      </c>
      <c r="Q149" s="1" t="e">
        <f t="shared" si="7"/>
        <v>#REF!</v>
      </c>
    </row>
    <row r="150" spans="1:17" ht="12" customHeight="1" outlineLevel="3" x14ac:dyDescent="0.35">
      <c r="A150" s="2" t="str">
        <f t="shared" si="8"/>
        <v>CC413B</v>
      </c>
      <c r="B150" s="1">
        <v>3</v>
      </c>
      <c r="C150" s="1" t="s">
        <v>19</v>
      </c>
      <c r="D150" s="2" t="s">
        <v>25</v>
      </c>
      <c r="E150" s="9" t="s">
        <v>222</v>
      </c>
      <c r="F150" s="7" t="s">
        <v>518</v>
      </c>
      <c r="G150" s="2" t="s">
        <v>27</v>
      </c>
      <c r="H150" s="14"/>
      <c r="I150" s="14"/>
      <c r="J150" s="7" t="s">
        <v>519</v>
      </c>
      <c r="L150" s="1" t="s">
        <v>1099</v>
      </c>
      <c r="M150" s="2" t="s">
        <v>224</v>
      </c>
      <c r="P150" s="2" t="s">
        <v>520</v>
      </c>
      <c r="Q150" s="1" t="e">
        <f t="shared" si="7"/>
        <v>#REF!</v>
      </c>
    </row>
    <row r="151" spans="1:17" ht="12" customHeight="1" outlineLevel="3" x14ac:dyDescent="0.35">
      <c r="A151" s="2" t="str">
        <f t="shared" si="8"/>
        <v>CC413B</v>
      </c>
      <c r="B151" s="1">
        <v>3</v>
      </c>
      <c r="C151" s="1" t="s">
        <v>19</v>
      </c>
      <c r="D151" s="2" t="s">
        <v>30</v>
      </c>
      <c r="E151" s="9" t="s">
        <v>524</v>
      </c>
      <c r="F151" s="7" t="s">
        <v>181</v>
      </c>
      <c r="G151" s="2" t="s">
        <v>22</v>
      </c>
      <c r="H151" s="14"/>
      <c r="I151" s="14"/>
      <c r="J151" s="14"/>
      <c r="L151" s="1" t="s">
        <v>1100</v>
      </c>
      <c r="M151" s="2" t="s">
        <v>525</v>
      </c>
      <c r="P151" s="2" t="s">
        <v>183</v>
      </c>
      <c r="Q151" s="1" t="e">
        <f>IF($B151=0,$M151,_xlfn.TEXTBEFORE(#REF!,"/",$B151,,,#REF!)&amp;"/"&amp;$M151)&amp;IF(_xlfn.TEXTAFTER($D151,"..",,,,1)&lt;&gt;"1","[0]","")</f>
        <v>#REF!</v>
      </c>
    </row>
    <row r="152" spans="1:17" ht="12" customHeight="1" outlineLevel="2" x14ac:dyDescent="0.35">
      <c r="A152" s="3" t="str">
        <f t="shared" si="8"/>
        <v>CC413B</v>
      </c>
      <c r="B152" s="4">
        <v>2</v>
      </c>
      <c r="C152" s="3" t="s">
        <v>24</v>
      </c>
      <c r="D152" s="3" t="s">
        <v>193</v>
      </c>
      <c r="E152" s="8" t="s">
        <v>528</v>
      </c>
      <c r="F152" s="4"/>
      <c r="G152" s="3" t="s">
        <v>396</v>
      </c>
      <c r="H152" s="16" t="s">
        <v>751</v>
      </c>
      <c r="I152" s="16" t="s">
        <v>529</v>
      </c>
      <c r="J152" s="15"/>
      <c r="K152" s="4"/>
      <c r="L152" s="4" t="s">
        <v>1101</v>
      </c>
      <c r="M152" s="3" t="s">
        <v>530</v>
      </c>
      <c r="N152" s="4"/>
      <c r="O152" s="4"/>
      <c r="P152" s="3" t="s">
        <v>531</v>
      </c>
      <c r="Q152" s="1" t="e">
        <f>IF($B152=0,$M152,_xlfn.TEXTBEFORE(#REF!,"/",$B152,,,#REF!)&amp;"/"&amp;$M152)&amp;IF(_xlfn.TEXTAFTER($D152,"..",,,,1)&lt;&gt;"1","[0]","")</f>
        <v>#REF!</v>
      </c>
    </row>
    <row r="153" spans="1:17" ht="12" customHeight="1" outlineLevel="3" x14ac:dyDescent="0.35">
      <c r="A153" s="2" t="str">
        <f t="shared" si="8"/>
        <v>CC413B</v>
      </c>
      <c r="B153" s="1">
        <v>3</v>
      </c>
      <c r="C153" s="1" t="s">
        <v>19</v>
      </c>
      <c r="D153" s="2" t="s">
        <v>25</v>
      </c>
      <c r="E153" s="9" t="s">
        <v>56</v>
      </c>
      <c r="F153" s="7" t="s">
        <v>57</v>
      </c>
      <c r="G153" s="2" t="s">
        <v>27</v>
      </c>
      <c r="H153" s="7" t="s">
        <v>393</v>
      </c>
      <c r="I153" s="14"/>
      <c r="J153" s="14"/>
      <c r="M153" s="2" t="s">
        <v>58</v>
      </c>
      <c r="P153" s="2" t="s">
        <v>59</v>
      </c>
      <c r="Q153" s="1" t="e">
        <f t="shared" si="7"/>
        <v>#REF!</v>
      </c>
    </row>
    <row r="154" spans="1:17" ht="12" customHeight="1" outlineLevel="3" x14ac:dyDescent="0.35">
      <c r="A154" s="2" t="str">
        <f t="shared" si="8"/>
        <v>CC413B</v>
      </c>
      <c r="B154" s="1">
        <v>3</v>
      </c>
      <c r="C154" s="1" t="s">
        <v>19</v>
      </c>
      <c r="D154" s="2" t="s">
        <v>25</v>
      </c>
      <c r="E154" s="9" t="s">
        <v>197</v>
      </c>
      <c r="F154" s="7" t="s">
        <v>333</v>
      </c>
      <c r="G154" s="2" t="s">
        <v>27</v>
      </c>
      <c r="H154" s="14"/>
      <c r="I154" s="14"/>
      <c r="J154" s="7" t="s">
        <v>532</v>
      </c>
      <c r="L154" s="1" t="s">
        <v>1102</v>
      </c>
      <c r="M154" s="2" t="s">
        <v>199</v>
      </c>
      <c r="P154" s="2" t="s">
        <v>533</v>
      </c>
      <c r="Q154" s="1" t="e">
        <f t="shared" si="7"/>
        <v>#REF!</v>
      </c>
    </row>
    <row r="155" spans="1:17" ht="12" customHeight="1" outlineLevel="3" x14ac:dyDescent="0.35">
      <c r="A155" s="2" t="str">
        <f t="shared" si="8"/>
        <v>CC413B</v>
      </c>
      <c r="B155" s="1">
        <v>3</v>
      </c>
      <c r="C155" s="1" t="s">
        <v>19</v>
      </c>
      <c r="D155" s="2" t="s">
        <v>25</v>
      </c>
      <c r="E155" s="9" t="s">
        <v>534</v>
      </c>
      <c r="F155" s="7" t="s">
        <v>103</v>
      </c>
      <c r="G155" s="2" t="s">
        <v>27</v>
      </c>
      <c r="H155" s="14"/>
      <c r="I155" s="14"/>
      <c r="J155" s="14"/>
      <c r="L155" s="1" t="s">
        <v>1103</v>
      </c>
      <c r="M155" s="2" t="s">
        <v>535</v>
      </c>
      <c r="P155" s="2" t="s">
        <v>536</v>
      </c>
      <c r="Q155" s="1" t="e">
        <f t="shared" si="7"/>
        <v>#REF!</v>
      </c>
    </row>
    <row r="156" spans="1:17" ht="12" customHeight="1" outlineLevel="2" x14ac:dyDescent="0.35">
      <c r="A156" s="3" t="str">
        <f t="shared" si="8"/>
        <v>CC413B</v>
      </c>
      <c r="B156" s="4">
        <v>2</v>
      </c>
      <c r="C156" s="3" t="s">
        <v>24</v>
      </c>
      <c r="D156" s="3" t="s">
        <v>25</v>
      </c>
      <c r="E156" s="8" t="s">
        <v>241</v>
      </c>
      <c r="F156" s="4"/>
      <c r="G156" s="3" t="s">
        <v>27</v>
      </c>
      <c r="H156" s="15"/>
      <c r="I156" s="15"/>
      <c r="J156" s="15"/>
      <c r="K156" s="4"/>
      <c r="L156" s="4"/>
      <c r="M156" s="3" t="s">
        <v>241</v>
      </c>
      <c r="N156" s="4"/>
      <c r="O156" s="4"/>
      <c r="P156" s="3" t="s">
        <v>537</v>
      </c>
      <c r="Q156" s="1" t="e">
        <f t="shared" si="7"/>
        <v>#REF!</v>
      </c>
    </row>
    <row r="157" spans="1:17" ht="12" customHeight="1" outlineLevel="3" x14ac:dyDescent="0.35">
      <c r="A157" s="2" t="str">
        <f t="shared" si="8"/>
        <v>CC413B</v>
      </c>
      <c r="B157" s="1">
        <v>3</v>
      </c>
      <c r="C157" s="1" t="s">
        <v>19</v>
      </c>
      <c r="D157" s="2" t="s">
        <v>30</v>
      </c>
      <c r="E157" s="9" t="s">
        <v>538</v>
      </c>
      <c r="F157" s="7" t="s">
        <v>123</v>
      </c>
      <c r="G157" s="2" t="s">
        <v>22</v>
      </c>
      <c r="H157" s="14"/>
      <c r="I157" s="14"/>
      <c r="J157" s="7" t="s">
        <v>539</v>
      </c>
      <c r="L157" s="1" t="s">
        <v>1104</v>
      </c>
      <c r="M157" s="2" t="s">
        <v>540</v>
      </c>
      <c r="P157" s="2" t="s">
        <v>367</v>
      </c>
      <c r="Q157" s="1" t="e">
        <f t="shared" si="7"/>
        <v>#REF!</v>
      </c>
    </row>
    <row r="158" spans="1:17" ht="12" customHeight="1" outlineLevel="3" x14ac:dyDescent="0.35">
      <c r="A158" s="2" t="str">
        <f t="shared" si="8"/>
        <v>CC413B</v>
      </c>
      <c r="B158" s="1">
        <v>3</v>
      </c>
      <c r="C158" s="1" t="s">
        <v>19</v>
      </c>
      <c r="D158" s="2" t="s">
        <v>30</v>
      </c>
      <c r="E158" s="9" t="s">
        <v>541</v>
      </c>
      <c r="F158" s="7" t="s">
        <v>123</v>
      </c>
      <c r="G158" s="2" t="s">
        <v>396</v>
      </c>
      <c r="H158" s="7" t="s">
        <v>542</v>
      </c>
      <c r="I158" s="7" t="s">
        <v>543</v>
      </c>
      <c r="J158" s="7" t="s">
        <v>544</v>
      </c>
      <c r="L158" s="1" t="s">
        <v>1105</v>
      </c>
      <c r="M158" s="2" t="s">
        <v>545</v>
      </c>
      <c r="P158" s="2" t="s">
        <v>546</v>
      </c>
      <c r="Q158" s="1" t="e">
        <f t="shared" si="7"/>
        <v>#REF!</v>
      </c>
    </row>
    <row r="159" spans="1:17" ht="12" customHeight="1" outlineLevel="3" x14ac:dyDescent="0.35">
      <c r="A159" s="2" t="str">
        <f t="shared" si="8"/>
        <v>CC413B</v>
      </c>
      <c r="B159" s="1">
        <v>3</v>
      </c>
      <c r="C159" s="1" t="s">
        <v>19</v>
      </c>
      <c r="D159" s="2" t="s">
        <v>30</v>
      </c>
      <c r="E159" s="9" t="s">
        <v>547</v>
      </c>
      <c r="F159" s="7" t="s">
        <v>123</v>
      </c>
      <c r="G159" s="2" t="s">
        <v>396</v>
      </c>
      <c r="H159" s="7" t="s">
        <v>548</v>
      </c>
      <c r="I159" s="7" t="s">
        <v>549</v>
      </c>
      <c r="J159" s="7" t="s">
        <v>544</v>
      </c>
      <c r="L159" s="1" t="s">
        <v>1106</v>
      </c>
      <c r="M159" s="2" t="s">
        <v>550</v>
      </c>
      <c r="P159" s="2" t="s">
        <v>546</v>
      </c>
      <c r="Q159" s="1" t="e">
        <f t="shared" si="7"/>
        <v>#REF!</v>
      </c>
    </row>
    <row r="160" spans="1:17" ht="12" customHeight="1" outlineLevel="3" x14ac:dyDescent="0.35">
      <c r="A160" s="2" t="str">
        <f t="shared" si="8"/>
        <v>CC413B</v>
      </c>
      <c r="B160" s="1">
        <v>3</v>
      </c>
      <c r="C160" s="1" t="s">
        <v>19</v>
      </c>
      <c r="D160" s="2" t="s">
        <v>30</v>
      </c>
      <c r="E160" s="9" t="s">
        <v>310</v>
      </c>
      <c r="F160" s="7" t="s">
        <v>311</v>
      </c>
      <c r="G160" s="2" t="s">
        <v>22</v>
      </c>
      <c r="H160" s="7" t="s">
        <v>551</v>
      </c>
      <c r="I160" s="14"/>
      <c r="J160" s="14"/>
      <c r="L160" s="1" t="s">
        <v>1107</v>
      </c>
      <c r="M160" s="2" t="s">
        <v>312</v>
      </c>
      <c r="P160" s="2" t="s">
        <v>313</v>
      </c>
      <c r="Q160" s="1" t="e">
        <f t="shared" si="7"/>
        <v>#REF!</v>
      </c>
    </row>
    <row r="161" spans="1:17" ht="12" customHeight="1" outlineLevel="3" x14ac:dyDescent="0.35">
      <c r="A161" s="2" t="str">
        <f t="shared" si="8"/>
        <v>CC413B</v>
      </c>
      <c r="B161" s="1">
        <v>3</v>
      </c>
      <c r="C161" s="1" t="s">
        <v>19</v>
      </c>
      <c r="D161" s="2" t="s">
        <v>30</v>
      </c>
      <c r="E161" s="9" t="s">
        <v>552</v>
      </c>
      <c r="F161" s="7" t="s">
        <v>156</v>
      </c>
      <c r="G161" s="2" t="s">
        <v>22</v>
      </c>
      <c r="H161" s="14"/>
      <c r="I161" s="14"/>
      <c r="J161" s="14"/>
      <c r="L161" s="1" t="s">
        <v>1108</v>
      </c>
      <c r="M161" s="2" t="s">
        <v>553</v>
      </c>
      <c r="P161" s="2" t="s">
        <v>554</v>
      </c>
      <c r="Q161" s="1" t="e">
        <f t="shared" si="7"/>
        <v>#REF!</v>
      </c>
    </row>
    <row r="162" spans="1:17" ht="12" customHeight="1" outlineLevel="3" x14ac:dyDescent="0.35">
      <c r="A162" s="3" t="str">
        <f t="shared" si="8"/>
        <v>CC413B</v>
      </c>
      <c r="B162" s="4">
        <v>3</v>
      </c>
      <c r="C162" s="3" t="s">
        <v>24</v>
      </c>
      <c r="D162" s="3" t="s">
        <v>243</v>
      </c>
      <c r="E162" s="10" t="s">
        <v>244</v>
      </c>
      <c r="F162" s="4"/>
      <c r="G162" s="3" t="s">
        <v>22</v>
      </c>
      <c r="H162" s="16" t="s">
        <v>555</v>
      </c>
      <c r="I162" s="15"/>
      <c r="J162" s="15"/>
      <c r="K162" s="4"/>
      <c r="L162" s="4" t="s">
        <v>1109</v>
      </c>
      <c r="M162" s="3" t="s">
        <v>245</v>
      </c>
      <c r="N162" s="4"/>
      <c r="O162" s="4"/>
      <c r="P162" s="3" t="s">
        <v>246</v>
      </c>
      <c r="Q162" s="1" t="e">
        <f t="shared" si="7"/>
        <v>#REF!</v>
      </c>
    </row>
    <row r="163" spans="1:17" ht="12" customHeight="1" outlineLevel="4" x14ac:dyDescent="0.35">
      <c r="A163" s="2" t="str">
        <f t="shared" ref="A163:A194" si="9">$E$2</f>
        <v>CC413B</v>
      </c>
      <c r="B163" s="1">
        <v>4</v>
      </c>
      <c r="C163" s="1" t="s">
        <v>19</v>
      </c>
      <c r="D163" s="2" t="s">
        <v>25</v>
      </c>
      <c r="E163" s="11" t="s">
        <v>56</v>
      </c>
      <c r="F163" s="7" t="s">
        <v>57</v>
      </c>
      <c r="G163" s="2" t="s">
        <v>27</v>
      </c>
      <c r="H163" s="7" t="s">
        <v>393</v>
      </c>
      <c r="I163" s="14"/>
      <c r="J163" s="14"/>
      <c r="M163" s="2" t="s">
        <v>58</v>
      </c>
      <c r="P163" s="2" t="s">
        <v>59</v>
      </c>
      <c r="Q163" s="1" t="e">
        <f t="shared" si="7"/>
        <v>#REF!</v>
      </c>
    </row>
    <row r="164" spans="1:17" ht="12" customHeight="1" outlineLevel="4" x14ac:dyDescent="0.35">
      <c r="A164" s="2" t="str">
        <f t="shared" si="9"/>
        <v>CC413B</v>
      </c>
      <c r="B164" s="1">
        <v>4</v>
      </c>
      <c r="C164" s="1" t="s">
        <v>19</v>
      </c>
      <c r="D164" s="2" t="s">
        <v>25</v>
      </c>
      <c r="E164" s="11" t="s">
        <v>247</v>
      </c>
      <c r="F164" s="7" t="s">
        <v>316</v>
      </c>
      <c r="G164" s="2" t="s">
        <v>27</v>
      </c>
      <c r="H164" s="14"/>
      <c r="I164" s="14"/>
      <c r="J164" s="14"/>
      <c r="L164" s="1" t="s">
        <v>1110</v>
      </c>
      <c r="M164" s="2" t="s">
        <v>248</v>
      </c>
      <c r="P164" s="2" t="s">
        <v>249</v>
      </c>
      <c r="Q164" s="1" t="e">
        <f t="shared" si="7"/>
        <v>#REF!</v>
      </c>
    </row>
    <row r="165" spans="1:17" ht="12" customHeight="1" outlineLevel="4" x14ac:dyDescent="0.35">
      <c r="A165" s="3" t="str">
        <f t="shared" si="9"/>
        <v>CC413B</v>
      </c>
      <c r="B165" s="4">
        <v>4</v>
      </c>
      <c r="C165" s="3" t="s">
        <v>24</v>
      </c>
      <c r="D165" s="3" t="s">
        <v>243</v>
      </c>
      <c r="E165" s="12" t="s">
        <v>250</v>
      </c>
      <c r="F165" s="4"/>
      <c r="G165" s="3" t="s">
        <v>396</v>
      </c>
      <c r="H165" s="15"/>
      <c r="I165" s="16" t="s">
        <v>556</v>
      </c>
      <c r="J165" s="15"/>
      <c r="K165" s="4"/>
      <c r="L165" s="4" t="s">
        <v>1199</v>
      </c>
      <c r="M165" s="3" t="s">
        <v>251</v>
      </c>
      <c r="N165" s="4"/>
      <c r="O165" s="4"/>
      <c r="P165" s="3" t="s">
        <v>252</v>
      </c>
      <c r="Q165" s="1" t="e">
        <f t="shared" si="7"/>
        <v>#REF!</v>
      </c>
    </row>
    <row r="166" spans="1:17" ht="12" customHeight="1" outlineLevel="5" x14ac:dyDescent="0.35">
      <c r="A166" s="2" t="str">
        <f t="shared" si="9"/>
        <v>CC413B</v>
      </c>
      <c r="B166" s="1">
        <v>5</v>
      </c>
      <c r="C166" s="1" t="s">
        <v>19</v>
      </c>
      <c r="D166" s="2" t="s">
        <v>25</v>
      </c>
      <c r="E166" s="13" t="s">
        <v>56</v>
      </c>
      <c r="F166" s="7" t="s">
        <v>57</v>
      </c>
      <c r="G166" s="2" t="s">
        <v>27</v>
      </c>
      <c r="H166" s="7" t="s">
        <v>393</v>
      </c>
      <c r="I166" s="14"/>
      <c r="J166" s="14"/>
      <c r="M166" s="2" t="s">
        <v>58</v>
      </c>
      <c r="P166" s="2" t="s">
        <v>59</v>
      </c>
      <c r="Q166" s="1" t="e">
        <f t="shared" si="7"/>
        <v>#REF!</v>
      </c>
    </row>
    <row r="167" spans="1:17" ht="12" customHeight="1" outlineLevel="5" x14ac:dyDescent="0.35">
      <c r="A167" s="2" t="str">
        <f t="shared" si="9"/>
        <v>CC413B</v>
      </c>
      <c r="B167" s="1">
        <v>5</v>
      </c>
      <c r="C167" s="1" t="s">
        <v>19</v>
      </c>
      <c r="D167" s="2" t="s">
        <v>25</v>
      </c>
      <c r="E167" s="13" t="s">
        <v>253</v>
      </c>
      <c r="F167" s="7" t="s">
        <v>57</v>
      </c>
      <c r="G167" s="2" t="s">
        <v>27</v>
      </c>
      <c r="H167" s="14"/>
      <c r="I167" s="14"/>
      <c r="J167" s="14"/>
      <c r="L167" s="1" t="s">
        <v>1200</v>
      </c>
      <c r="M167" s="2" t="s">
        <v>254</v>
      </c>
      <c r="P167" s="2" t="s">
        <v>255</v>
      </c>
      <c r="Q167" s="1" t="e">
        <f t="shared" si="7"/>
        <v>#REF!</v>
      </c>
    </row>
    <row r="168" spans="1:17" ht="12" customHeight="1" outlineLevel="3" x14ac:dyDescent="0.35">
      <c r="A168" s="3" t="str">
        <f t="shared" si="9"/>
        <v>CC413B</v>
      </c>
      <c r="B168" s="4">
        <v>3</v>
      </c>
      <c r="C168" s="3" t="s">
        <v>24</v>
      </c>
      <c r="D168" s="3" t="s">
        <v>30</v>
      </c>
      <c r="E168" s="10" t="s">
        <v>256</v>
      </c>
      <c r="F168" s="4"/>
      <c r="G168" s="3" t="s">
        <v>396</v>
      </c>
      <c r="H168" s="16" t="s">
        <v>557</v>
      </c>
      <c r="I168" s="16" t="s">
        <v>752</v>
      </c>
      <c r="J168" s="15"/>
      <c r="K168" s="4"/>
      <c r="L168" s="4" t="s">
        <v>1111</v>
      </c>
      <c r="M168" s="3" t="s">
        <v>257</v>
      </c>
      <c r="N168" s="4"/>
      <c r="O168" s="4"/>
      <c r="P168" s="3" t="s">
        <v>258</v>
      </c>
      <c r="Q168" s="1" t="e">
        <f t="shared" si="7"/>
        <v>#REF!</v>
      </c>
    </row>
    <row r="169" spans="1:17" ht="12" customHeight="1" outlineLevel="4" x14ac:dyDescent="0.35">
      <c r="A169" s="2" t="str">
        <f t="shared" si="9"/>
        <v>CC413B</v>
      </c>
      <c r="B169" s="1">
        <v>4</v>
      </c>
      <c r="C169" s="1" t="s">
        <v>19</v>
      </c>
      <c r="D169" s="2" t="s">
        <v>25</v>
      </c>
      <c r="E169" s="11" t="s">
        <v>259</v>
      </c>
      <c r="F169" s="7" t="s">
        <v>44</v>
      </c>
      <c r="G169" s="2" t="s">
        <v>27</v>
      </c>
      <c r="H169" s="14"/>
      <c r="I169" s="14"/>
      <c r="J169" s="7" t="s">
        <v>558</v>
      </c>
      <c r="L169" s="1" t="s">
        <v>1112</v>
      </c>
      <c r="M169" s="2" t="s">
        <v>260</v>
      </c>
      <c r="P169" s="2" t="s">
        <v>261</v>
      </c>
      <c r="Q169" s="1" t="e">
        <f t="shared" si="7"/>
        <v>#REF!</v>
      </c>
    </row>
    <row r="170" spans="1:17" ht="12" customHeight="1" outlineLevel="4" x14ac:dyDescent="0.35">
      <c r="A170" s="2" t="str">
        <f t="shared" si="9"/>
        <v>CC413B</v>
      </c>
      <c r="B170" s="1">
        <v>4</v>
      </c>
      <c r="C170" s="1" t="s">
        <v>19</v>
      </c>
      <c r="D170" s="2" t="s">
        <v>25</v>
      </c>
      <c r="E170" s="11" t="s">
        <v>262</v>
      </c>
      <c r="F170" s="7" t="s">
        <v>44</v>
      </c>
      <c r="G170" s="2" t="s">
        <v>27</v>
      </c>
      <c r="H170" s="7" t="s">
        <v>559</v>
      </c>
      <c r="I170" s="14"/>
      <c r="J170" s="7" t="s">
        <v>560</v>
      </c>
      <c r="L170" s="1" t="s">
        <v>1113</v>
      </c>
      <c r="M170" s="2" t="s">
        <v>263</v>
      </c>
      <c r="P170" s="2" t="s">
        <v>264</v>
      </c>
      <c r="Q170" s="1" t="e">
        <f t="shared" si="7"/>
        <v>#REF!</v>
      </c>
    </row>
    <row r="171" spans="1:17" ht="12" customHeight="1" outlineLevel="4" x14ac:dyDescent="0.35">
      <c r="A171" s="2" t="str">
        <f t="shared" si="9"/>
        <v>CC413B</v>
      </c>
      <c r="B171" s="1">
        <v>4</v>
      </c>
      <c r="C171" s="1" t="s">
        <v>19</v>
      </c>
      <c r="D171" s="2" t="s">
        <v>30</v>
      </c>
      <c r="E171" s="11" t="s">
        <v>265</v>
      </c>
      <c r="F171" s="7" t="s">
        <v>64</v>
      </c>
      <c r="G171" s="2" t="s">
        <v>396</v>
      </c>
      <c r="H171" s="14"/>
      <c r="I171" s="7" t="s">
        <v>561</v>
      </c>
      <c r="J171" s="14"/>
      <c r="L171" s="1" t="s">
        <v>1114</v>
      </c>
      <c r="M171" s="2" t="s">
        <v>266</v>
      </c>
      <c r="P171" s="2" t="s">
        <v>66</v>
      </c>
      <c r="Q171" s="1" t="e">
        <f t="shared" si="7"/>
        <v>#REF!</v>
      </c>
    </row>
    <row r="172" spans="1:17" ht="12" customHeight="1" outlineLevel="4" x14ac:dyDescent="0.35">
      <c r="A172" s="2" t="str">
        <f t="shared" si="9"/>
        <v>CC413B</v>
      </c>
      <c r="B172" s="1">
        <v>4</v>
      </c>
      <c r="C172" s="1" t="s">
        <v>19</v>
      </c>
      <c r="D172" s="2" t="s">
        <v>30</v>
      </c>
      <c r="E172" s="11" t="s">
        <v>267</v>
      </c>
      <c r="F172" s="7" t="s">
        <v>60</v>
      </c>
      <c r="G172" s="2" t="s">
        <v>396</v>
      </c>
      <c r="H172" s="14"/>
      <c r="I172" s="7" t="s">
        <v>562</v>
      </c>
      <c r="J172" s="14"/>
      <c r="L172" s="1" t="s">
        <v>1115</v>
      </c>
      <c r="M172" s="2" t="s">
        <v>268</v>
      </c>
      <c r="P172" s="2" t="s">
        <v>269</v>
      </c>
      <c r="Q172" s="1" t="e">
        <f t="shared" ref="Q172:Q235" si="10">IF($B172=0,$M172,_xlfn.TEXTBEFORE(Q171,"/",$B172,,,Q171)&amp;"/"&amp;$M172)&amp;IF(_xlfn.TEXTAFTER($D172,"..",,,,1)&lt;&gt;"1","[0]","")</f>
        <v>#REF!</v>
      </c>
    </row>
    <row r="173" spans="1:17" ht="12" customHeight="1" outlineLevel="4" x14ac:dyDescent="0.35">
      <c r="A173" s="2" t="str">
        <f t="shared" si="9"/>
        <v>CC413B</v>
      </c>
      <c r="B173" s="1">
        <v>4</v>
      </c>
      <c r="C173" s="1" t="s">
        <v>19</v>
      </c>
      <c r="D173" s="2" t="s">
        <v>30</v>
      </c>
      <c r="E173" s="11" t="s">
        <v>270</v>
      </c>
      <c r="F173" s="7" t="s">
        <v>103</v>
      </c>
      <c r="G173" s="2" t="s">
        <v>396</v>
      </c>
      <c r="H173" s="14"/>
      <c r="I173" s="7" t="s">
        <v>561</v>
      </c>
      <c r="J173" s="7" t="s">
        <v>459</v>
      </c>
      <c r="L173" s="1" t="s">
        <v>1116</v>
      </c>
      <c r="M173" s="2" t="s">
        <v>271</v>
      </c>
      <c r="P173" s="2" t="s">
        <v>272</v>
      </c>
      <c r="Q173" s="1" t="e">
        <f t="shared" si="10"/>
        <v>#REF!</v>
      </c>
    </row>
    <row r="174" spans="1:17" ht="12" customHeight="1" outlineLevel="4" x14ac:dyDescent="0.35">
      <c r="A174" s="3" t="str">
        <f t="shared" si="9"/>
        <v>CC413B</v>
      </c>
      <c r="B174" s="4">
        <v>4</v>
      </c>
      <c r="C174" s="3" t="s">
        <v>24</v>
      </c>
      <c r="D174" s="3" t="s">
        <v>30</v>
      </c>
      <c r="E174" s="12" t="s">
        <v>273</v>
      </c>
      <c r="F174" s="4"/>
      <c r="G174" s="3" t="s">
        <v>396</v>
      </c>
      <c r="H174" s="15"/>
      <c r="I174" s="16" t="s">
        <v>561</v>
      </c>
      <c r="J174" s="15"/>
      <c r="K174" s="4"/>
      <c r="L174" s="4" t="s">
        <v>1117</v>
      </c>
      <c r="M174" s="3" t="s">
        <v>274</v>
      </c>
      <c r="N174" s="4"/>
      <c r="O174" s="4"/>
      <c r="P174" s="3" t="s">
        <v>275</v>
      </c>
      <c r="Q174" s="1" t="e">
        <f t="shared" si="10"/>
        <v>#REF!</v>
      </c>
    </row>
    <row r="175" spans="1:17" ht="12" customHeight="1" outlineLevel="5" x14ac:dyDescent="0.35">
      <c r="A175" s="2" t="str">
        <f t="shared" si="9"/>
        <v>CC413B</v>
      </c>
      <c r="B175" s="1">
        <v>5</v>
      </c>
      <c r="C175" s="1" t="s">
        <v>19</v>
      </c>
      <c r="D175" s="2" t="s">
        <v>25</v>
      </c>
      <c r="E175" s="13" t="s">
        <v>63</v>
      </c>
      <c r="F175" s="7" t="s">
        <v>74</v>
      </c>
      <c r="G175" s="2" t="s">
        <v>27</v>
      </c>
      <c r="H175" s="14"/>
      <c r="I175" s="14"/>
      <c r="J175" s="7" t="s">
        <v>399</v>
      </c>
      <c r="L175" s="1" t="s">
        <v>1118</v>
      </c>
      <c r="M175" s="2" t="s">
        <v>65</v>
      </c>
      <c r="P175" s="2" t="s">
        <v>75</v>
      </c>
      <c r="Q175" s="1" t="e">
        <f t="shared" si="10"/>
        <v>#REF!</v>
      </c>
    </row>
    <row r="176" spans="1:17" ht="12" customHeight="1" outlineLevel="4" x14ac:dyDescent="0.35">
      <c r="A176" s="3" t="str">
        <f t="shared" si="9"/>
        <v>CC413B</v>
      </c>
      <c r="B176" s="4">
        <v>4</v>
      </c>
      <c r="C176" s="3" t="s">
        <v>24</v>
      </c>
      <c r="D176" s="3" t="s">
        <v>30</v>
      </c>
      <c r="E176" s="12" t="s">
        <v>276</v>
      </c>
      <c r="F176" s="4"/>
      <c r="G176" s="3" t="s">
        <v>396</v>
      </c>
      <c r="H176" s="16" t="s">
        <v>563</v>
      </c>
      <c r="I176" s="16" t="s">
        <v>561</v>
      </c>
      <c r="J176" s="15"/>
      <c r="K176" s="4"/>
      <c r="L176" s="4" t="s">
        <v>1119</v>
      </c>
      <c r="M176" s="3" t="s">
        <v>277</v>
      </c>
      <c r="N176" s="4"/>
      <c r="O176" s="4"/>
      <c r="P176" s="3" t="s">
        <v>278</v>
      </c>
      <c r="Q176" s="1" t="e">
        <f t="shared" si="10"/>
        <v>#REF!</v>
      </c>
    </row>
    <row r="177" spans="1:17" ht="12" customHeight="1" outlineLevel="5" x14ac:dyDescent="0.35">
      <c r="A177" s="2" t="str">
        <f t="shared" si="9"/>
        <v>CC413B</v>
      </c>
      <c r="B177" s="1">
        <v>5</v>
      </c>
      <c r="C177" s="1" t="s">
        <v>19</v>
      </c>
      <c r="D177" s="2" t="s">
        <v>25</v>
      </c>
      <c r="E177" s="13" t="s">
        <v>279</v>
      </c>
      <c r="F177" s="7" t="s">
        <v>280</v>
      </c>
      <c r="G177" s="2" t="s">
        <v>27</v>
      </c>
      <c r="H177" s="14"/>
      <c r="I177" s="14"/>
      <c r="J177" s="14"/>
      <c r="L177" s="1" t="s">
        <v>1120</v>
      </c>
      <c r="M177" s="2" t="s">
        <v>281</v>
      </c>
      <c r="P177" s="2" t="s">
        <v>282</v>
      </c>
      <c r="Q177" s="1" t="e">
        <f t="shared" si="10"/>
        <v>#REF!</v>
      </c>
    </row>
    <row r="178" spans="1:17" ht="12" customHeight="1" outlineLevel="5" x14ac:dyDescent="0.35">
      <c r="A178" s="2" t="str">
        <f t="shared" si="9"/>
        <v>CC413B</v>
      </c>
      <c r="B178" s="1">
        <v>5</v>
      </c>
      <c r="C178" s="1" t="s">
        <v>19</v>
      </c>
      <c r="D178" s="2" t="s">
        <v>25</v>
      </c>
      <c r="E178" s="13" t="s">
        <v>283</v>
      </c>
      <c r="F178" s="7" t="s">
        <v>284</v>
      </c>
      <c r="G178" s="2" t="s">
        <v>27</v>
      </c>
      <c r="H178" s="14"/>
      <c r="I178" s="14"/>
      <c r="J178" s="14"/>
      <c r="L178" s="1" t="s">
        <v>1121</v>
      </c>
      <c r="M178" s="2" t="s">
        <v>285</v>
      </c>
      <c r="P178" s="2" t="s">
        <v>286</v>
      </c>
      <c r="Q178" s="1" t="e">
        <f t="shared" si="10"/>
        <v>#REF!</v>
      </c>
    </row>
    <row r="179" spans="1:17" ht="12" customHeight="1" outlineLevel="4" x14ac:dyDescent="0.35">
      <c r="A179" s="3" t="str">
        <f t="shared" si="9"/>
        <v>CC413B</v>
      </c>
      <c r="B179" s="4">
        <v>4</v>
      </c>
      <c r="C179" s="3" t="s">
        <v>24</v>
      </c>
      <c r="D179" s="3" t="s">
        <v>30</v>
      </c>
      <c r="E179" s="12" t="s">
        <v>287</v>
      </c>
      <c r="F179" s="4"/>
      <c r="G179" s="3" t="s">
        <v>396</v>
      </c>
      <c r="H179" s="15"/>
      <c r="I179" s="16" t="s">
        <v>561</v>
      </c>
      <c r="J179" s="15"/>
      <c r="K179" s="4"/>
      <c r="L179" s="4" t="s">
        <v>1122</v>
      </c>
      <c r="M179" s="3" t="s">
        <v>288</v>
      </c>
      <c r="N179" s="4"/>
      <c r="O179" s="4"/>
      <c r="P179" s="3" t="s">
        <v>289</v>
      </c>
      <c r="Q179" s="1" t="e">
        <f t="shared" si="10"/>
        <v>#REF!</v>
      </c>
    </row>
    <row r="180" spans="1:17" ht="12" customHeight="1" outlineLevel="5" x14ac:dyDescent="0.35">
      <c r="A180" s="2" t="str">
        <f t="shared" si="9"/>
        <v>CC413B</v>
      </c>
      <c r="B180" s="1">
        <v>5</v>
      </c>
      <c r="C180" s="1" t="s">
        <v>19</v>
      </c>
      <c r="D180" s="2" t="s">
        <v>25</v>
      </c>
      <c r="E180" s="13" t="s">
        <v>81</v>
      </c>
      <c r="F180" s="7" t="s">
        <v>68</v>
      </c>
      <c r="G180" s="2" t="s">
        <v>27</v>
      </c>
      <c r="H180" s="14"/>
      <c r="I180" s="14"/>
      <c r="J180" s="14"/>
      <c r="L180" s="1" t="s">
        <v>1123</v>
      </c>
      <c r="M180" s="2" t="s">
        <v>82</v>
      </c>
      <c r="P180" s="2" t="s">
        <v>70</v>
      </c>
      <c r="Q180" s="1" t="e">
        <f t="shared" si="10"/>
        <v>#REF!</v>
      </c>
    </row>
    <row r="181" spans="1:17" ht="12" customHeight="1" outlineLevel="4" x14ac:dyDescent="0.35">
      <c r="A181" s="3" t="str">
        <f t="shared" si="9"/>
        <v>CC413B</v>
      </c>
      <c r="B181" s="4">
        <v>4</v>
      </c>
      <c r="C181" s="3" t="s">
        <v>24</v>
      </c>
      <c r="D181" s="3" t="s">
        <v>30</v>
      </c>
      <c r="E181" s="12" t="s">
        <v>86</v>
      </c>
      <c r="F181" s="4"/>
      <c r="G181" s="3" t="s">
        <v>396</v>
      </c>
      <c r="H181" s="15"/>
      <c r="I181" s="16" t="s">
        <v>561</v>
      </c>
      <c r="J181" s="15"/>
      <c r="K181" s="4"/>
      <c r="L181" s="4" t="s">
        <v>1124</v>
      </c>
      <c r="M181" s="3" t="s">
        <v>86</v>
      </c>
      <c r="N181" s="4"/>
      <c r="O181" s="4"/>
      <c r="P181" s="3" t="s">
        <v>87</v>
      </c>
      <c r="Q181" s="1" t="e">
        <f t="shared" si="10"/>
        <v>#REF!</v>
      </c>
    </row>
    <row r="182" spans="1:17" ht="12" customHeight="1" outlineLevel="5" x14ac:dyDescent="0.35">
      <c r="A182" s="2" t="str">
        <f t="shared" si="9"/>
        <v>CC413B</v>
      </c>
      <c r="B182" s="1">
        <v>5</v>
      </c>
      <c r="C182" s="1" t="s">
        <v>19</v>
      </c>
      <c r="D182" s="2" t="s">
        <v>25</v>
      </c>
      <c r="E182" s="13" t="s">
        <v>88</v>
      </c>
      <c r="F182" s="7" t="s">
        <v>83</v>
      </c>
      <c r="G182" s="2" t="s">
        <v>27</v>
      </c>
      <c r="H182" s="14"/>
      <c r="I182" s="14"/>
      <c r="J182" s="14"/>
      <c r="L182" s="1" t="s">
        <v>1125</v>
      </c>
      <c r="M182" s="2" t="s">
        <v>89</v>
      </c>
      <c r="P182" s="2" t="s">
        <v>90</v>
      </c>
      <c r="Q182" s="1" t="e">
        <f t="shared" si="10"/>
        <v>#REF!</v>
      </c>
    </row>
    <row r="183" spans="1:17" ht="12" customHeight="1" outlineLevel="5" x14ac:dyDescent="0.35">
      <c r="A183" s="2" t="str">
        <f t="shared" si="9"/>
        <v>CC413B</v>
      </c>
      <c r="B183" s="1">
        <v>5</v>
      </c>
      <c r="C183" s="1" t="s">
        <v>19</v>
      </c>
      <c r="D183" s="2" t="s">
        <v>30</v>
      </c>
      <c r="E183" s="13" t="s">
        <v>91</v>
      </c>
      <c r="F183" s="7" t="s">
        <v>92</v>
      </c>
      <c r="G183" s="2" t="s">
        <v>396</v>
      </c>
      <c r="H183" s="14"/>
      <c r="I183" s="7" t="s">
        <v>402</v>
      </c>
      <c r="J183" s="14"/>
      <c r="L183" s="1" t="s">
        <v>1126</v>
      </c>
      <c r="M183" s="2" t="s">
        <v>93</v>
      </c>
      <c r="P183" s="2" t="s">
        <v>94</v>
      </c>
      <c r="Q183" s="1" t="e">
        <f t="shared" si="10"/>
        <v>#REF!</v>
      </c>
    </row>
    <row r="184" spans="1:17" ht="12" customHeight="1" outlineLevel="5" x14ac:dyDescent="0.35">
      <c r="A184" s="2" t="str">
        <f t="shared" si="9"/>
        <v>CC413B</v>
      </c>
      <c r="B184" s="1">
        <v>5</v>
      </c>
      <c r="C184" s="1" t="s">
        <v>19</v>
      </c>
      <c r="D184" s="2" t="s">
        <v>25</v>
      </c>
      <c r="E184" s="13" t="s">
        <v>95</v>
      </c>
      <c r="F184" s="7" t="s">
        <v>96</v>
      </c>
      <c r="G184" s="2" t="s">
        <v>27</v>
      </c>
      <c r="H184" s="14"/>
      <c r="I184" s="14"/>
      <c r="J184" s="14"/>
      <c r="L184" s="1" t="s">
        <v>1127</v>
      </c>
      <c r="M184" s="2" t="s">
        <v>97</v>
      </c>
      <c r="P184" s="2" t="s">
        <v>98</v>
      </c>
      <c r="Q184" s="1" t="e">
        <f t="shared" si="10"/>
        <v>#REF!</v>
      </c>
    </row>
    <row r="185" spans="1:17" ht="12" customHeight="1" outlineLevel="5" x14ac:dyDescent="0.35">
      <c r="A185" s="2" t="str">
        <f t="shared" si="9"/>
        <v>CC413B</v>
      </c>
      <c r="B185" s="1">
        <v>5</v>
      </c>
      <c r="C185" s="1" t="s">
        <v>19</v>
      </c>
      <c r="D185" s="2" t="s">
        <v>25</v>
      </c>
      <c r="E185" s="13" t="s">
        <v>99</v>
      </c>
      <c r="F185" s="7" t="s">
        <v>50</v>
      </c>
      <c r="G185" s="2" t="s">
        <v>27</v>
      </c>
      <c r="H185" s="14"/>
      <c r="I185" s="14"/>
      <c r="J185" s="7" t="s">
        <v>403</v>
      </c>
      <c r="L185" s="1" t="s">
        <v>1128</v>
      </c>
      <c r="M185" s="2" t="s">
        <v>100</v>
      </c>
      <c r="P185" s="2" t="s">
        <v>52</v>
      </c>
      <c r="Q185" s="1" t="e">
        <f t="shared" si="10"/>
        <v>#REF!</v>
      </c>
    </row>
    <row r="186" spans="1:17" ht="12" customHeight="1" outlineLevel="4" x14ac:dyDescent="0.35">
      <c r="A186" s="3" t="str">
        <f t="shared" si="9"/>
        <v>CC413B</v>
      </c>
      <c r="B186" s="4">
        <v>4</v>
      </c>
      <c r="C186" s="3" t="s">
        <v>24</v>
      </c>
      <c r="D186" s="3" t="s">
        <v>30</v>
      </c>
      <c r="E186" s="12" t="s">
        <v>290</v>
      </c>
      <c r="F186" s="4"/>
      <c r="G186" s="3" t="s">
        <v>396</v>
      </c>
      <c r="H186" s="15"/>
      <c r="I186" s="16" t="s">
        <v>561</v>
      </c>
      <c r="J186" s="15"/>
      <c r="K186" s="4"/>
      <c r="L186" s="4" t="s">
        <v>1129</v>
      </c>
      <c r="M186" s="3" t="s">
        <v>291</v>
      </c>
      <c r="N186" s="4"/>
      <c r="O186" s="4"/>
      <c r="P186" s="3" t="s">
        <v>292</v>
      </c>
      <c r="Q186" s="1" t="e">
        <f t="shared" si="10"/>
        <v>#REF!</v>
      </c>
    </row>
    <row r="187" spans="1:17" ht="12" customHeight="1" outlineLevel="5" x14ac:dyDescent="0.35">
      <c r="A187" s="2" t="str">
        <f t="shared" si="9"/>
        <v>CC413B</v>
      </c>
      <c r="B187" s="1">
        <v>5</v>
      </c>
      <c r="C187" s="1" t="s">
        <v>19</v>
      </c>
      <c r="D187" s="2" t="s">
        <v>30</v>
      </c>
      <c r="E187" s="13" t="s">
        <v>293</v>
      </c>
      <c r="F187" s="7" t="s">
        <v>96</v>
      </c>
      <c r="G187" s="2" t="s">
        <v>396</v>
      </c>
      <c r="H187" s="14"/>
      <c r="I187" s="7" t="s">
        <v>564</v>
      </c>
      <c r="J187" s="14"/>
      <c r="L187" s="1" t="s">
        <v>1130</v>
      </c>
      <c r="M187" s="2" t="s">
        <v>294</v>
      </c>
      <c r="P187" s="2" t="s">
        <v>295</v>
      </c>
      <c r="Q187" s="1" t="e">
        <f t="shared" si="10"/>
        <v>#REF!</v>
      </c>
    </row>
    <row r="188" spans="1:17" ht="12" customHeight="1" outlineLevel="5" x14ac:dyDescent="0.35">
      <c r="A188" s="2" t="str">
        <f t="shared" si="9"/>
        <v>CC413B</v>
      </c>
      <c r="B188" s="1">
        <v>5</v>
      </c>
      <c r="C188" s="1" t="s">
        <v>19</v>
      </c>
      <c r="D188" s="2" t="s">
        <v>25</v>
      </c>
      <c r="E188" s="13" t="s">
        <v>91</v>
      </c>
      <c r="F188" s="7" t="s">
        <v>92</v>
      </c>
      <c r="G188" s="2" t="s">
        <v>27</v>
      </c>
      <c r="H188" s="14"/>
      <c r="I188" s="14"/>
      <c r="J188" s="14"/>
      <c r="L188" s="1" t="s">
        <v>1131</v>
      </c>
      <c r="M188" s="2" t="s">
        <v>93</v>
      </c>
      <c r="P188" s="2" t="s">
        <v>94</v>
      </c>
      <c r="Q188" s="1" t="e">
        <f t="shared" si="10"/>
        <v>#REF!</v>
      </c>
    </row>
    <row r="189" spans="1:17" ht="12" customHeight="1" outlineLevel="5" x14ac:dyDescent="0.35">
      <c r="A189" s="2" t="str">
        <f t="shared" si="9"/>
        <v>CC413B</v>
      </c>
      <c r="B189" s="1">
        <v>5</v>
      </c>
      <c r="C189" s="1" t="s">
        <v>19</v>
      </c>
      <c r="D189" s="2" t="s">
        <v>25</v>
      </c>
      <c r="E189" s="13" t="s">
        <v>99</v>
      </c>
      <c r="F189" s="7" t="s">
        <v>50</v>
      </c>
      <c r="G189" s="2" t="s">
        <v>27</v>
      </c>
      <c r="H189" s="14"/>
      <c r="I189" s="14"/>
      <c r="J189" s="7" t="s">
        <v>565</v>
      </c>
      <c r="L189" s="1" t="s">
        <v>1132</v>
      </c>
      <c r="M189" s="2" t="s">
        <v>100</v>
      </c>
      <c r="P189" s="2" t="s">
        <v>52</v>
      </c>
      <c r="Q189" s="1" t="e">
        <f t="shared" si="10"/>
        <v>#REF!</v>
      </c>
    </row>
    <row r="190" spans="1:17" ht="12" customHeight="1" outlineLevel="3" x14ac:dyDescent="0.35">
      <c r="A190" s="3" t="str">
        <f t="shared" si="9"/>
        <v>CC413B</v>
      </c>
      <c r="B190" s="4">
        <v>3</v>
      </c>
      <c r="C190" s="3" t="s">
        <v>24</v>
      </c>
      <c r="D190" s="3" t="s">
        <v>30</v>
      </c>
      <c r="E190" s="10" t="s">
        <v>566</v>
      </c>
      <c r="F190" s="4"/>
      <c r="G190" s="3" t="s">
        <v>396</v>
      </c>
      <c r="H190" s="16" t="s">
        <v>753</v>
      </c>
      <c r="I190" s="16" t="s">
        <v>567</v>
      </c>
      <c r="J190" s="15"/>
      <c r="K190" s="4"/>
      <c r="L190" s="4" t="s">
        <v>1133</v>
      </c>
      <c r="M190" s="3" t="s">
        <v>568</v>
      </c>
      <c r="N190" s="4"/>
      <c r="O190" s="4"/>
      <c r="P190" s="3" t="s">
        <v>569</v>
      </c>
      <c r="Q190" s="1" t="e">
        <f t="shared" si="10"/>
        <v>#REF!</v>
      </c>
    </row>
    <row r="191" spans="1:17" ht="12" customHeight="1" outlineLevel="4" x14ac:dyDescent="0.35">
      <c r="A191" s="2" t="str">
        <f t="shared" si="9"/>
        <v>CC413B</v>
      </c>
      <c r="B191" s="1">
        <v>4</v>
      </c>
      <c r="C191" s="1" t="s">
        <v>19</v>
      </c>
      <c r="D191" s="2" t="s">
        <v>25</v>
      </c>
      <c r="E191" s="11" t="s">
        <v>570</v>
      </c>
      <c r="F191" s="7" t="s">
        <v>132</v>
      </c>
      <c r="G191" s="2" t="s">
        <v>27</v>
      </c>
      <c r="H191" s="14"/>
      <c r="I191" s="14"/>
      <c r="J191" s="7" t="s">
        <v>571</v>
      </c>
      <c r="L191" s="1" t="s">
        <v>1134</v>
      </c>
      <c r="M191" s="2" t="s">
        <v>572</v>
      </c>
      <c r="P191" s="2" t="s">
        <v>573</v>
      </c>
      <c r="Q191" s="1" t="e">
        <f t="shared" si="10"/>
        <v>#REF!</v>
      </c>
    </row>
    <row r="192" spans="1:17" ht="12" customHeight="1" outlineLevel="4" x14ac:dyDescent="0.35">
      <c r="A192" s="2" t="str">
        <f t="shared" si="9"/>
        <v>CC413B</v>
      </c>
      <c r="B192" s="1">
        <v>4</v>
      </c>
      <c r="C192" s="1" t="s">
        <v>19</v>
      </c>
      <c r="D192" s="2" t="s">
        <v>25</v>
      </c>
      <c r="E192" s="11" t="s">
        <v>81</v>
      </c>
      <c r="F192" s="7" t="s">
        <v>96</v>
      </c>
      <c r="G192" s="2" t="s">
        <v>27</v>
      </c>
      <c r="H192" s="14"/>
      <c r="I192" s="14"/>
      <c r="J192" s="14"/>
      <c r="L192" s="1" t="s">
        <v>1135</v>
      </c>
      <c r="M192" s="2" t="s">
        <v>82</v>
      </c>
      <c r="P192" s="2" t="s">
        <v>574</v>
      </c>
      <c r="Q192" s="1" t="e">
        <f t="shared" si="10"/>
        <v>#REF!</v>
      </c>
    </row>
    <row r="193" spans="1:17" ht="12" customHeight="1" outlineLevel="3" x14ac:dyDescent="0.35">
      <c r="A193" s="3" t="str">
        <f t="shared" si="9"/>
        <v>CC413B</v>
      </c>
      <c r="B193" s="4">
        <v>3</v>
      </c>
      <c r="C193" s="3" t="s">
        <v>24</v>
      </c>
      <c r="D193" s="3" t="s">
        <v>30</v>
      </c>
      <c r="E193" s="10" t="s">
        <v>575</v>
      </c>
      <c r="F193" s="4"/>
      <c r="G193" s="3" t="s">
        <v>396</v>
      </c>
      <c r="H193" s="16" t="s">
        <v>576</v>
      </c>
      <c r="I193" s="16" t="s">
        <v>577</v>
      </c>
      <c r="J193" s="15"/>
      <c r="K193" s="4"/>
      <c r="L193" s="4" t="s">
        <v>1136</v>
      </c>
      <c r="M193" s="3" t="s">
        <v>578</v>
      </c>
      <c r="N193" s="4"/>
      <c r="O193" s="4"/>
      <c r="P193" s="3" t="s">
        <v>579</v>
      </c>
      <c r="Q193" s="1" t="e">
        <f t="shared" si="10"/>
        <v>#REF!</v>
      </c>
    </row>
    <row r="194" spans="1:17" ht="12" customHeight="1" outlineLevel="4" x14ac:dyDescent="0.35">
      <c r="A194" s="2" t="str">
        <f t="shared" si="9"/>
        <v>CC413B</v>
      </c>
      <c r="B194" s="1">
        <v>4</v>
      </c>
      <c r="C194" s="1" t="s">
        <v>19</v>
      </c>
      <c r="D194" s="2" t="s">
        <v>25</v>
      </c>
      <c r="E194" s="11" t="s">
        <v>580</v>
      </c>
      <c r="F194" s="7" t="s">
        <v>50</v>
      </c>
      <c r="G194" s="2" t="s">
        <v>27</v>
      </c>
      <c r="H194" s="14"/>
      <c r="I194" s="14"/>
      <c r="J194" s="7" t="s">
        <v>581</v>
      </c>
      <c r="L194" s="1" t="s">
        <v>1137</v>
      </c>
      <c r="M194" s="2" t="s">
        <v>582</v>
      </c>
      <c r="P194" s="2" t="s">
        <v>52</v>
      </c>
      <c r="Q194" s="1" t="e">
        <f t="shared" si="10"/>
        <v>#REF!</v>
      </c>
    </row>
    <row r="195" spans="1:17" ht="12" customHeight="1" outlineLevel="3" x14ac:dyDescent="0.35">
      <c r="A195" s="3" t="str">
        <f t="shared" ref="A195:A226" si="11">$E$2</f>
        <v>CC413B</v>
      </c>
      <c r="B195" s="4">
        <v>3</v>
      </c>
      <c r="C195" s="3" t="s">
        <v>24</v>
      </c>
      <c r="D195" s="3" t="s">
        <v>193</v>
      </c>
      <c r="E195" s="10" t="s">
        <v>583</v>
      </c>
      <c r="F195" s="4"/>
      <c r="G195" s="3" t="s">
        <v>22</v>
      </c>
      <c r="H195" s="16" t="s">
        <v>489</v>
      </c>
      <c r="I195" s="15"/>
      <c r="J195" s="15"/>
      <c r="K195" s="4"/>
      <c r="L195" s="4" t="s">
        <v>1138</v>
      </c>
      <c r="M195" s="3" t="s">
        <v>584</v>
      </c>
      <c r="N195" s="4"/>
      <c r="O195" s="4"/>
      <c r="P195" s="3" t="s">
        <v>585</v>
      </c>
      <c r="Q195" s="1" t="e">
        <f t="shared" si="10"/>
        <v>#REF!</v>
      </c>
    </row>
    <row r="196" spans="1:17" ht="12" customHeight="1" outlineLevel="4" x14ac:dyDescent="0.35">
      <c r="A196" s="2" t="str">
        <f t="shared" si="11"/>
        <v>CC413B</v>
      </c>
      <c r="B196" s="1">
        <v>4</v>
      </c>
      <c r="C196" s="1" t="s">
        <v>19</v>
      </c>
      <c r="D196" s="2" t="s">
        <v>25</v>
      </c>
      <c r="E196" s="11" t="s">
        <v>56</v>
      </c>
      <c r="F196" s="7" t="s">
        <v>57</v>
      </c>
      <c r="G196" s="2" t="s">
        <v>27</v>
      </c>
      <c r="H196" s="7" t="s">
        <v>393</v>
      </c>
      <c r="I196" s="14"/>
      <c r="J196" s="14"/>
      <c r="M196" s="2" t="s">
        <v>58</v>
      </c>
      <c r="P196" s="2" t="s">
        <v>59</v>
      </c>
      <c r="Q196" s="1" t="e">
        <f t="shared" si="10"/>
        <v>#REF!</v>
      </c>
    </row>
    <row r="197" spans="1:17" ht="12" customHeight="1" outlineLevel="4" x14ac:dyDescent="0.35">
      <c r="A197" s="2" t="str">
        <f t="shared" si="11"/>
        <v>CC413B</v>
      </c>
      <c r="B197" s="1">
        <v>4</v>
      </c>
      <c r="C197" s="1" t="s">
        <v>19</v>
      </c>
      <c r="D197" s="2" t="s">
        <v>25</v>
      </c>
      <c r="E197" s="11" t="s">
        <v>2</v>
      </c>
      <c r="F197" s="7" t="s">
        <v>306</v>
      </c>
      <c r="G197" s="2" t="s">
        <v>27</v>
      </c>
      <c r="H197" s="14"/>
      <c r="I197" s="14"/>
      <c r="J197" s="7" t="s">
        <v>586</v>
      </c>
      <c r="L197" s="1" t="s">
        <v>1139</v>
      </c>
      <c r="M197" s="2" t="s">
        <v>61</v>
      </c>
      <c r="P197" s="2" t="s">
        <v>307</v>
      </c>
      <c r="Q197" s="1" t="e">
        <f t="shared" si="10"/>
        <v>#REF!</v>
      </c>
    </row>
    <row r="198" spans="1:17" ht="12" customHeight="1" outlineLevel="4" x14ac:dyDescent="0.35">
      <c r="A198" s="2" t="str">
        <f t="shared" si="11"/>
        <v>CC413B</v>
      </c>
      <c r="B198" s="1">
        <v>4</v>
      </c>
      <c r="C198" s="1" t="s">
        <v>19</v>
      </c>
      <c r="D198" s="2" t="s">
        <v>25</v>
      </c>
      <c r="E198" s="11" t="s">
        <v>63</v>
      </c>
      <c r="F198" s="7" t="s">
        <v>83</v>
      </c>
      <c r="G198" s="2" t="s">
        <v>27</v>
      </c>
      <c r="H198" s="7" t="s">
        <v>494</v>
      </c>
      <c r="I198" s="14"/>
      <c r="J198" s="14"/>
      <c r="L198" s="1" t="s">
        <v>1140</v>
      </c>
      <c r="M198" s="2" t="s">
        <v>65</v>
      </c>
      <c r="P198" s="2" t="s">
        <v>308</v>
      </c>
      <c r="Q198" s="1" t="e">
        <f t="shared" si="10"/>
        <v>#REF!</v>
      </c>
    </row>
    <row r="199" spans="1:17" ht="12" customHeight="1" outlineLevel="2" x14ac:dyDescent="0.35">
      <c r="A199" s="3" t="str">
        <f t="shared" si="11"/>
        <v>CC413B</v>
      </c>
      <c r="B199" s="4">
        <v>2</v>
      </c>
      <c r="C199" s="3" t="s">
        <v>24</v>
      </c>
      <c r="D199" s="3" t="s">
        <v>317</v>
      </c>
      <c r="E199" s="8" t="s">
        <v>318</v>
      </c>
      <c r="F199" s="4"/>
      <c r="G199" s="3" t="s">
        <v>27</v>
      </c>
      <c r="H199" s="15"/>
      <c r="I199" s="15"/>
      <c r="J199" s="15"/>
      <c r="K199" s="4"/>
      <c r="L199" s="4"/>
      <c r="M199" s="3" t="s">
        <v>319</v>
      </c>
      <c r="N199" s="4"/>
      <c r="O199" s="4"/>
      <c r="P199" s="3" t="s">
        <v>587</v>
      </c>
      <c r="Q199" s="1" t="e">
        <f t="shared" si="10"/>
        <v>#REF!</v>
      </c>
    </row>
    <row r="200" spans="1:17" ht="12" customHeight="1" outlineLevel="3" x14ac:dyDescent="0.35">
      <c r="A200" s="2" t="str">
        <f t="shared" si="11"/>
        <v>CC413B</v>
      </c>
      <c r="B200" s="1">
        <v>3</v>
      </c>
      <c r="C200" s="1" t="s">
        <v>19</v>
      </c>
      <c r="D200" s="2" t="s">
        <v>25</v>
      </c>
      <c r="E200" s="9" t="s">
        <v>253</v>
      </c>
      <c r="F200" s="7" t="s">
        <v>57</v>
      </c>
      <c r="G200" s="2" t="s">
        <v>27</v>
      </c>
      <c r="H200" s="7" t="s">
        <v>588</v>
      </c>
      <c r="I200" s="14"/>
      <c r="J200" s="14"/>
      <c r="L200" s="1" t="s">
        <v>1200</v>
      </c>
      <c r="M200" s="2" t="s">
        <v>254</v>
      </c>
      <c r="P200" s="2" t="s">
        <v>255</v>
      </c>
      <c r="Q200" s="1" t="e">
        <f t="shared" si="10"/>
        <v>#REF!</v>
      </c>
    </row>
    <row r="201" spans="1:17" ht="12" customHeight="1" outlineLevel="3" x14ac:dyDescent="0.35">
      <c r="A201" s="2" t="str">
        <f t="shared" si="11"/>
        <v>CC413B</v>
      </c>
      <c r="B201" s="1">
        <v>3</v>
      </c>
      <c r="C201" s="1" t="s">
        <v>19</v>
      </c>
      <c r="D201" s="2" t="s">
        <v>30</v>
      </c>
      <c r="E201" s="9" t="s">
        <v>589</v>
      </c>
      <c r="F201" s="7" t="s">
        <v>57</v>
      </c>
      <c r="G201" s="2" t="s">
        <v>396</v>
      </c>
      <c r="H201" s="7" t="s">
        <v>590</v>
      </c>
      <c r="I201" s="7" t="s">
        <v>591</v>
      </c>
      <c r="J201" s="14"/>
      <c r="L201" s="1" t="s">
        <v>1141</v>
      </c>
      <c r="M201" s="2" t="s">
        <v>592</v>
      </c>
      <c r="P201" s="2" t="s">
        <v>255</v>
      </c>
      <c r="Q201" s="1" t="e">
        <f t="shared" si="10"/>
        <v>#REF!</v>
      </c>
    </row>
    <row r="202" spans="1:17" ht="12" customHeight="1" outlineLevel="3" x14ac:dyDescent="0.35">
      <c r="A202" s="2" t="str">
        <f t="shared" si="11"/>
        <v>CC413B</v>
      </c>
      <c r="B202" s="1">
        <v>3</v>
      </c>
      <c r="C202" s="1" t="s">
        <v>19</v>
      </c>
      <c r="D202" s="2" t="s">
        <v>30</v>
      </c>
      <c r="E202" s="9" t="s">
        <v>593</v>
      </c>
      <c r="F202" s="7" t="s">
        <v>181</v>
      </c>
      <c r="G202" s="2" t="s">
        <v>396</v>
      </c>
      <c r="H202" s="7" t="s">
        <v>754</v>
      </c>
      <c r="I202" s="7" t="s">
        <v>755</v>
      </c>
      <c r="J202" s="14"/>
      <c r="L202" s="1" t="s">
        <v>1142</v>
      </c>
      <c r="M202" s="2" t="s">
        <v>594</v>
      </c>
      <c r="P202" s="2" t="s">
        <v>183</v>
      </c>
      <c r="Q202" s="1" t="e">
        <f t="shared" si="10"/>
        <v>#REF!</v>
      </c>
    </row>
    <row r="203" spans="1:17" ht="12" customHeight="1" outlineLevel="3" x14ac:dyDescent="0.35">
      <c r="A203" s="2" t="str">
        <f t="shared" si="11"/>
        <v>CC413B</v>
      </c>
      <c r="B203" s="1">
        <v>3</v>
      </c>
      <c r="C203" s="1" t="s">
        <v>19</v>
      </c>
      <c r="D203" s="2" t="s">
        <v>30</v>
      </c>
      <c r="E203" s="9" t="s">
        <v>176</v>
      </c>
      <c r="F203" s="7" t="s">
        <v>177</v>
      </c>
      <c r="G203" s="2" t="s">
        <v>396</v>
      </c>
      <c r="H203" s="7" t="s">
        <v>423</v>
      </c>
      <c r="I203" s="7" t="s">
        <v>424</v>
      </c>
      <c r="J203" s="7" t="s">
        <v>425</v>
      </c>
      <c r="L203" s="1" t="s">
        <v>1039</v>
      </c>
      <c r="M203" s="2" t="s">
        <v>178</v>
      </c>
      <c r="P203" s="2" t="s">
        <v>179</v>
      </c>
      <c r="Q203" s="1" t="e">
        <f t="shared" si="10"/>
        <v>#REF!</v>
      </c>
    </row>
    <row r="204" spans="1:17" ht="12" customHeight="1" outlineLevel="3" x14ac:dyDescent="0.35">
      <c r="A204" s="2" t="str">
        <f t="shared" si="11"/>
        <v>CC413B</v>
      </c>
      <c r="B204" s="1">
        <v>3</v>
      </c>
      <c r="C204" s="1" t="s">
        <v>19</v>
      </c>
      <c r="D204" s="2" t="s">
        <v>30</v>
      </c>
      <c r="E204" s="9" t="s">
        <v>552</v>
      </c>
      <c r="F204" s="7" t="s">
        <v>156</v>
      </c>
      <c r="G204" s="2" t="s">
        <v>22</v>
      </c>
      <c r="H204" s="14"/>
      <c r="I204" s="14"/>
      <c r="J204" s="14"/>
      <c r="L204" s="1" t="s">
        <v>1143</v>
      </c>
      <c r="M204" s="2" t="s">
        <v>553</v>
      </c>
      <c r="P204" s="2" t="s">
        <v>554</v>
      </c>
      <c r="Q204" s="1" t="e">
        <f t="shared" si="10"/>
        <v>#REF!</v>
      </c>
    </row>
    <row r="205" spans="1:17" ht="12" customHeight="1" outlineLevel="3" x14ac:dyDescent="0.35">
      <c r="A205" s="3" t="str">
        <f t="shared" si="11"/>
        <v>CC413B</v>
      </c>
      <c r="B205" s="4">
        <v>3</v>
      </c>
      <c r="C205" s="3" t="s">
        <v>24</v>
      </c>
      <c r="D205" s="3" t="s">
        <v>53</v>
      </c>
      <c r="E205" s="10" t="s">
        <v>54</v>
      </c>
      <c r="F205" s="4"/>
      <c r="G205" s="3" t="s">
        <v>396</v>
      </c>
      <c r="H205" s="16" t="s">
        <v>756</v>
      </c>
      <c r="I205" s="16" t="s">
        <v>596</v>
      </c>
      <c r="J205" s="15"/>
      <c r="K205" s="4"/>
      <c r="L205" s="4" t="s">
        <v>991</v>
      </c>
      <c r="M205" s="3" t="s">
        <v>54</v>
      </c>
      <c r="N205" s="4"/>
      <c r="O205" s="4"/>
      <c r="P205" s="3" t="s">
        <v>321</v>
      </c>
      <c r="Q205" s="1" t="e">
        <f t="shared" si="10"/>
        <v>#REF!</v>
      </c>
    </row>
    <row r="206" spans="1:17" ht="12" customHeight="1" outlineLevel="4" x14ac:dyDescent="0.35">
      <c r="A206" s="2" t="str">
        <f t="shared" si="11"/>
        <v>CC413B</v>
      </c>
      <c r="B206" s="1">
        <v>4</v>
      </c>
      <c r="C206" s="1" t="s">
        <v>19</v>
      </c>
      <c r="D206" s="2" t="s">
        <v>25</v>
      </c>
      <c r="E206" s="11" t="s">
        <v>56</v>
      </c>
      <c r="F206" s="7" t="s">
        <v>57</v>
      </c>
      <c r="G206" s="2" t="s">
        <v>27</v>
      </c>
      <c r="H206" s="7" t="s">
        <v>393</v>
      </c>
      <c r="I206" s="14"/>
      <c r="J206" s="14"/>
      <c r="M206" s="2" t="s">
        <v>58</v>
      </c>
      <c r="P206" s="2" t="s">
        <v>59</v>
      </c>
      <c r="Q206" s="1" t="e">
        <f t="shared" si="10"/>
        <v>#REF!</v>
      </c>
    </row>
    <row r="207" spans="1:17" ht="12" customHeight="1" outlineLevel="4" x14ac:dyDescent="0.35">
      <c r="A207" s="2" t="str">
        <f t="shared" si="11"/>
        <v>CC413B</v>
      </c>
      <c r="B207" s="1">
        <v>4</v>
      </c>
      <c r="C207" s="1" t="s">
        <v>19</v>
      </c>
      <c r="D207" s="2" t="s">
        <v>30</v>
      </c>
      <c r="E207" s="11" t="s">
        <v>2</v>
      </c>
      <c r="F207" s="7" t="s">
        <v>60</v>
      </c>
      <c r="G207" s="2" t="s">
        <v>396</v>
      </c>
      <c r="H207" s="14"/>
      <c r="I207" s="7" t="s">
        <v>395</v>
      </c>
      <c r="J207" s="7" t="s">
        <v>597</v>
      </c>
      <c r="L207" s="1" t="s">
        <v>992</v>
      </c>
      <c r="M207" s="2" t="s">
        <v>61</v>
      </c>
      <c r="P207" s="2" t="s">
        <v>62</v>
      </c>
      <c r="Q207" s="1" t="e">
        <f t="shared" si="10"/>
        <v>#REF!</v>
      </c>
    </row>
    <row r="208" spans="1:17" ht="12" customHeight="1" outlineLevel="4" x14ac:dyDescent="0.35">
      <c r="A208" s="2" t="str">
        <f t="shared" si="11"/>
        <v>CC413B</v>
      </c>
      <c r="B208" s="1">
        <v>4</v>
      </c>
      <c r="C208" s="1" t="s">
        <v>19</v>
      </c>
      <c r="D208" s="2" t="s">
        <v>25</v>
      </c>
      <c r="E208" s="11" t="s">
        <v>63</v>
      </c>
      <c r="F208" s="7" t="s">
        <v>64</v>
      </c>
      <c r="G208" s="2" t="s">
        <v>27</v>
      </c>
      <c r="H208" s="14"/>
      <c r="I208" s="14"/>
      <c r="J208" s="14"/>
      <c r="L208" s="1" t="s">
        <v>993</v>
      </c>
      <c r="M208" s="2" t="s">
        <v>65</v>
      </c>
      <c r="P208" s="2" t="s">
        <v>66</v>
      </c>
      <c r="Q208" s="1" t="e">
        <f t="shared" si="10"/>
        <v>#REF!</v>
      </c>
    </row>
    <row r="209" spans="1:17" ht="12" customHeight="1" outlineLevel="4" x14ac:dyDescent="0.35">
      <c r="A209" s="2" t="str">
        <f t="shared" si="11"/>
        <v>CC413B</v>
      </c>
      <c r="B209" s="1">
        <v>4</v>
      </c>
      <c r="C209" s="1" t="s">
        <v>19</v>
      </c>
      <c r="D209" s="2" t="s">
        <v>30</v>
      </c>
      <c r="E209" s="11" t="s">
        <v>67</v>
      </c>
      <c r="F209" s="7" t="s">
        <v>68</v>
      </c>
      <c r="G209" s="2" t="s">
        <v>396</v>
      </c>
      <c r="H209" s="7" t="s">
        <v>397</v>
      </c>
      <c r="I209" s="7" t="s">
        <v>398</v>
      </c>
      <c r="J209" s="14"/>
      <c r="L209" s="1" t="s">
        <v>994</v>
      </c>
      <c r="M209" s="2" t="s">
        <v>69</v>
      </c>
      <c r="P209" s="2" t="s">
        <v>70</v>
      </c>
      <c r="Q209" s="1" t="e">
        <f t="shared" si="10"/>
        <v>#REF!</v>
      </c>
    </row>
    <row r="210" spans="1:17" ht="12" customHeight="1" outlineLevel="3" x14ac:dyDescent="0.35">
      <c r="A210" s="3" t="str">
        <f t="shared" si="11"/>
        <v>CC413B</v>
      </c>
      <c r="B210" s="4">
        <v>3</v>
      </c>
      <c r="C210" s="3" t="s">
        <v>24</v>
      </c>
      <c r="D210" s="3" t="s">
        <v>25</v>
      </c>
      <c r="E210" s="10" t="s">
        <v>322</v>
      </c>
      <c r="F210" s="4"/>
      <c r="G210" s="3" t="s">
        <v>27</v>
      </c>
      <c r="H210" s="15"/>
      <c r="I210" s="15"/>
      <c r="J210" s="15"/>
      <c r="K210" s="4"/>
      <c r="L210" s="4" t="s">
        <v>1144</v>
      </c>
      <c r="M210" s="3" t="s">
        <v>322</v>
      </c>
      <c r="N210" s="4"/>
      <c r="O210" s="4"/>
      <c r="P210" s="3" t="s">
        <v>598</v>
      </c>
      <c r="Q210" s="1" t="e">
        <f t="shared" si="10"/>
        <v>#REF!</v>
      </c>
    </row>
    <row r="211" spans="1:17" ht="12" customHeight="1" outlineLevel="4" x14ac:dyDescent="0.35">
      <c r="A211" s="2" t="str">
        <f t="shared" si="11"/>
        <v>CC413B</v>
      </c>
      <c r="B211" s="1">
        <v>4</v>
      </c>
      <c r="C211" s="1" t="s">
        <v>19</v>
      </c>
      <c r="D211" s="2" t="s">
        <v>30</v>
      </c>
      <c r="E211" s="11" t="s">
        <v>324</v>
      </c>
      <c r="F211" s="7" t="s">
        <v>325</v>
      </c>
      <c r="G211" s="2" t="s">
        <v>22</v>
      </c>
      <c r="H211" s="7" t="s">
        <v>599</v>
      </c>
      <c r="I211" s="14"/>
      <c r="J211" s="7" t="s">
        <v>600</v>
      </c>
      <c r="L211" s="1" t="s">
        <v>1145</v>
      </c>
      <c r="M211" s="2" t="s">
        <v>326</v>
      </c>
      <c r="P211" s="2" t="s">
        <v>327</v>
      </c>
      <c r="Q211" s="1" t="e">
        <f t="shared" si="10"/>
        <v>#REF!</v>
      </c>
    </row>
    <row r="212" spans="1:17" ht="12" customHeight="1" outlineLevel="4" x14ac:dyDescent="0.35">
      <c r="A212" s="2" t="str">
        <f t="shared" si="11"/>
        <v>CC413B</v>
      </c>
      <c r="B212" s="1">
        <v>4</v>
      </c>
      <c r="C212" s="1" t="s">
        <v>19</v>
      </c>
      <c r="D212" s="2" t="s">
        <v>30</v>
      </c>
      <c r="E212" s="11" t="s">
        <v>328</v>
      </c>
      <c r="F212" s="7" t="s">
        <v>325</v>
      </c>
      <c r="G212" s="2" t="s">
        <v>22</v>
      </c>
      <c r="H212" s="7" t="s">
        <v>601</v>
      </c>
      <c r="I212" s="14"/>
      <c r="J212" s="7" t="s">
        <v>602</v>
      </c>
      <c r="L212" s="1" t="s">
        <v>1146</v>
      </c>
      <c r="M212" s="2" t="s">
        <v>329</v>
      </c>
      <c r="P212" s="2" t="s">
        <v>327</v>
      </c>
      <c r="Q212" s="1" t="e">
        <f t="shared" si="10"/>
        <v>#REF!</v>
      </c>
    </row>
    <row r="213" spans="1:17" ht="12" customHeight="1" outlineLevel="4" x14ac:dyDescent="0.35">
      <c r="A213" s="3" t="str">
        <f t="shared" si="11"/>
        <v>CC413B</v>
      </c>
      <c r="B213" s="4">
        <v>4</v>
      </c>
      <c r="C213" s="3" t="s">
        <v>24</v>
      </c>
      <c r="D213" s="3" t="s">
        <v>193</v>
      </c>
      <c r="E213" s="12" t="s">
        <v>330</v>
      </c>
      <c r="F213" s="4"/>
      <c r="G213" s="3" t="s">
        <v>22</v>
      </c>
      <c r="H213" s="16" t="s">
        <v>757</v>
      </c>
      <c r="I213" s="15"/>
      <c r="J213" s="15"/>
      <c r="K213" s="4"/>
      <c r="L213" s="4" t="s">
        <v>1147</v>
      </c>
      <c r="M213" s="3" t="s">
        <v>331</v>
      </c>
      <c r="N213" s="4"/>
      <c r="O213" s="4"/>
      <c r="P213" s="3" t="s">
        <v>332</v>
      </c>
      <c r="Q213" s="1" t="e">
        <f t="shared" si="10"/>
        <v>#REF!</v>
      </c>
    </row>
    <row r="214" spans="1:17" ht="12" customHeight="1" outlineLevel="5" x14ac:dyDescent="0.35">
      <c r="A214" s="2" t="str">
        <f t="shared" si="11"/>
        <v>CC413B</v>
      </c>
      <c r="B214" s="1">
        <v>5</v>
      </c>
      <c r="C214" s="1" t="s">
        <v>19</v>
      </c>
      <c r="D214" s="2" t="s">
        <v>25</v>
      </c>
      <c r="E214" s="13" t="s">
        <v>56</v>
      </c>
      <c r="F214" s="7" t="s">
        <v>57</v>
      </c>
      <c r="G214" s="2" t="s">
        <v>27</v>
      </c>
      <c r="H214" s="7" t="s">
        <v>393</v>
      </c>
      <c r="I214" s="14"/>
      <c r="J214" s="14"/>
      <c r="M214" s="2" t="s">
        <v>58</v>
      </c>
      <c r="P214" s="2" t="s">
        <v>59</v>
      </c>
      <c r="Q214" s="1" t="e">
        <f t="shared" si="10"/>
        <v>#REF!</v>
      </c>
    </row>
    <row r="215" spans="1:17" ht="12" customHeight="1" outlineLevel="5" x14ac:dyDescent="0.35">
      <c r="A215" s="2" t="str">
        <f t="shared" si="11"/>
        <v>CC413B</v>
      </c>
      <c r="B215" s="1">
        <v>5</v>
      </c>
      <c r="C215" s="1" t="s">
        <v>19</v>
      </c>
      <c r="D215" s="2" t="s">
        <v>25</v>
      </c>
      <c r="E215" s="13" t="s">
        <v>330</v>
      </c>
      <c r="F215" s="7" t="s">
        <v>333</v>
      </c>
      <c r="G215" s="2" t="s">
        <v>27</v>
      </c>
      <c r="H215" s="7" t="s">
        <v>477</v>
      </c>
      <c r="I215" s="14"/>
      <c r="J215" s="7" t="s">
        <v>603</v>
      </c>
      <c r="L215" s="1" t="s">
        <v>1148</v>
      </c>
      <c r="M215" s="2" t="s">
        <v>334</v>
      </c>
      <c r="P215" s="2" t="s">
        <v>335</v>
      </c>
      <c r="Q215" s="1" t="e">
        <f t="shared" si="10"/>
        <v>#REF!</v>
      </c>
    </row>
    <row r="216" spans="1:17" ht="12" customHeight="1" outlineLevel="5" x14ac:dyDescent="0.35">
      <c r="A216" s="2" t="str">
        <f t="shared" si="11"/>
        <v>CC413B</v>
      </c>
      <c r="B216" s="1">
        <v>5</v>
      </c>
      <c r="C216" s="1" t="s">
        <v>19</v>
      </c>
      <c r="D216" s="2" t="s">
        <v>30</v>
      </c>
      <c r="E216" s="13" t="s">
        <v>142</v>
      </c>
      <c r="F216" s="7" t="s">
        <v>50</v>
      </c>
      <c r="G216" s="2" t="s">
        <v>396</v>
      </c>
      <c r="H216" s="7" t="s">
        <v>748</v>
      </c>
      <c r="I216" s="7" t="s">
        <v>493</v>
      </c>
      <c r="J216" s="7" t="s">
        <v>416</v>
      </c>
      <c r="M216" s="2" t="s">
        <v>143</v>
      </c>
      <c r="P216" s="2" t="s">
        <v>52</v>
      </c>
      <c r="Q216" s="1" t="e">
        <f t="shared" si="10"/>
        <v>#REF!</v>
      </c>
    </row>
    <row r="217" spans="1:17" ht="12" customHeight="1" outlineLevel="3" x14ac:dyDescent="0.35">
      <c r="A217" s="3" t="str">
        <f t="shared" si="11"/>
        <v>CC413B</v>
      </c>
      <c r="B217" s="4">
        <v>3</v>
      </c>
      <c r="C217" s="3" t="s">
        <v>24</v>
      </c>
      <c r="D217" s="3" t="s">
        <v>193</v>
      </c>
      <c r="E217" s="10" t="s">
        <v>194</v>
      </c>
      <c r="F217" s="4"/>
      <c r="G217" s="3" t="s">
        <v>22</v>
      </c>
      <c r="H217" s="16" t="s">
        <v>432</v>
      </c>
      <c r="I217" s="15"/>
      <c r="J217" s="15"/>
      <c r="K217" s="4"/>
      <c r="L217" s="4" t="s">
        <v>1043</v>
      </c>
      <c r="M217" s="3" t="s">
        <v>195</v>
      </c>
      <c r="N217" s="4"/>
      <c r="O217" s="4"/>
      <c r="P217" s="3" t="s">
        <v>196</v>
      </c>
      <c r="Q217" s="1" t="e">
        <f t="shared" si="10"/>
        <v>#REF!</v>
      </c>
    </row>
    <row r="218" spans="1:17" ht="12" customHeight="1" outlineLevel="4" x14ac:dyDescent="0.35">
      <c r="A218" s="2" t="str">
        <f t="shared" si="11"/>
        <v>CC413B</v>
      </c>
      <c r="B218" s="1">
        <v>4</v>
      </c>
      <c r="C218" s="1" t="s">
        <v>19</v>
      </c>
      <c r="D218" s="2" t="s">
        <v>25</v>
      </c>
      <c r="E218" s="11" t="s">
        <v>56</v>
      </c>
      <c r="F218" s="7" t="s">
        <v>57</v>
      </c>
      <c r="G218" s="2" t="s">
        <v>27</v>
      </c>
      <c r="H218" s="7" t="s">
        <v>393</v>
      </c>
      <c r="I218" s="14"/>
      <c r="J218" s="14"/>
      <c r="M218" s="2" t="s">
        <v>58</v>
      </c>
      <c r="P218" s="2" t="s">
        <v>59</v>
      </c>
      <c r="Q218" s="1" t="e">
        <f t="shared" si="10"/>
        <v>#REF!</v>
      </c>
    </row>
    <row r="219" spans="1:17" ht="12" customHeight="1" outlineLevel="4" x14ac:dyDescent="0.35">
      <c r="A219" s="2" t="str">
        <f t="shared" si="11"/>
        <v>CC413B</v>
      </c>
      <c r="B219" s="1">
        <v>4</v>
      </c>
      <c r="C219" s="1" t="s">
        <v>19</v>
      </c>
      <c r="D219" s="2" t="s">
        <v>25</v>
      </c>
      <c r="E219" s="11" t="s">
        <v>197</v>
      </c>
      <c r="F219" s="7" t="s">
        <v>198</v>
      </c>
      <c r="G219" s="2" t="s">
        <v>27</v>
      </c>
      <c r="H219" s="14"/>
      <c r="I219" s="14"/>
      <c r="J219" s="7" t="s">
        <v>433</v>
      </c>
      <c r="L219" s="1" t="s">
        <v>1044</v>
      </c>
      <c r="M219" s="2" t="s">
        <v>199</v>
      </c>
      <c r="P219" s="2" t="s">
        <v>200</v>
      </c>
      <c r="Q219" s="1" t="e">
        <f t="shared" si="10"/>
        <v>#REF!</v>
      </c>
    </row>
    <row r="220" spans="1:17" ht="12" customHeight="1" outlineLevel="4" x14ac:dyDescent="0.35">
      <c r="A220" s="2" t="str">
        <f t="shared" si="11"/>
        <v>CC413B</v>
      </c>
      <c r="B220" s="1">
        <v>4</v>
      </c>
      <c r="C220" s="1" t="s">
        <v>19</v>
      </c>
      <c r="D220" s="2" t="s">
        <v>25</v>
      </c>
      <c r="E220" s="11" t="s">
        <v>81</v>
      </c>
      <c r="F220" s="7" t="s">
        <v>68</v>
      </c>
      <c r="G220" s="2" t="s">
        <v>27</v>
      </c>
      <c r="H220" s="7" t="s">
        <v>434</v>
      </c>
      <c r="I220" s="14"/>
      <c r="J220" s="14"/>
      <c r="L220" s="1" t="s">
        <v>1045</v>
      </c>
      <c r="M220" s="2" t="s">
        <v>82</v>
      </c>
      <c r="P220" s="2" t="s">
        <v>70</v>
      </c>
      <c r="Q220" s="1" t="e">
        <f t="shared" si="10"/>
        <v>#REF!</v>
      </c>
    </row>
    <row r="221" spans="1:17" ht="12" customHeight="1" outlineLevel="3" x14ac:dyDescent="0.35">
      <c r="A221" s="3" t="str">
        <f t="shared" si="11"/>
        <v>CC413B</v>
      </c>
      <c r="B221" s="4">
        <v>3</v>
      </c>
      <c r="C221" s="3" t="s">
        <v>24</v>
      </c>
      <c r="D221" s="3" t="s">
        <v>30</v>
      </c>
      <c r="E221" s="10" t="s">
        <v>201</v>
      </c>
      <c r="F221" s="4"/>
      <c r="G221" s="3" t="s">
        <v>396</v>
      </c>
      <c r="H221" s="16" t="s">
        <v>435</v>
      </c>
      <c r="I221" s="16" t="s">
        <v>436</v>
      </c>
      <c r="J221" s="15"/>
      <c r="K221" s="4"/>
      <c r="L221" s="4" t="s">
        <v>1046</v>
      </c>
      <c r="M221" s="3" t="s">
        <v>201</v>
      </c>
      <c r="N221" s="4"/>
      <c r="O221" s="4"/>
      <c r="P221" s="3" t="s">
        <v>202</v>
      </c>
      <c r="Q221" s="1" t="e">
        <f t="shared" si="10"/>
        <v>#REF!</v>
      </c>
    </row>
    <row r="222" spans="1:17" ht="12" customHeight="1" outlineLevel="4" x14ac:dyDescent="0.35">
      <c r="A222" s="2" t="str">
        <f t="shared" si="11"/>
        <v>CC413B</v>
      </c>
      <c r="B222" s="1">
        <v>4</v>
      </c>
      <c r="C222" s="1" t="s">
        <v>19</v>
      </c>
      <c r="D222" s="2" t="s">
        <v>30</v>
      </c>
      <c r="E222" s="11" t="s">
        <v>81</v>
      </c>
      <c r="F222" s="7" t="s">
        <v>68</v>
      </c>
      <c r="G222" s="2" t="s">
        <v>22</v>
      </c>
      <c r="H222" s="7" t="s">
        <v>434</v>
      </c>
      <c r="I222" s="14"/>
      <c r="J222" s="14"/>
      <c r="L222" s="1" t="s">
        <v>1047</v>
      </c>
      <c r="M222" s="2" t="s">
        <v>82</v>
      </c>
      <c r="P222" s="2" t="s">
        <v>70</v>
      </c>
      <c r="Q222" s="1" t="e">
        <f t="shared" si="10"/>
        <v>#REF!</v>
      </c>
    </row>
    <row r="223" spans="1:17" ht="12" customHeight="1" outlineLevel="4" x14ac:dyDescent="0.35">
      <c r="A223" s="2" t="str">
        <f t="shared" si="11"/>
        <v>CC413B</v>
      </c>
      <c r="B223" s="1">
        <v>4</v>
      </c>
      <c r="C223" s="1" t="s">
        <v>19</v>
      </c>
      <c r="D223" s="2" t="s">
        <v>30</v>
      </c>
      <c r="E223" s="11" t="s">
        <v>4</v>
      </c>
      <c r="F223" s="7" t="s">
        <v>83</v>
      </c>
      <c r="G223" s="2" t="s">
        <v>396</v>
      </c>
      <c r="H223" s="14"/>
      <c r="I223" s="7" t="s">
        <v>401</v>
      </c>
      <c r="J223" s="14"/>
      <c r="L223" s="1" t="s">
        <v>1048</v>
      </c>
      <c r="M223" s="2" t="s">
        <v>84</v>
      </c>
      <c r="P223" s="2" t="s">
        <v>85</v>
      </c>
      <c r="Q223" s="1" t="e">
        <f t="shared" si="10"/>
        <v>#REF!</v>
      </c>
    </row>
    <row r="224" spans="1:17" ht="12" customHeight="1" outlineLevel="4" x14ac:dyDescent="0.35">
      <c r="A224" s="3" t="str">
        <f t="shared" si="11"/>
        <v>CC413B</v>
      </c>
      <c r="B224" s="4">
        <v>4</v>
      </c>
      <c r="C224" s="3" t="s">
        <v>24</v>
      </c>
      <c r="D224" s="3" t="s">
        <v>30</v>
      </c>
      <c r="E224" s="12" t="s">
        <v>86</v>
      </c>
      <c r="F224" s="4"/>
      <c r="G224" s="3" t="s">
        <v>396</v>
      </c>
      <c r="H224" s="15"/>
      <c r="I224" s="16" t="s">
        <v>401</v>
      </c>
      <c r="J224" s="15"/>
      <c r="K224" s="4"/>
      <c r="L224" s="4" t="s">
        <v>1049</v>
      </c>
      <c r="M224" s="3" t="s">
        <v>86</v>
      </c>
      <c r="N224" s="4"/>
      <c r="O224" s="4"/>
      <c r="P224" s="3" t="s">
        <v>87</v>
      </c>
      <c r="Q224" s="1" t="e">
        <f t="shared" si="10"/>
        <v>#REF!</v>
      </c>
    </row>
    <row r="225" spans="1:17" ht="12" customHeight="1" outlineLevel="5" x14ac:dyDescent="0.35">
      <c r="A225" s="2" t="str">
        <f t="shared" si="11"/>
        <v>CC413B</v>
      </c>
      <c r="B225" s="1">
        <v>5</v>
      </c>
      <c r="C225" s="1" t="s">
        <v>19</v>
      </c>
      <c r="D225" s="2" t="s">
        <v>25</v>
      </c>
      <c r="E225" s="13" t="s">
        <v>88</v>
      </c>
      <c r="F225" s="7" t="s">
        <v>83</v>
      </c>
      <c r="G225" s="2" t="s">
        <v>27</v>
      </c>
      <c r="H225" s="14"/>
      <c r="I225" s="14"/>
      <c r="J225" s="14"/>
      <c r="L225" s="1" t="s">
        <v>1050</v>
      </c>
      <c r="M225" s="2" t="s">
        <v>89</v>
      </c>
      <c r="P225" s="2" t="s">
        <v>90</v>
      </c>
      <c r="Q225" s="1" t="e">
        <f t="shared" si="10"/>
        <v>#REF!</v>
      </c>
    </row>
    <row r="226" spans="1:17" ht="12" customHeight="1" outlineLevel="5" x14ac:dyDescent="0.35">
      <c r="A226" s="2" t="str">
        <f t="shared" si="11"/>
        <v>CC413B</v>
      </c>
      <c r="B226" s="1">
        <v>5</v>
      </c>
      <c r="C226" s="1" t="s">
        <v>19</v>
      </c>
      <c r="D226" s="2" t="s">
        <v>30</v>
      </c>
      <c r="E226" s="13" t="s">
        <v>91</v>
      </c>
      <c r="F226" s="7" t="s">
        <v>92</v>
      </c>
      <c r="G226" s="2" t="s">
        <v>396</v>
      </c>
      <c r="H226" s="14"/>
      <c r="I226" s="7" t="s">
        <v>402</v>
      </c>
      <c r="J226" s="14"/>
      <c r="L226" s="1" t="s">
        <v>1051</v>
      </c>
      <c r="M226" s="2" t="s">
        <v>93</v>
      </c>
      <c r="P226" s="2" t="s">
        <v>94</v>
      </c>
      <c r="Q226" s="1" t="e">
        <f t="shared" si="10"/>
        <v>#REF!</v>
      </c>
    </row>
    <row r="227" spans="1:17" ht="12" customHeight="1" outlineLevel="5" x14ac:dyDescent="0.35">
      <c r="A227" s="2" t="str">
        <f t="shared" ref="A227:A244" si="12">$E$2</f>
        <v>CC413B</v>
      </c>
      <c r="B227" s="1">
        <v>5</v>
      </c>
      <c r="C227" s="1" t="s">
        <v>19</v>
      </c>
      <c r="D227" s="2" t="s">
        <v>25</v>
      </c>
      <c r="E227" s="13" t="s">
        <v>95</v>
      </c>
      <c r="F227" s="7" t="s">
        <v>96</v>
      </c>
      <c r="G227" s="2" t="s">
        <v>27</v>
      </c>
      <c r="H227" s="14"/>
      <c r="I227" s="14"/>
      <c r="J227" s="14"/>
      <c r="L227" s="1" t="s">
        <v>1052</v>
      </c>
      <c r="M227" s="2" t="s">
        <v>97</v>
      </c>
      <c r="P227" s="2" t="s">
        <v>98</v>
      </c>
      <c r="Q227" s="1" t="e">
        <f t="shared" si="10"/>
        <v>#REF!</v>
      </c>
    </row>
    <row r="228" spans="1:17" ht="12" customHeight="1" outlineLevel="5" x14ac:dyDescent="0.35">
      <c r="A228" s="2" t="str">
        <f t="shared" si="12"/>
        <v>CC413B</v>
      </c>
      <c r="B228" s="1">
        <v>5</v>
      </c>
      <c r="C228" s="1" t="s">
        <v>19</v>
      </c>
      <c r="D228" s="2" t="s">
        <v>25</v>
      </c>
      <c r="E228" s="13" t="s">
        <v>99</v>
      </c>
      <c r="F228" s="7" t="s">
        <v>50</v>
      </c>
      <c r="G228" s="2" t="s">
        <v>27</v>
      </c>
      <c r="H228" s="14"/>
      <c r="I228" s="14"/>
      <c r="J228" s="7" t="s">
        <v>403</v>
      </c>
      <c r="L228" s="1" t="s">
        <v>1053</v>
      </c>
      <c r="M228" s="2" t="s">
        <v>100</v>
      </c>
      <c r="P228" s="2" t="s">
        <v>52</v>
      </c>
      <c r="Q228" s="1" t="e">
        <f t="shared" si="10"/>
        <v>#REF!</v>
      </c>
    </row>
    <row r="229" spans="1:17" ht="12" customHeight="1" outlineLevel="3" x14ac:dyDescent="0.35">
      <c r="A229" s="3" t="str">
        <f t="shared" si="12"/>
        <v>CC413B</v>
      </c>
      <c r="B229" s="4">
        <v>3</v>
      </c>
      <c r="C229" s="3" t="s">
        <v>24</v>
      </c>
      <c r="D229" s="3" t="s">
        <v>30</v>
      </c>
      <c r="E229" s="10" t="s">
        <v>203</v>
      </c>
      <c r="F229" s="4"/>
      <c r="G229" s="3" t="s">
        <v>396</v>
      </c>
      <c r="H229" s="16" t="s">
        <v>437</v>
      </c>
      <c r="I229" s="16" t="s">
        <v>436</v>
      </c>
      <c r="J229" s="15"/>
      <c r="K229" s="4"/>
      <c r="L229" s="4" t="s">
        <v>1054</v>
      </c>
      <c r="M229" s="3" t="s">
        <v>203</v>
      </c>
      <c r="N229" s="4"/>
      <c r="O229" s="4"/>
      <c r="P229" s="3" t="s">
        <v>204</v>
      </c>
      <c r="Q229" s="1" t="e">
        <f t="shared" si="10"/>
        <v>#REF!</v>
      </c>
    </row>
    <row r="230" spans="1:17" ht="12" customHeight="1" outlineLevel="4" x14ac:dyDescent="0.35">
      <c r="A230" s="2" t="str">
        <f t="shared" si="12"/>
        <v>CC413B</v>
      </c>
      <c r="B230" s="1">
        <v>4</v>
      </c>
      <c r="C230" s="1" t="s">
        <v>19</v>
      </c>
      <c r="D230" s="2" t="s">
        <v>30</v>
      </c>
      <c r="E230" s="11" t="s">
        <v>81</v>
      </c>
      <c r="F230" s="7" t="s">
        <v>68</v>
      </c>
      <c r="G230" s="2" t="s">
        <v>22</v>
      </c>
      <c r="H230" s="7" t="s">
        <v>434</v>
      </c>
      <c r="I230" s="14"/>
      <c r="J230" s="14"/>
      <c r="L230" s="1" t="s">
        <v>1055</v>
      </c>
      <c r="M230" s="2" t="s">
        <v>82</v>
      </c>
      <c r="P230" s="2" t="s">
        <v>70</v>
      </c>
      <c r="Q230" s="1" t="e">
        <f t="shared" si="10"/>
        <v>#REF!</v>
      </c>
    </row>
    <row r="231" spans="1:17" ht="12" customHeight="1" outlineLevel="4" x14ac:dyDescent="0.35">
      <c r="A231" s="2" t="str">
        <f t="shared" si="12"/>
        <v>CC413B</v>
      </c>
      <c r="B231" s="1">
        <v>4</v>
      </c>
      <c r="C231" s="1" t="s">
        <v>19</v>
      </c>
      <c r="D231" s="2" t="s">
        <v>30</v>
      </c>
      <c r="E231" s="11" t="s">
        <v>4</v>
      </c>
      <c r="F231" s="7" t="s">
        <v>83</v>
      </c>
      <c r="G231" s="2" t="s">
        <v>396</v>
      </c>
      <c r="H231" s="14"/>
      <c r="I231" s="7" t="s">
        <v>401</v>
      </c>
      <c r="J231" s="14"/>
      <c r="L231" s="1" t="s">
        <v>1056</v>
      </c>
      <c r="M231" s="2" t="s">
        <v>84</v>
      </c>
      <c r="P231" s="2" t="s">
        <v>85</v>
      </c>
      <c r="Q231" s="1" t="e">
        <f t="shared" si="10"/>
        <v>#REF!</v>
      </c>
    </row>
    <row r="232" spans="1:17" ht="12" customHeight="1" outlineLevel="4" x14ac:dyDescent="0.35">
      <c r="A232" s="3" t="str">
        <f t="shared" si="12"/>
        <v>CC413B</v>
      </c>
      <c r="B232" s="4">
        <v>4</v>
      </c>
      <c r="C232" s="3" t="s">
        <v>24</v>
      </c>
      <c r="D232" s="3" t="s">
        <v>30</v>
      </c>
      <c r="E232" s="12" t="s">
        <v>86</v>
      </c>
      <c r="F232" s="4"/>
      <c r="G232" s="3" t="s">
        <v>396</v>
      </c>
      <c r="H232" s="15"/>
      <c r="I232" s="16" t="s">
        <v>401</v>
      </c>
      <c r="J232" s="15"/>
      <c r="K232" s="4"/>
      <c r="L232" s="4" t="s">
        <v>1057</v>
      </c>
      <c r="M232" s="3" t="s">
        <v>86</v>
      </c>
      <c r="N232" s="4"/>
      <c r="O232" s="4"/>
      <c r="P232" s="3" t="s">
        <v>87</v>
      </c>
      <c r="Q232" s="1" t="e">
        <f t="shared" si="10"/>
        <v>#REF!</v>
      </c>
    </row>
    <row r="233" spans="1:17" ht="12" customHeight="1" outlineLevel="5" x14ac:dyDescent="0.35">
      <c r="A233" s="2" t="str">
        <f t="shared" si="12"/>
        <v>CC413B</v>
      </c>
      <c r="B233" s="1">
        <v>5</v>
      </c>
      <c r="C233" s="1" t="s">
        <v>19</v>
      </c>
      <c r="D233" s="2" t="s">
        <v>25</v>
      </c>
      <c r="E233" s="13" t="s">
        <v>88</v>
      </c>
      <c r="F233" s="7" t="s">
        <v>83</v>
      </c>
      <c r="G233" s="2" t="s">
        <v>27</v>
      </c>
      <c r="H233" s="14"/>
      <c r="I233" s="14"/>
      <c r="J233" s="14"/>
      <c r="L233" s="1" t="s">
        <v>1058</v>
      </c>
      <c r="M233" s="2" t="s">
        <v>89</v>
      </c>
      <c r="P233" s="2" t="s">
        <v>90</v>
      </c>
      <c r="Q233" s="1" t="e">
        <f t="shared" si="10"/>
        <v>#REF!</v>
      </c>
    </row>
    <row r="234" spans="1:17" ht="12" customHeight="1" outlineLevel="5" x14ac:dyDescent="0.35">
      <c r="A234" s="2" t="str">
        <f t="shared" si="12"/>
        <v>CC413B</v>
      </c>
      <c r="B234" s="1">
        <v>5</v>
      </c>
      <c r="C234" s="1" t="s">
        <v>19</v>
      </c>
      <c r="D234" s="2" t="s">
        <v>30</v>
      </c>
      <c r="E234" s="13" t="s">
        <v>91</v>
      </c>
      <c r="F234" s="7" t="s">
        <v>92</v>
      </c>
      <c r="G234" s="2" t="s">
        <v>396</v>
      </c>
      <c r="H234" s="14"/>
      <c r="I234" s="7" t="s">
        <v>402</v>
      </c>
      <c r="J234" s="14"/>
      <c r="L234" s="1" t="s">
        <v>1059</v>
      </c>
      <c r="M234" s="2" t="s">
        <v>93</v>
      </c>
      <c r="P234" s="2" t="s">
        <v>94</v>
      </c>
      <c r="Q234" s="1" t="e">
        <f t="shared" si="10"/>
        <v>#REF!</v>
      </c>
    </row>
    <row r="235" spans="1:17" ht="12" customHeight="1" outlineLevel="5" x14ac:dyDescent="0.35">
      <c r="A235" s="2" t="str">
        <f t="shared" si="12"/>
        <v>CC413B</v>
      </c>
      <c r="B235" s="1">
        <v>5</v>
      </c>
      <c r="C235" s="1" t="s">
        <v>19</v>
      </c>
      <c r="D235" s="2" t="s">
        <v>25</v>
      </c>
      <c r="E235" s="13" t="s">
        <v>95</v>
      </c>
      <c r="F235" s="7" t="s">
        <v>96</v>
      </c>
      <c r="G235" s="2" t="s">
        <v>27</v>
      </c>
      <c r="H235" s="14"/>
      <c r="I235" s="14"/>
      <c r="J235" s="14"/>
      <c r="L235" s="1" t="s">
        <v>1060</v>
      </c>
      <c r="M235" s="2" t="s">
        <v>97</v>
      </c>
      <c r="P235" s="2" t="s">
        <v>98</v>
      </c>
      <c r="Q235" s="1" t="e">
        <f t="shared" si="10"/>
        <v>#REF!</v>
      </c>
    </row>
    <row r="236" spans="1:17" ht="12" customHeight="1" outlineLevel="5" x14ac:dyDescent="0.35">
      <c r="A236" s="2" t="str">
        <f t="shared" si="12"/>
        <v>CC413B</v>
      </c>
      <c r="B236" s="1">
        <v>5</v>
      </c>
      <c r="C236" s="1" t="s">
        <v>19</v>
      </c>
      <c r="D236" s="2" t="s">
        <v>25</v>
      </c>
      <c r="E236" s="13" t="s">
        <v>99</v>
      </c>
      <c r="F236" s="7" t="s">
        <v>50</v>
      </c>
      <c r="G236" s="2" t="s">
        <v>27</v>
      </c>
      <c r="H236" s="14"/>
      <c r="I236" s="14"/>
      <c r="J236" s="7" t="s">
        <v>403</v>
      </c>
      <c r="L236" s="1" t="s">
        <v>1061</v>
      </c>
      <c r="M236" s="2" t="s">
        <v>100</v>
      </c>
      <c r="P236" s="2" t="s">
        <v>52</v>
      </c>
      <c r="Q236" s="1" t="e">
        <f t="shared" ref="Q236:Q284" si="13">IF($B236=0,$M236,_xlfn.TEXTBEFORE(Q235,"/",$B236,,,Q235)&amp;"/"&amp;$M236)&amp;IF(_xlfn.TEXTAFTER($D236,"..",,,,1)&lt;&gt;"1","[0]","")</f>
        <v>#REF!</v>
      </c>
    </row>
    <row r="237" spans="1:17" ht="12" customHeight="1" outlineLevel="3" x14ac:dyDescent="0.35">
      <c r="A237" s="3" t="str">
        <f t="shared" si="12"/>
        <v>CC413B</v>
      </c>
      <c r="B237" s="4">
        <v>3</v>
      </c>
      <c r="C237" s="3" t="s">
        <v>24</v>
      </c>
      <c r="D237" s="3" t="s">
        <v>30</v>
      </c>
      <c r="E237" s="10" t="s">
        <v>205</v>
      </c>
      <c r="F237" s="4"/>
      <c r="G237" s="3" t="s">
        <v>396</v>
      </c>
      <c r="H237" s="16" t="s">
        <v>439</v>
      </c>
      <c r="I237" s="16" t="s">
        <v>438</v>
      </c>
      <c r="J237" s="15"/>
      <c r="K237" s="4"/>
      <c r="L237" s="4" t="s">
        <v>1062</v>
      </c>
      <c r="M237" s="3" t="s">
        <v>205</v>
      </c>
      <c r="N237" s="4"/>
      <c r="O237" s="4"/>
      <c r="P237" s="3" t="s">
        <v>206</v>
      </c>
      <c r="Q237" s="1" t="e">
        <f t="shared" si="13"/>
        <v>#REF!</v>
      </c>
    </row>
    <row r="238" spans="1:17" ht="12" customHeight="1" outlineLevel="4" x14ac:dyDescent="0.35">
      <c r="A238" s="2" t="str">
        <f t="shared" si="12"/>
        <v>CC413B</v>
      </c>
      <c r="B238" s="1">
        <v>4</v>
      </c>
      <c r="C238" s="1" t="s">
        <v>19</v>
      </c>
      <c r="D238" s="2" t="s">
        <v>30</v>
      </c>
      <c r="E238" s="11" t="s">
        <v>81</v>
      </c>
      <c r="F238" s="7" t="s">
        <v>68</v>
      </c>
      <c r="G238" s="2" t="s">
        <v>22</v>
      </c>
      <c r="H238" s="7" t="s">
        <v>434</v>
      </c>
      <c r="I238" s="14"/>
      <c r="J238" s="14"/>
      <c r="L238" s="1" t="s">
        <v>1063</v>
      </c>
      <c r="M238" s="2" t="s">
        <v>82</v>
      </c>
      <c r="P238" s="2" t="s">
        <v>70</v>
      </c>
      <c r="Q238" s="1" t="e">
        <f t="shared" si="13"/>
        <v>#REF!</v>
      </c>
    </row>
    <row r="239" spans="1:17" ht="12" customHeight="1" outlineLevel="4" x14ac:dyDescent="0.35">
      <c r="A239" s="2" t="str">
        <f t="shared" si="12"/>
        <v>CC413B</v>
      </c>
      <c r="B239" s="1">
        <v>4</v>
      </c>
      <c r="C239" s="1" t="s">
        <v>19</v>
      </c>
      <c r="D239" s="2" t="s">
        <v>30</v>
      </c>
      <c r="E239" s="11" t="s">
        <v>4</v>
      </c>
      <c r="F239" s="7" t="s">
        <v>83</v>
      </c>
      <c r="G239" s="2" t="s">
        <v>396</v>
      </c>
      <c r="H239" s="14"/>
      <c r="I239" s="7" t="s">
        <v>401</v>
      </c>
      <c r="J239" s="14"/>
      <c r="L239" s="1" t="s">
        <v>1064</v>
      </c>
      <c r="M239" s="2" t="s">
        <v>84</v>
      </c>
      <c r="P239" s="2" t="s">
        <v>85</v>
      </c>
      <c r="Q239" s="1" t="e">
        <f t="shared" si="13"/>
        <v>#REF!</v>
      </c>
    </row>
    <row r="240" spans="1:17" ht="12" customHeight="1" outlineLevel="4" x14ac:dyDescent="0.35">
      <c r="A240" s="3" t="str">
        <f t="shared" si="12"/>
        <v>CC413B</v>
      </c>
      <c r="B240" s="4">
        <v>4</v>
      </c>
      <c r="C240" s="3" t="s">
        <v>24</v>
      </c>
      <c r="D240" s="3" t="s">
        <v>30</v>
      </c>
      <c r="E240" s="12" t="s">
        <v>86</v>
      </c>
      <c r="F240" s="4"/>
      <c r="G240" s="3" t="s">
        <v>396</v>
      </c>
      <c r="H240" s="15"/>
      <c r="I240" s="16" t="s">
        <v>401</v>
      </c>
      <c r="J240" s="15"/>
      <c r="K240" s="4"/>
      <c r="L240" s="4" t="s">
        <v>1065</v>
      </c>
      <c r="M240" s="3" t="s">
        <v>86</v>
      </c>
      <c r="N240" s="4"/>
      <c r="O240" s="4"/>
      <c r="P240" s="3" t="s">
        <v>87</v>
      </c>
      <c r="Q240" s="1" t="e">
        <f t="shared" si="13"/>
        <v>#REF!</v>
      </c>
    </row>
    <row r="241" spans="1:17" ht="12" customHeight="1" outlineLevel="5" x14ac:dyDescent="0.35">
      <c r="A241" s="2" t="str">
        <f t="shared" si="12"/>
        <v>CC413B</v>
      </c>
      <c r="B241" s="1">
        <v>5</v>
      </c>
      <c r="C241" s="1" t="s">
        <v>19</v>
      </c>
      <c r="D241" s="2" t="s">
        <v>25</v>
      </c>
      <c r="E241" s="13" t="s">
        <v>88</v>
      </c>
      <c r="F241" s="7" t="s">
        <v>83</v>
      </c>
      <c r="G241" s="2" t="s">
        <v>27</v>
      </c>
      <c r="H241" s="14"/>
      <c r="I241" s="14"/>
      <c r="J241" s="14"/>
      <c r="L241" s="1" t="s">
        <v>1066</v>
      </c>
      <c r="M241" s="2" t="s">
        <v>89</v>
      </c>
      <c r="P241" s="2" t="s">
        <v>90</v>
      </c>
      <c r="Q241" s="1" t="e">
        <f t="shared" si="13"/>
        <v>#REF!</v>
      </c>
    </row>
    <row r="242" spans="1:17" ht="12" customHeight="1" outlineLevel="5" x14ac:dyDescent="0.35">
      <c r="A242" s="2" t="str">
        <f t="shared" si="12"/>
        <v>CC413B</v>
      </c>
      <c r="B242" s="1">
        <v>5</v>
      </c>
      <c r="C242" s="1" t="s">
        <v>19</v>
      </c>
      <c r="D242" s="2" t="s">
        <v>30</v>
      </c>
      <c r="E242" s="13" t="s">
        <v>91</v>
      </c>
      <c r="F242" s="7" t="s">
        <v>92</v>
      </c>
      <c r="G242" s="2" t="s">
        <v>396</v>
      </c>
      <c r="H242" s="14"/>
      <c r="I242" s="7" t="s">
        <v>402</v>
      </c>
      <c r="J242" s="14"/>
      <c r="L242" s="1" t="s">
        <v>1067</v>
      </c>
      <c r="M242" s="2" t="s">
        <v>93</v>
      </c>
      <c r="P242" s="2" t="s">
        <v>94</v>
      </c>
      <c r="Q242" s="1" t="e">
        <f t="shared" si="13"/>
        <v>#REF!</v>
      </c>
    </row>
    <row r="243" spans="1:17" ht="12" customHeight="1" outlineLevel="5" x14ac:dyDescent="0.35">
      <c r="A243" s="2" t="str">
        <f t="shared" si="12"/>
        <v>CC413B</v>
      </c>
      <c r="B243" s="1">
        <v>5</v>
      </c>
      <c r="C243" s="1" t="s">
        <v>19</v>
      </c>
      <c r="D243" s="2" t="s">
        <v>25</v>
      </c>
      <c r="E243" s="13" t="s">
        <v>95</v>
      </c>
      <c r="F243" s="7" t="s">
        <v>96</v>
      </c>
      <c r="G243" s="2" t="s">
        <v>27</v>
      </c>
      <c r="H243" s="14"/>
      <c r="I243" s="14"/>
      <c r="J243" s="14"/>
      <c r="L243" s="1" t="s">
        <v>1068</v>
      </c>
      <c r="M243" s="2" t="s">
        <v>97</v>
      </c>
      <c r="P243" s="2" t="s">
        <v>98</v>
      </c>
      <c r="Q243" s="1" t="e">
        <f t="shared" si="13"/>
        <v>#REF!</v>
      </c>
    </row>
    <row r="244" spans="1:17" ht="12" customHeight="1" outlineLevel="5" x14ac:dyDescent="0.35">
      <c r="A244" s="2" t="str">
        <f t="shared" si="12"/>
        <v>CC413B</v>
      </c>
      <c r="B244" s="1">
        <v>5</v>
      </c>
      <c r="C244" s="1" t="s">
        <v>19</v>
      </c>
      <c r="D244" s="2" t="s">
        <v>25</v>
      </c>
      <c r="E244" s="13" t="s">
        <v>99</v>
      </c>
      <c r="F244" s="7" t="s">
        <v>50</v>
      </c>
      <c r="G244" s="2" t="s">
        <v>27</v>
      </c>
      <c r="H244" s="14"/>
      <c r="I244" s="14"/>
      <c r="J244" s="7" t="s">
        <v>403</v>
      </c>
      <c r="L244" s="1" t="s">
        <v>1069</v>
      </c>
      <c r="M244" s="2" t="s">
        <v>100</v>
      </c>
      <c r="P244" s="2" t="s">
        <v>52</v>
      </c>
      <c r="Q244" s="1" t="e">
        <f t="shared" si="13"/>
        <v>#REF!</v>
      </c>
    </row>
    <row r="245" spans="1:17" ht="12" customHeight="1" outlineLevel="3" x14ac:dyDescent="0.35">
      <c r="A245" s="3" t="str">
        <f t="shared" ref="A245:A269" si="14">$E$2</f>
        <v>CC413B</v>
      </c>
      <c r="B245" s="4">
        <v>3</v>
      </c>
      <c r="C245" s="3" t="s">
        <v>24</v>
      </c>
      <c r="D245" s="3" t="s">
        <v>30</v>
      </c>
      <c r="E245" s="10" t="s">
        <v>604</v>
      </c>
      <c r="F245" s="4"/>
      <c r="G245" s="3" t="s">
        <v>396</v>
      </c>
      <c r="H245" s="15"/>
      <c r="I245" s="16" t="s">
        <v>605</v>
      </c>
      <c r="J245" s="15"/>
      <c r="K245" s="4"/>
      <c r="L245" s="4" t="s">
        <v>1149</v>
      </c>
      <c r="M245" s="3" t="s">
        <v>604</v>
      </c>
      <c r="N245" s="4"/>
      <c r="O245" s="4"/>
      <c r="P245" s="3" t="s">
        <v>606</v>
      </c>
      <c r="Q245" s="1" t="e">
        <f>IF($B245=0,$M245,_xlfn.TEXTBEFORE(#REF!,"/",$B245,,,#REF!)&amp;"/"&amp;$M245)&amp;IF(_xlfn.TEXTAFTER($D245,"..",,,,1)&lt;&gt;"1","[0]","")</f>
        <v>#REF!</v>
      </c>
    </row>
    <row r="246" spans="1:17" ht="12" customHeight="1" outlineLevel="4" x14ac:dyDescent="0.35">
      <c r="A246" s="2" t="str">
        <f t="shared" si="14"/>
        <v>CC413B</v>
      </c>
      <c r="B246" s="1">
        <v>4</v>
      </c>
      <c r="C246" s="1" t="s">
        <v>19</v>
      </c>
      <c r="D246" s="2" t="s">
        <v>30</v>
      </c>
      <c r="E246" s="11" t="s">
        <v>607</v>
      </c>
      <c r="F246" s="7" t="s">
        <v>50</v>
      </c>
      <c r="G246" s="2" t="s">
        <v>396</v>
      </c>
      <c r="H246" s="7" t="s">
        <v>608</v>
      </c>
      <c r="I246" s="7" t="s">
        <v>609</v>
      </c>
      <c r="J246" s="7" t="s">
        <v>468</v>
      </c>
      <c r="L246" s="1" t="s">
        <v>1150</v>
      </c>
      <c r="M246" s="2" t="s">
        <v>610</v>
      </c>
      <c r="P246" s="2" t="s">
        <v>52</v>
      </c>
      <c r="Q246" s="1" t="e">
        <f t="shared" si="13"/>
        <v>#REF!</v>
      </c>
    </row>
    <row r="247" spans="1:17" ht="12" customHeight="1" outlineLevel="4" x14ac:dyDescent="0.35">
      <c r="A247" s="2" t="str">
        <f t="shared" si="14"/>
        <v>CC413B</v>
      </c>
      <c r="B247" s="1">
        <v>4</v>
      </c>
      <c r="C247" s="1" t="s">
        <v>19</v>
      </c>
      <c r="D247" s="2" t="s">
        <v>30</v>
      </c>
      <c r="E247" s="11" t="s">
        <v>611</v>
      </c>
      <c r="F247" s="7" t="s">
        <v>60</v>
      </c>
      <c r="G247" s="2" t="s">
        <v>396</v>
      </c>
      <c r="H247" s="7" t="s">
        <v>427</v>
      </c>
      <c r="I247" s="7" t="s">
        <v>612</v>
      </c>
      <c r="J247" s="14"/>
      <c r="L247" s="1" t="s">
        <v>1151</v>
      </c>
      <c r="M247" s="2" t="s">
        <v>613</v>
      </c>
      <c r="P247" s="2" t="s">
        <v>614</v>
      </c>
      <c r="Q247" s="1" t="e">
        <f t="shared" si="13"/>
        <v>#REF!</v>
      </c>
    </row>
    <row r="248" spans="1:17" ht="12" customHeight="1" outlineLevel="3" x14ac:dyDescent="0.35">
      <c r="A248" s="3" t="str">
        <f t="shared" si="14"/>
        <v>CC413B</v>
      </c>
      <c r="B248" s="4">
        <v>3</v>
      </c>
      <c r="C248" s="3" t="s">
        <v>24</v>
      </c>
      <c r="D248" s="3" t="s">
        <v>30</v>
      </c>
      <c r="E248" s="10" t="s">
        <v>464</v>
      </c>
      <c r="F248" s="4"/>
      <c r="G248" s="3" t="s">
        <v>396</v>
      </c>
      <c r="H248" s="16" t="s">
        <v>739</v>
      </c>
      <c r="I248" s="16" t="s">
        <v>615</v>
      </c>
      <c r="J248" s="15"/>
      <c r="K248" s="4"/>
      <c r="L248" s="4" t="s">
        <v>1075</v>
      </c>
      <c r="M248" s="3" t="s">
        <v>465</v>
      </c>
      <c r="N248" s="4"/>
      <c r="O248" s="4"/>
      <c r="P248" s="3" t="s">
        <v>466</v>
      </c>
      <c r="Q248" s="1" t="e">
        <f t="shared" si="13"/>
        <v>#REF!</v>
      </c>
    </row>
    <row r="249" spans="1:17" ht="12" customHeight="1" outlineLevel="4" x14ac:dyDescent="0.35">
      <c r="A249" s="2" t="str">
        <f t="shared" si="14"/>
        <v>CC413B</v>
      </c>
      <c r="B249" s="1">
        <v>4</v>
      </c>
      <c r="C249" s="1" t="s">
        <v>19</v>
      </c>
      <c r="D249" s="2" t="s">
        <v>25</v>
      </c>
      <c r="E249" s="11" t="s">
        <v>464</v>
      </c>
      <c r="F249" s="7" t="s">
        <v>50</v>
      </c>
      <c r="G249" s="2" t="s">
        <v>27</v>
      </c>
      <c r="H249" s="7" t="s">
        <v>467</v>
      </c>
      <c r="I249" s="14"/>
      <c r="J249" s="7" t="s">
        <v>468</v>
      </c>
      <c r="L249" s="1" t="s">
        <v>1076</v>
      </c>
      <c r="M249" s="2" t="s">
        <v>469</v>
      </c>
      <c r="P249" s="2" t="s">
        <v>52</v>
      </c>
      <c r="Q249" s="1" t="e">
        <f t="shared" si="13"/>
        <v>#REF!</v>
      </c>
    </row>
    <row r="250" spans="1:17" ht="12" customHeight="1" outlineLevel="3" x14ac:dyDescent="0.35">
      <c r="A250" s="3" t="str">
        <f t="shared" si="14"/>
        <v>CC413B</v>
      </c>
      <c r="B250" s="4">
        <v>3</v>
      </c>
      <c r="C250" s="3" t="s">
        <v>24</v>
      </c>
      <c r="D250" s="3" t="s">
        <v>30</v>
      </c>
      <c r="E250" s="10" t="s">
        <v>470</v>
      </c>
      <c r="F250" s="4"/>
      <c r="G250" s="3" t="s">
        <v>396</v>
      </c>
      <c r="H250" s="16" t="s">
        <v>740</v>
      </c>
      <c r="I250" s="16" t="s">
        <v>743</v>
      </c>
      <c r="J250" s="15"/>
      <c r="K250" s="4"/>
      <c r="L250" s="4" t="s">
        <v>1152</v>
      </c>
      <c r="M250" s="3" t="s">
        <v>470</v>
      </c>
      <c r="N250" s="4"/>
      <c r="O250" s="4"/>
      <c r="P250" s="3" t="s">
        <v>471</v>
      </c>
      <c r="Q250" s="1" t="e">
        <f t="shared" si="13"/>
        <v>#REF!</v>
      </c>
    </row>
    <row r="251" spans="1:17" ht="12" customHeight="1" outlineLevel="4" x14ac:dyDescent="0.35">
      <c r="A251" s="2" t="str">
        <f t="shared" si="14"/>
        <v>CC413B</v>
      </c>
      <c r="B251" s="1">
        <v>4</v>
      </c>
      <c r="C251" s="1" t="s">
        <v>19</v>
      </c>
      <c r="D251" s="2" t="s">
        <v>30</v>
      </c>
      <c r="E251" s="11" t="s">
        <v>472</v>
      </c>
      <c r="F251" s="7" t="s">
        <v>50</v>
      </c>
      <c r="G251" s="2" t="s">
        <v>396</v>
      </c>
      <c r="H251" s="7" t="s">
        <v>473</v>
      </c>
      <c r="I251" s="7" t="s">
        <v>474</v>
      </c>
      <c r="J251" s="7" t="s">
        <v>416</v>
      </c>
      <c r="L251" s="1" t="s">
        <v>1078</v>
      </c>
      <c r="M251" s="2" t="s">
        <v>475</v>
      </c>
      <c r="P251" s="2" t="s">
        <v>52</v>
      </c>
      <c r="Q251" s="1" t="e">
        <f t="shared" si="13"/>
        <v>#REF!</v>
      </c>
    </row>
    <row r="252" spans="1:17" ht="12" customHeight="1" outlineLevel="4" x14ac:dyDescent="0.35">
      <c r="A252" s="2" t="str">
        <f t="shared" si="14"/>
        <v>CC413B</v>
      </c>
      <c r="B252" s="1">
        <v>4</v>
      </c>
      <c r="C252" s="1" t="s">
        <v>19</v>
      </c>
      <c r="D252" s="2" t="s">
        <v>30</v>
      </c>
      <c r="E252" s="11" t="s">
        <v>476</v>
      </c>
      <c r="F252" s="7" t="s">
        <v>96</v>
      </c>
      <c r="G252" s="2" t="s">
        <v>396</v>
      </c>
      <c r="H252" s="7" t="s">
        <v>742</v>
      </c>
      <c r="I252" s="7" t="s">
        <v>741</v>
      </c>
      <c r="J252" s="14"/>
      <c r="L252" s="1" t="s">
        <v>1079</v>
      </c>
      <c r="M252" s="2" t="s">
        <v>478</v>
      </c>
      <c r="P252" s="2" t="s">
        <v>479</v>
      </c>
      <c r="Q252" s="1" t="e">
        <f t="shared" si="13"/>
        <v>#REF!</v>
      </c>
    </row>
    <row r="253" spans="1:17" ht="12" customHeight="1" outlineLevel="4" x14ac:dyDescent="0.35">
      <c r="A253" s="2" t="str">
        <f t="shared" si="14"/>
        <v>CC413B</v>
      </c>
      <c r="B253" s="1">
        <v>4</v>
      </c>
      <c r="C253" s="1" t="s">
        <v>19</v>
      </c>
      <c r="D253" s="2" t="s">
        <v>30</v>
      </c>
      <c r="E253" s="11" t="s">
        <v>142</v>
      </c>
      <c r="F253" s="7" t="s">
        <v>50</v>
      </c>
      <c r="G253" s="2" t="s">
        <v>396</v>
      </c>
      <c r="H253" s="7" t="s">
        <v>744</v>
      </c>
      <c r="I253" s="7" t="s">
        <v>480</v>
      </c>
      <c r="J253" s="7" t="s">
        <v>416</v>
      </c>
      <c r="M253" s="2" t="s">
        <v>143</v>
      </c>
      <c r="P253" s="2" t="s">
        <v>52</v>
      </c>
      <c r="Q253" s="1" t="e">
        <f t="shared" si="13"/>
        <v>#REF!</v>
      </c>
    </row>
    <row r="254" spans="1:17" ht="12" customHeight="1" outlineLevel="3" x14ac:dyDescent="0.35">
      <c r="A254" s="3" t="str">
        <f t="shared" si="14"/>
        <v>CC413B</v>
      </c>
      <c r="B254" s="4">
        <v>3</v>
      </c>
      <c r="C254" s="3" t="s">
        <v>24</v>
      </c>
      <c r="D254" s="3" t="s">
        <v>25</v>
      </c>
      <c r="E254" s="10" t="s">
        <v>336</v>
      </c>
      <c r="F254" s="4"/>
      <c r="G254" s="3" t="s">
        <v>27</v>
      </c>
      <c r="H254" s="15"/>
      <c r="I254" s="15"/>
      <c r="J254" s="15"/>
      <c r="K254" s="4"/>
      <c r="L254" s="4"/>
      <c r="M254" s="3" t="s">
        <v>336</v>
      </c>
      <c r="N254" s="4"/>
      <c r="O254" s="4"/>
      <c r="P254" s="3" t="s">
        <v>616</v>
      </c>
      <c r="Q254" s="1" t="e">
        <f>IF($B254=0,$M254,_xlfn.TEXTBEFORE(#REF!,"/",$B254,,,#REF!)&amp;"/"&amp;$M254)&amp;IF(_xlfn.TEXTAFTER($D254,"..",,,,1)&lt;&gt;"1","[0]","")</f>
        <v>#REF!</v>
      </c>
    </row>
    <row r="255" spans="1:17" ht="12" customHeight="1" outlineLevel="4" x14ac:dyDescent="0.35">
      <c r="A255" s="2" t="str">
        <f t="shared" si="14"/>
        <v>CC413B</v>
      </c>
      <c r="B255" s="1">
        <v>4</v>
      </c>
      <c r="C255" s="1" t="s">
        <v>19</v>
      </c>
      <c r="D255" s="2" t="s">
        <v>25</v>
      </c>
      <c r="E255" s="11" t="s">
        <v>338</v>
      </c>
      <c r="F255" s="7" t="s">
        <v>216</v>
      </c>
      <c r="G255" s="2" t="s">
        <v>27</v>
      </c>
      <c r="H255" s="14"/>
      <c r="I255" s="14"/>
      <c r="J255" s="14"/>
      <c r="L255" s="1" t="s">
        <v>1153</v>
      </c>
      <c r="M255" s="2" t="s">
        <v>339</v>
      </c>
      <c r="P255" s="2" t="s">
        <v>218</v>
      </c>
      <c r="Q255" s="1" t="e">
        <f t="shared" si="13"/>
        <v>#REF!</v>
      </c>
    </row>
    <row r="256" spans="1:17" ht="12" customHeight="1" outlineLevel="4" x14ac:dyDescent="0.35">
      <c r="A256" s="2" t="str">
        <f t="shared" si="14"/>
        <v>CC413B</v>
      </c>
      <c r="B256" s="1">
        <v>4</v>
      </c>
      <c r="C256" s="1" t="s">
        <v>19</v>
      </c>
      <c r="D256" s="2" t="s">
        <v>30</v>
      </c>
      <c r="E256" s="11" t="s">
        <v>617</v>
      </c>
      <c r="F256" s="7" t="s">
        <v>618</v>
      </c>
      <c r="G256" s="2" t="s">
        <v>22</v>
      </c>
      <c r="H256" s="7" t="s">
        <v>619</v>
      </c>
      <c r="I256" s="14"/>
      <c r="J256" s="7" t="s">
        <v>620</v>
      </c>
      <c r="L256" s="1" t="s">
        <v>1154</v>
      </c>
      <c r="M256" s="2" t="s">
        <v>621</v>
      </c>
      <c r="P256" s="2" t="s">
        <v>622</v>
      </c>
      <c r="Q256" s="1" t="e">
        <f t="shared" si="13"/>
        <v>#REF!</v>
      </c>
    </row>
    <row r="257" spans="1:17" ht="12" customHeight="1" outlineLevel="4" x14ac:dyDescent="0.35">
      <c r="A257" s="2" t="str">
        <f t="shared" si="14"/>
        <v>CC413B</v>
      </c>
      <c r="B257" s="1">
        <v>4</v>
      </c>
      <c r="C257" s="1" t="s">
        <v>19</v>
      </c>
      <c r="D257" s="2" t="s">
        <v>30</v>
      </c>
      <c r="E257" s="11" t="s">
        <v>623</v>
      </c>
      <c r="F257" s="7" t="s">
        <v>624</v>
      </c>
      <c r="G257" s="2" t="s">
        <v>22</v>
      </c>
      <c r="H257" s="14"/>
      <c r="I257" s="14"/>
      <c r="J257" s="14"/>
      <c r="L257" s="1" t="s">
        <v>1155</v>
      </c>
      <c r="M257" s="2" t="s">
        <v>625</v>
      </c>
      <c r="P257" s="2" t="s">
        <v>626</v>
      </c>
      <c r="Q257" s="1" t="e">
        <f t="shared" si="13"/>
        <v>#REF!</v>
      </c>
    </row>
    <row r="258" spans="1:17" ht="12" customHeight="1" outlineLevel="4" x14ac:dyDescent="0.35">
      <c r="A258" s="3" t="str">
        <f t="shared" si="14"/>
        <v>CC413B</v>
      </c>
      <c r="B258" s="4">
        <v>4</v>
      </c>
      <c r="C258" s="3" t="s">
        <v>24</v>
      </c>
      <c r="D258" s="3" t="s">
        <v>30</v>
      </c>
      <c r="E258" s="12" t="s">
        <v>627</v>
      </c>
      <c r="F258" s="4"/>
      <c r="G258" s="3" t="s">
        <v>396</v>
      </c>
      <c r="H258" s="15"/>
      <c r="I258" s="16" t="s">
        <v>628</v>
      </c>
      <c r="J258" s="15"/>
      <c r="K258" s="4"/>
      <c r="L258" s="4" t="s">
        <v>1156</v>
      </c>
      <c r="M258" s="3" t="s">
        <v>629</v>
      </c>
      <c r="N258" s="4"/>
      <c r="O258" s="4"/>
      <c r="P258" s="3" t="s">
        <v>630</v>
      </c>
      <c r="Q258" s="1" t="e">
        <f t="shared" si="13"/>
        <v>#REF!</v>
      </c>
    </row>
    <row r="259" spans="1:17" ht="12" customHeight="1" outlineLevel="5" x14ac:dyDescent="0.35">
      <c r="A259" s="2" t="str">
        <f t="shared" si="14"/>
        <v>CC413B</v>
      </c>
      <c r="B259" s="1">
        <v>5</v>
      </c>
      <c r="C259" s="1" t="s">
        <v>19</v>
      </c>
      <c r="D259" s="2" t="s">
        <v>25</v>
      </c>
      <c r="E259" s="13" t="s">
        <v>631</v>
      </c>
      <c r="F259" s="7" t="s">
        <v>624</v>
      </c>
      <c r="G259" s="2" t="s">
        <v>27</v>
      </c>
      <c r="H259" s="14"/>
      <c r="I259" s="14"/>
      <c r="J259" s="7" t="s">
        <v>632</v>
      </c>
      <c r="L259" s="1" t="s">
        <v>1157</v>
      </c>
      <c r="M259" s="2" t="s">
        <v>633</v>
      </c>
      <c r="P259" s="2" t="s">
        <v>634</v>
      </c>
      <c r="Q259" s="1" t="e">
        <f t="shared" si="13"/>
        <v>#REF!</v>
      </c>
    </row>
    <row r="260" spans="1:17" ht="12" customHeight="1" outlineLevel="5" x14ac:dyDescent="0.35">
      <c r="A260" s="2" t="str">
        <f t="shared" si="14"/>
        <v>CC413B</v>
      </c>
      <c r="B260" s="1">
        <v>5</v>
      </c>
      <c r="C260" s="1" t="s">
        <v>19</v>
      </c>
      <c r="D260" s="2" t="s">
        <v>25</v>
      </c>
      <c r="E260" s="13" t="s">
        <v>635</v>
      </c>
      <c r="F260" s="7" t="s">
        <v>325</v>
      </c>
      <c r="G260" s="2" t="s">
        <v>27</v>
      </c>
      <c r="H260" s="14"/>
      <c r="I260" s="14"/>
      <c r="J260" s="14"/>
      <c r="L260" s="1" t="s">
        <v>1158</v>
      </c>
      <c r="M260" s="2" t="s">
        <v>636</v>
      </c>
      <c r="P260" s="2" t="s">
        <v>637</v>
      </c>
      <c r="Q260" s="1" t="e">
        <f t="shared" si="13"/>
        <v>#REF!</v>
      </c>
    </row>
    <row r="261" spans="1:17" ht="12" customHeight="1" outlineLevel="5" x14ac:dyDescent="0.35">
      <c r="A261" s="2" t="str">
        <f t="shared" si="14"/>
        <v>CC413B</v>
      </c>
      <c r="B261" s="1">
        <v>5</v>
      </c>
      <c r="C261" s="1" t="s">
        <v>19</v>
      </c>
      <c r="D261" s="2" t="s">
        <v>30</v>
      </c>
      <c r="E261" s="13" t="s">
        <v>638</v>
      </c>
      <c r="F261" s="7" t="s">
        <v>325</v>
      </c>
      <c r="G261" s="2" t="s">
        <v>396</v>
      </c>
      <c r="H261" s="14"/>
      <c r="I261" s="7" t="s">
        <v>639</v>
      </c>
      <c r="J261" s="14"/>
      <c r="L261" s="1" t="s">
        <v>1159</v>
      </c>
      <c r="M261" s="2" t="s">
        <v>640</v>
      </c>
      <c r="P261" s="2" t="s">
        <v>641</v>
      </c>
      <c r="Q261" s="1" t="e">
        <f t="shared" si="13"/>
        <v>#REF!</v>
      </c>
    </row>
    <row r="262" spans="1:17" ht="12" customHeight="1" outlineLevel="5" x14ac:dyDescent="0.35">
      <c r="A262" s="3" t="str">
        <f t="shared" si="14"/>
        <v>CC413B</v>
      </c>
      <c r="B262" s="4">
        <v>5</v>
      </c>
      <c r="C262" s="3" t="s">
        <v>24</v>
      </c>
      <c r="D262" s="3" t="s">
        <v>193</v>
      </c>
      <c r="E262" s="17" t="s">
        <v>642</v>
      </c>
      <c r="F262" s="4"/>
      <c r="G262" s="3" t="s">
        <v>396</v>
      </c>
      <c r="H262" s="16" t="s">
        <v>643</v>
      </c>
      <c r="I262" s="16" t="s">
        <v>758</v>
      </c>
      <c r="J262" s="15"/>
      <c r="K262" s="4"/>
      <c r="L262" s="4" t="s">
        <v>1194</v>
      </c>
      <c r="M262" s="3" t="s">
        <v>644</v>
      </c>
      <c r="N262" s="4"/>
      <c r="O262" s="4"/>
      <c r="P262" s="3" t="s">
        <v>645</v>
      </c>
      <c r="Q262" s="1" t="e">
        <f t="shared" si="13"/>
        <v>#REF!</v>
      </c>
    </row>
    <row r="263" spans="1:17" ht="12" customHeight="1" outlineLevel="6" x14ac:dyDescent="0.35">
      <c r="A263" s="2" t="str">
        <f t="shared" si="14"/>
        <v>CC413B</v>
      </c>
      <c r="B263" s="1">
        <v>6</v>
      </c>
      <c r="C263" s="1" t="s">
        <v>19</v>
      </c>
      <c r="D263" s="2" t="s">
        <v>25</v>
      </c>
      <c r="E263" s="18" t="s">
        <v>56</v>
      </c>
      <c r="F263" s="7" t="s">
        <v>57</v>
      </c>
      <c r="G263" s="2" t="s">
        <v>27</v>
      </c>
      <c r="H263" s="7" t="s">
        <v>393</v>
      </c>
      <c r="I263" s="14"/>
      <c r="J263" s="14"/>
      <c r="M263" s="2" t="s">
        <v>58</v>
      </c>
      <c r="P263" s="2" t="s">
        <v>59</v>
      </c>
      <c r="Q263" s="1" t="e">
        <f t="shared" si="13"/>
        <v>#REF!</v>
      </c>
    </row>
    <row r="264" spans="1:17" ht="12" customHeight="1" outlineLevel="6" x14ac:dyDescent="0.35">
      <c r="A264" s="2" t="str">
        <f t="shared" si="14"/>
        <v>CC413B</v>
      </c>
      <c r="B264" s="1">
        <v>6</v>
      </c>
      <c r="C264" s="1" t="s">
        <v>19</v>
      </c>
      <c r="D264" s="2" t="s">
        <v>25</v>
      </c>
      <c r="E264" s="18" t="s">
        <v>642</v>
      </c>
      <c r="F264" s="7" t="s">
        <v>306</v>
      </c>
      <c r="G264" s="2" t="s">
        <v>27</v>
      </c>
      <c r="H264" s="14"/>
      <c r="I264" s="14"/>
      <c r="J264" s="14"/>
      <c r="M264" s="2" t="s">
        <v>646</v>
      </c>
      <c r="P264" s="2" t="s">
        <v>647</v>
      </c>
      <c r="Q264" s="1" t="e">
        <f t="shared" si="13"/>
        <v>#REF!</v>
      </c>
    </row>
    <row r="265" spans="1:17" ht="12" customHeight="1" outlineLevel="5" x14ac:dyDescent="0.35">
      <c r="A265" s="3" t="str">
        <f t="shared" si="14"/>
        <v>CC413B</v>
      </c>
      <c r="B265" s="4">
        <v>5</v>
      </c>
      <c r="C265" s="3" t="s">
        <v>24</v>
      </c>
      <c r="D265" s="3" t="s">
        <v>193</v>
      </c>
      <c r="E265" s="17" t="s">
        <v>648</v>
      </c>
      <c r="F265" s="4"/>
      <c r="G265" s="3" t="s">
        <v>22</v>
      </c>
      <c r="H265" s="16" t="s">
        <v>477</v>
      </c>
      <c r="I265" s="15"/>
      <c r="J265" s="15"/>
      <c r="K265" s="4"/>
      <c r="L265" s="4" t="s">
        <v>1195</v>
      </c>
      <c r="M265" s="3" t="s">
        <v>649</v>
      </c>
      <c r="N265" s="4"/>
      <c r="O265" s="4"/>
      <c r="P265" s="3" t="s">
        <v>650</v>
      </c>
      <c r="Q265" s="1" t="e">
        <f t="shared" si="13"/>
        <v>#REF!</v>
      </c>
    </row>
    <row r="266" spans="1:17" ht="12" customHeight="1" outlineLevel="6" x14ac:dyDescent="0.35">
      <c r="A266" s="2" t="str">
        <f t="shared" si="14"/>
        <v>CC413B</v>
      </c>
      <c r="B266" s="1">
        <v>6</v>
      </c>
      <c r="C266" s="1" t="s">
        <v>19</v>
      </c>
      <c r="D266" s="2" t="s">
        <v>25</v>
      </c>
      <c r="E266" s="18" t="s">
        <v>56</v>
      </c>
      <c r="F266" s="7" t="s">
        <v>57</v>
      </c>
      <c r="G266" s="2" t="s">
        <v>27</v>
      </c>
      <c r="H266" s="7" t="s">
        <v>393</v>
      </c>
      <c r="I266" s="14"/>
      <c r="J266" s="14"/>
      <c r="M266" s="2" t="s">
        <v>58</v>
      </c>
      <c r="P266" s="2" t="s">
        <v>59</v>
      </c>
      <c r="Q266" s="1" t="e">
        <f t="shared" si="13"/>
        <v>#REF!</v>
      </c>
    </row>
    <row r="267" spans="1:17" ht="12" customHeight="1" outlineLevel="6" x14ac:dyDescent="0.35">
      <c r="A267" s="2" t="str">
        <f t="shared" si="14"/>
        <v>CC413B</v>
      </c>
      <c r="B267" s="1">
        <v>6</v>
      </c>
      <c r="C267" s="1" t="s">
        <v>19</v>
      </c>
      <c r="D267" s="2" t="s">
        <v>25</v>
      </c>
      <c r="E267" s="18" t="s">
        <v>648</v>
      </c>
      <c r="F267" s="7" t="s">
        <v>60</v>
      </c>
      <c r="G267" s="2" t="s">
        <v>27</v>
      </c>
      <c r="H267" s="7" t="s">
        <v>477</v>
      </c>
      <c r="I267" s="14"/>
      <c r="J267" s="14"/>
      <c r="M267" s="2" t="s">
        <v>651</v>
      </c>
      <c r="P267" s="2" t="s">
        <v>652</v>
      </c>
      <c r="Q267" s="1" t="e">
        <f t="shared" si="13"/>
        <v>#REF!</v>
      </c>
    </row>
    <row r="268" spans="1:17" ht="12" customHeight="1" outlineLevel="6" x14ac:dyDescent="0.35">
      <c r="A268" s="2" t="str">
        <f t="shared" si="14"/>
        <v>CC413B</v>
      </c>
      <c r="B268" s="1">
        <v>6</v>
      </c>
      <c r="C268" s="1" t="s">
        <v>19</v>
      </c>
      <c r="D268" s="2" t="s">
        <v>30</v>
      </c>
      <c r="E268" s="18" t="s">
        <v>142</v>
      </c>
      <c r="F268" s="7" t="s">
        <v>50</v>
      </c>
      <c r="G268" s="2" t="s">
        <v>396</v>
      </c>
      <c r="H268" s="7" t="s">
        <v>748</v>
      </c>
      <c r="I268" s="7" t="s">
        <v>493</v>
      </c>
      <c r="J268" s="7" t="s">
        <v>416</v>
      </c>
      <c r="M268" s="2" t="s">
        <v>143</v>
      </c>
      <c r="P268" s="2" t="s">
        <v>52</v>
      </c>
      <c r="Q268" s="1" t="e">
        <f t="shared" si="13"/>
        <v>#REF!</v>
      </c>
    </row>
    <row r="269" spans="1:17" ht="12" customHeight="1" outlineLevel="4" x14ac:dyDescent="0.35">
      <c r="A269" s="3" t="str">
        <f t="shared" si="14"/>
        <v>CC413B</v>
      </c>
      <c r="B269" s="4">
        <v>4</v>
      </c>
      <c r="C269" s="3" t="s">
        <v>24</v>
      </c>
      <c r="D269" s="3" t="s">
        <v>30</v>
      </c>
      <c r="E269" s="12" t="s">
        <v>340</v>
      </c>
      <c r="F269" s="4"/>
      <c r="G269" s="3" t="s">
        <v>22</v>
      </c>
      <c r="H269" s="15"/>
      <c r="I269" s="15"/>
      <c r="J269" s="15"/>
      <c r="K269" s="4"/>
      <c r="L269" s="4"/>
      <c r="M269" s="3" t="s">
        <v>341</v>
      </c>
      <c r="N269" s="4"/>
      <c r="O269" s="4"/>
      <c r="P269" s="3" t="s">
        <v>654</v>
      </c>
      <c r="Q269" s="1" t="e">
        <f>IF($B269=0,$M269,_xlfn.TEXTBEFORE(#REF!,"/",$B269,,,#REF!)&amp;"/"&amp;$M269)&amp;IF(_xlfn.TEXTAFTER($D269,"..",,,,1)&lt;&gt;"1","[0]","")</f>
        <v>#REF!</v>
      </c>
    </row>
    <row r="270" spans="1:17" ht="12" customHeight="1" outlineLevel="5" x14ac:dyDescent="0.35">
      <c r="A270" s="2" t="str">
        <f t="shared" ref="A270:A300" si="15">$E$2</f>
        <v>CC413B</v>
      </c>
      <c r="B270" s="1">
        <v>5</v>
      </c>
      <c r="C270" s="1" t="s">
        <v>19</v>
      </c>
      <c r="D270" s="2" t="s">
        <v>30</v>
      </c>
      <c r="E270" s="13" t="s">
        <v>310</v>
      </c>
      <c r="F270" s="7" t="s">
        <v>311</v>
      </c>
      <c r="G270" s="2" t="s">
        <v>22</v>
      </c>
      <c r="H270" s="7" t="s">
        <v>551</v>
      </c>
      <c r="I270" s="14"/>
      <c r="J270" s="14"/>
      <c r="L270" s="1" t="s">
        <v>1107</v>
      </c>
      <c r="M270" s="2" t="s">
        <v>312</v>
      </c>
      <c r="P270" s="2" t="s">
        <v>313</v>
      </c>
      <c r="Q270" s="1" t="e">
        <f t="shared" si="13"/>
        <v>#REF!</v>
      </c>
    </row>
    <row r="271" spans="1:17" ht="12" customHeight="1" outlineLevel="5" x14ac:dyDescent="0.35">
      <c r="A271" s="2" t="str">
        <f t="shared" si="15"/>
        <v>CC413B</v>
      </c>
      <c r="B271" s="1">
        <v>5</v>
      </c>
      <c r="C271" s="1" t="s">
        <v>19</v>
      </c>
      <c r="D271" s="2" t="s">
        <v>30</v>
      </c>
      <c r="E271" s="13" t="s">
        <v>655</v>
      </c>
      <c r="F271" s="7" t="s">
        <v>311</v>
      </c>
      <c r="G271" s="2" t="s">
        <v>396</v>
      </c>
      <c r="H271" s="7" t="s">
        <v>759</v>
      </c>
      <c r="I271" s="7" t="s">
        <v>656</v>
      </c>
      <c r="J271" s="14"/>
      <c r="L271" s="1" t="s">
        <v>1160</v>
      </c>
      <c r="M271" s="2" t="s">
        <v>657</v>
      </c>
      <c r="P271" s="2" t="s">
        <v>313</v>
      </c>
      <c r="Q271" s="1" t="e">
        <f t="shared" si="13"/>
        <v>#REF!</v>
      </c>
    </row>
    <row r="272" spans="1:17" ht="12" customHeight="1" outlineLevel="5" x14ac:dyDescent="0.35">
      <c r="A272" s="2" t="str">
        <f t="shared" si="15"/>
        <v>CC413B</v>
      </c>
      <c r="B272" s="1">
        <v>5</v>
      </c>
      <c r="C272" s="1" t="s">
        <v>19</v>
      </c>
      <c r="D272" s="2" t="s">
        <v>30</v>
      </c>
      <c r="E272" s="13" t="s">
        <v>658</v>
      </c>
      <c r="F272" s="7" t="s">
        <v>311</v>
      </c>
      <c r="G272" s="2" t="s">
        <v>396</v>
      </c>
      <c r="H272" s="7" t="s">
        <v>761</v>
      </c>
      <c r="I272" s="7" t="s">
        <v>760</v>
      </c>
      <c r="J272" s="14"/>
      <c r="L272" s="1" t="s">
        <v>1161</v>
      </c>
      <c r="M272" s="2" t="s">
        <v>659</v>
      </c>
      <c r="P272" s="2" t="s">
        <v>313</v>
      </c>
      <c r="Q272" s="1" t="e">
        <f t="shared" si="13"/>
        <v>#REF!</v>
      </c>
    </row>
    <row r="273" spans="1:17" ht="12" customHeight="1" outlineLevel="4" x14ac:dyDescent="0.35">
      <c r="A273" s="3" t="str">
        <f t="shared" si="15"/>
        <v>CC413B</v>
      </c>
      <c r="B273" s="4">
        <v>4</v>
      </c>
      <c r="C273" s="3" t="s">
        <v>24</v>
      </c>
      <c r="D273" s="3" t="s">
        <v>30</v>
      </c>
      <c r="E273" s="12" t="s">
        <v>660</v>
      </c>
      <c r="F273" s="4"/>
      <c r="G273" s="3" t="s">
        <v>396</v>
      </c>
      <c r="H273" s="16" t="s">
        <v>661</v>
      </c>
      <c r="I273" s="16" t="s">
        <v>662</v>
      </c>
      <c r="J273" s="15"/>
      <c r="K273" s="4"/>
      <c r="L273" s="4" t="s">
        <v>1162</v>
      </c>
      <c r="M273" s="3" t="s">
        <v>663</v>
      </c>
      <c r="N273" s="4"/>
      <c r="O273" s="4"/>
      <c r="P273" s="3" t="s">
        <v>664</v>
      </c>
      <c r="Q273" s="1" t="e">
        <f t="shared" si="13"/>
        <v>#REF!</v>
      </c>
    </row>
    <row r="274" spans="1:17" ht="12" customHeight="1" outlineLevel="5" x14ac:dyDescent="0.35">
      <c r="A274" s="2" t="str">
        <f t="shared" si="15"/>
        <v>CC413B</v>
      </c>
      <c r="B274" s="1">
        <v>5</v>
      </c>
      <c r="C274" s="1" t="s">
        <v>19</v>
      </c>
      <c r="D274" s="2" t="s">
        <v>25</v>
      </c>
      <c r="E274" s="13" t="s">
        <v>665</v>
      </c>
      <c r="F274" s="7" t="s">
        <v>152</v>
      </c>
      <c r="G274" s="2" t="s">
        <v>27</v>
      </c>
      <c r="H274" s="7" t="s">
        <v>419</v>
      </c>
      <c r="I274" s="14"/>
      <c r="J274" s="14"/>
      <c r="L274" s="1" t="s">
        <v>1163</v>
      </c>
      <c r="M274" s="2" t="s">
        <v>666</v>
      </c>
      <c r="P274" s="2" t="s">
        <v>154</v>
      </c>
      <c r="Q274" s="1" t="e">
        <f t="shared" si="13"/>
        <v>#REF!</v>
      </c>
    </row>
    <row r="275" spans="1:17" ht="12" customHeight="1" outlineLevel="4" x14ac:dyDescent="0.35">
      <c r="A275" s="3" t="str">
        <f t="shared" si="15"/>
        <v>CC413B</v>
      </c>
      <c r="B275" s="4">
        <v>4</v>
      </c>
      <c r="C275" s="3" t="s">
        <v>24</v>
      </c>
      <c r="D275" s="3" t="s">
        <v>30</v>
      </c>
      <c r="E275" s="12" t="s">
        <v>667</v>
      </c>
      <c r="F275" s="4"/>
      <c r="G275" s="3" t="s">
        <v>396</v>
      </c>
      <c r="H275" s="15" t="s">
        <v>762</v>
      </c>
      <c r="I275" s="16" t="s">
        <v>668</v>
      </c>
      <c r="J275" s="15"/>
      <c r="K275" s="4"/>
      <c r="L275" s="4" t="s">
        <v>1164</v>
      </c>
      <c r="M275" s="3" t="s">
        <v>669</v>
      </c>
      <c r="N275" s="4"/>
      <c r="O275" s="4"/>
      <c r="P275" s="3" t="s">
        <v>670</v>
      </c>
      <c r="Q275" s="1" t="e">
        <f t="shared" si="13"/>
        <v>#REF!</v>
      </c>
    </row>
    <row r="276" spans="1:17" ht="12" customHeight="1" outlineLevel="5" x14ac:dyDescent="0.35">
      <c r="A276" s="2" t="str">
        <f t="shared" si="15"/>
        <v>CC413B</v>
      </c>
      <c r="B276" s="1">
        <v>5</v>
      </c>
      <c r="C276" s="1" t="s">
        <v>19</v>
      </c>
      <c r="D276" s="2" t="s">
        <v>30</v>
      </c>
      <c r="E276" s="13" t="s">
        <v>671</v>
      </c>
      <c r="F276" s="7" t="s">
        <v>672</v>
      </c>
      <c r="G276" s="2" t="s">
        <v>396</v>
      </c>
      <c r="H276" s="7" t="s">
        <v>673</v>
      </c>
      <c r="I276" s="7" t="s">
        <v>668</v>
      </c>
      <c r="J276" s="7" t="s">
        <v>674</v>
      </c>
      <c r="L276" s="1" t="s">
        <v>1165</v>
      </c>
      <c r="M276" s="2" t="s">
        <v>675</v>
      </c>
      <c r="P276" s="2" t="s">
        <v>676</v>
      </c>
      <c r="Q276" s="1" t="e">
        <f t="shared" si="13"/>
        <v>#REF!</v>
      </c>
    </row>
    <row r="277" spans="1:17" ht="12" customHeight="1" outlineLevel="5" x14ac:dyDescent="0.35">
      <c r="A277" s="2" t="str">
        <f t="shared" si="15"/>
        <v>CC413B</v>
      </c>
      <c r="B277" s="1">
        <v>5</v>
      </c>
      <c r="C277" s="1" t="s">
        <v>19</v>
      </c>
      <c r="D277" s="2" t="s">
        <v>30</v>
      </c>
      <c r="E277" s="13" t="s">
        <v>677</v>
      </c>
      <c r="F277" s="7" t="s">
        <v>152</v>
      </c>
      <c r="G277" s="2" t="s">
        <v>22</v>
      </c>
      <c r="H277" s="7" t="s">
        <v>763</v>
      </c>
      <c r="I277" s="14"/>
      <c r="J277" s="14"/>
      <c r="L277" s="1" t="s">
        <v>1166</v>
      </c>
      <c r="M277" s="2" t="s">
        <v>678</v>
      </c>
      <c r="P277" s="2" t="s">
        <v>154</v>
      </c>
      <c r="Q277" s="1" t="e">
        <f t="shared" si="13"/>
        <v>#REF!</v>
      </c>
    </row>
    <row r="278" spans="1:17" ht="12" customHeight="1" outlineLevel="5" x14ac:dyDescent="0.35">
      <c r="A278" s="3" t="str">
        <f t="shared" si="15"/>
        <v>CC413B</v>
      </c>
      <c r="B278" s="4">
        <v>5</v>
      </c>
      <c r="C278" s="3" t="s">
        <v>24</v>
      </c>
      <c r="D278" s="3" t="s">
        <v>193</v>
      </c>
      <c r="E278" s="17" t="s">
        <v>679</v>
      </c>
      <c r="F278" s="4"/>
      <c r="G278" s="3" t="s">
        <v>396</v>
      </c>
      <c r="H278" s="16" t="s">
        <v>765</v>
      </c>
      <c r="I278" s="15" t="s">
        <v>764</v>
      </c>
      <c r="J278" s="15"/>
      <c r="K278" s="4"/>
      <c r="L278" s="4" t="s">
        <v>1167</v>
      </c>
      <c r="M278" s="3" t="s">
        <v>681</v>
      </c>
      <c r="N278" s="4"/>
      <c r="O278" s="4"/>
      <c r="P278" s="3" t="s">
        <v>682</v>
      </c>
      <c r="Q278" s="1" t="e">
        <f t="shared" si="13"/>
        <v>#REF!</v>
      </c>
    </row>
    <row r="279" spans="1:17" ht="12" customHeight="1" outlineLevel="6" x14ac:dyDescent="0.35">
      <c r="A279" s="2" t="str">
        <f t="shared" si="15"/>
        <v>CC413B</v>
      </c>
      <c r="B279" s="1">
        <v>6</v>
      </c>
      <c r="C279" s="1" t="s">
        <v>19</v>
      </c>
      <c r="D279" s="2" t="s">
        <v>25</v>
      </c>
      <c r="E279" s="18" t="s">
        <v>56</v>
      </c>
      <c r="F279" s="7" t="s">
        <v>57</v>
      </c>
      <c r="G279" s="2" t="s">
        <v>27</v>
      </c>
      <c r="H279" s="7" t="s">
        <v>393</v>
      </c>
      <c r="I279" s="14"/>
      <c r="J279" s="14"/>
      <c r="M279" s="2" t="s">
        <v>58</v>
      </c>
      <c r="P279" s="2" t="s">
        <v>59</v>
      </c>
      <c r="Q279" s="1" t="e">
        <f t="shared" si="13"/>
        <v>#REF!</v>
      </c>
    </row>
    <row r="280" spans="1:17" ht="12" customHeight="1" outlineLevel="6" x14ac:dyDescent="0.35">
      <c r="A280" s="2" t="str">
        <f t="shared" si="15"/>
        <v>CC413B</v>
      </c>
      <c r="B280" s="1">
        <v>6</v>
      </c>
      <c r="C280" s="1" t="s">
        <v>19</v>
      </c>
      <c r="D280" s="2" t="s">
        <v>30</v>
      </c>
      <c r="E280" s="18" t="s">
        <v>683</v>
      </c>
      <c r="F280" s="7" t="s">
        <v>333</v>
      </c>
      <c r="G280" s="2" t="s">
        <v>22</v>
      </c>
      <c r="H280" s="7" t="s">
        <v>680</v>
      </c>
      <c r="I280" s="14"/>
      <c r="J280" s="7" t="s">
        <v>684</v>
      </c>
      <c r="L280" s="1" t="s">
        <v>1168</v>
      </c>
      <c r="M280" s="2" t="s">
        <v>685</v>
      </c>
      <c r="P280" s="2" t="s">
        <v>686</v>
      </c>
      <c r="Q280" s="1" t="e">
        <f t="shared" si="13"/>
        <v>#REF!</v>
      </c>
    </row>
    <row r="281" spans="1:17" ht="12" customHeight="1" outlineLevel="6" x14ac:dyDescent="0.35">
      <c r="A281" s="2" t="str">
        <f t="shared" si="15"/>
        <v>CC413B</v>
      </c>
      <c r="B281" s="1">
        <v>6</v>
      </c>
      <c r="C281" s="1" t="s">
        <v>19</v>
      </c>
      <c r="D281" s="2" t="s">
        <v>30</v>
      </c>
      <c r="E281" s="18" t="s">
        <v>142</v>
      </c>
      <c r="F281" s="7" t="s">
        <v>50</v>
      </c>
      <c r="G281" s="2" t="s">
        <v>396</v>
      </c>
      <c r="H281" s="7" t="s">
        <v>748</v>
      </c>
      <c r="I281" s="7" t="s">
        <v>493</v>
      </c>
      <c r="J281" s="7" t="s">
        <v>416</v>
      </c>
      <c r="M281" s="2" t="s">
        <v>143</v>
      </c>
      <c r="P281" s="2" t="s">
        <v>52</v>
      </c>
      <c r="Q281" s="1" t="e">
        <f t="shared" si="13"/>
        <v>#REF!</v>
      </c>
    </row>
    <row r="282" spans="1:17" ht="12" customHeight="1" outlineLevel="6" x14ac:dyDescent="0.35">
      <c r="A282" s="2" t="str">
        <f t="shared" si="15"/>
        <v>CC413B</v>
      </c>
      <c r="B282" s="1">
        <v>6</v>
      </c>
      <c r="C282" s="1" t="s">
        <v>19</v>
      </c>
      <c r="D282" s="2" t="s">
        <v>30</v>
      </c>
      <c r="E282" s="18" t="s">
        <v>687</v>
      </c>
      <c r="F282" s="7" t="s">
        <v>152</v>
      </c>
      <c r="G282" s="2" t="s">
        <v>22</v>
      </c>
      <c r="H282" s="7" t="s">
        <v>419</v>
      </c>
      <c r="I282" s="14"/>
      <c r="J282" s="14"/>
      <c r="L282" s="1" t="s">
        <v>1169</v>
      </c>
      <c r="M282" s="2" t="s">
        <v>688</v>
      </c>
      <c r="P282" s="2" t="s">
        <v>154</v>
      </c>
      <c r="Q282" s="1" t="e">
        <f t="shared" si="13"/>
        <v>#REF!</v>
      </c>
    </row>
    <row r="283" spans="1:17" ht="12" customHeight="1" outlineLevel="6" x14ac:dyDescent="0.35">
      <c r="A283" s="2" t="str">
        <f t="shared" si="15"/>
        <v>CC413B</v>
      </c>
      <c r="B283" s="1">
        <v>6</v>
      </c>
      <c r="C283" s="1" t="s">
        <v>19</v>
      </c>
      <c r="D283" s="2" t="s">
        <v>30</v>
      </c>
      <c r="E283" s="18" t="s">
        <v>689</v>
      </c>
      <c r="F283" s="7" t="s">
        <v>44</v>
      </c>
      <c r="G283" s="2" t="s">
        <v>22</v>
      </c>
      <c r="H283" s="7" t="s">
        <v>690</v>
      </c>
      <c r="I283" s="14"/>
      <c r="J283" s="7" t="s">
        <v>691</v>
      </c>
      <c r="L283" s="1" t="s">
        <v>1170</v>
      </c>
      <c r="M283" s="2" t="s">
        <v>692</v>
      </c>
      <c r="P283" s="2" t="s">
        <v>693</v>
      </c>
      <c r="Q283" s="1" t="e">
        <f t="shared" si="13"/>
        <v>#REF!</v>
      </c>
    </row>
    <row r="284" spans="1:17" ht="12" customHeight="1" outlineLevel="6" x14ac:dyDescent="0.35">
      <c r="A284" s="3" t="str">
        <f t="shared" si="15"/>
        <v>CC413B</v>
      </c>
      <c r="B284" s="4">
        <v>6</v>
      </c>
      <c r="C284" s="3" t="s">
        <v>24</v>
      </c>
      <c r="D284" s="3" t="s">
        <v>193</v>
      </c>
      <c r="E284" s="19" t="s">
        <v>694</v>
      </c>
      <c r="F284" s="4"/>
      <c r="G284" s="3" t="s">
        <v>396</v>
      </c>
      <c r="H284" s="16" t="s">
        <v>765</v>
      </c>
      <c r="I284" s="15" t="s">
        <v>764</v>
      </c>
      <c r="J284" s="15"/>
      <c r="K284" s="4"/>
      <c r="L284" s="4" t="s">
        <v>1171</v>
      </c>
      <c r="M284" s="3" t="s">
        <v>695</v>
      </c>
      <c r="N284" s="4"/>
      <c r="O284" s="4"/>
      <c r="P284" s="3" t="s">
        <v>696</v>
      </c>
      <c r="Q284" s="1" t="e">
        <f t="shared" si="13"/>
        <v>#REF!</v>
      </c>
    </row>
    <row r="285" spans="1:17" ht="12" customHeight="1" outlineLevel="7" x14ac:dyDescent="0.35">
      <c r="A285" s="2" t="str">
        <f t="shared" si="15"/>
        <v>CC413B</v>
      </c>
      <c r="B285" s="1">
        <v>7</v>
      </c>
      <c r="C285" s="1" t="s">
        <v>19</v>
      </c>
      <c r="D285" s="2" t="s">
        <v>25</v>
      </c>
      <c r="E285" s="20" t="s">
        <v>56</v>
      </c>
      <c r="F285" s="7" t="s">
        <v>57</v>
      </c>
      <c r="G285" s="2" t="s">
        <v>27</v>
      </c>
      <c r="H285" s="7" t="s">
        <v>393</v>
      </c>
      <c r="I285" s="14"/>
      <c r="J285" s="14"/>
      <c r="M285" s="2" t="s">
        <v>58</v>
      </c>
      <c r="P285" s="2" t="s">
        <v>59</v>
      </c>
      <c r="Q285" s="1" t="e">
        <f t="shared" ref="Q285:Q339" si="16">IF($B285=0,$M285,_xlfn.TEXTBEFORE(Q284,"/",$B285,,,Q284)&amp;"/"&amp;$M285)&amp;IF(_xlfn.TEXTAFTER($D285,"..",,,,1)&lt;&gt;"1","[0]","")</f>
        <v>#REF!</v>
      </c>
    </row>
    <row r="286" spans="1:17" ht="12" customHeight="1" outlineLevel="7" x14ac:dyDescent="0.35">
      <c r="A286" s="2" t="str">
        <f t="shared" si="15"/>
        <v>CC413B</v>
      </c>
      <c r="B286" s="1">
        <v>7</v>
      </c>
      <c r="C286" s="1" t="s">
        <v>19</v>
      </c>
      <c r="D286" s="2" t="s">
        <v>30</v>
      </c>
      <c r="E286" s="20" t="s">
        <v>697</v>
      </c>
      <c r="F286" s="7" t="s">
        <v>698</v>
      </c>
      <c r="G286" s="2" t="s">
        <v>22</v>
      </c>
      <c r="H286" s="7" t="s">
        <v>680</v>
      </c>
      <c r="I286" s="14"/>
      <c r="J286" s="14"/>
      <c r="L286" s="1" t="s">
        <v>1172</v>
      </c>
      <c r="M286" s="2" t="s">
        <v>699</v>
      </c>
      <c r="P286" s="2" t="s">
        <v>700</v>
      </c>
      <c r="Q286" s="1" t="e">
        <f t="shared" si="16"/>
        <v>#REF!</v>
      </c>
    </row>
    <row r="287" spans="1:17" ht="12" customHeight="1" outlineLevel="7" x14ac:dyDescent="0.35">
      <c r="A287" s="2" t="str">
        <f t="shared" si="15"/>
        <v>CC413B</v>
      </c>
      <c r="B287" s="1">
        <v>7</v>
      </c>
      <c r="C287" s="1" t="s">
        <v>19</v>
      </c>
      <c r="D287" s="2" t="s">
        <v>30</v>
      </c>
      <c r="E287" s="20" t="s">
        <v>353</v>
      </c>
      <c r="F287" s="7" t="s">
        <v>60</v>
      </c>
      <c r="G287" s="2" t="s">
        <v>396</v>
      </c>
      <c r="H287" s="7" t="s">
        <v>766</v>
      </c>
      <c r="I287" s="7" t="s">
        <v>701</v>
      </c>
      <c r="J287" s="14"/>
      <c r="L287" s="1" t="s">
        <v>1173</v>
      </c>
      <c r="M287" s="2" t="s">
        <v>354</v>
      </c>
      <c r="P287" s="2" t="s">
        <v>355</v>
      </c>
      <c r="Q287" s="1" t="e">
        <f t="shared" si="16"/>
        <v>#REF!</v>
      </c>
    </row>
    <row r="288" spans="1:17" ht="12" customHeight="1" outlineLevel="7" x14ac:dyDescent="0.35">
      <c r="A288" s="2" t="str">
        <f t="shared" si="15"/>
        <v>CC413B</v>
      </c>
      <c r="B288" s="1">
        <v>7</v>
      </c>
      <c r="C288" s="1" t="s">
        <v>19</v>
      </c>
      <c r="D288" s="2" t="s">
        <v>30</v>
      </c>
      <c r="E288" s="20" t="s">
        <v>356</v>
      </c>
      <c r="F288" s="7" t="s">
        <v>50</v>
      </c>
      <c r="G288" s="2" t="s">
        <v>396</v>
      </c>
      <c r="H288" s="7" t="s">
        <v>748</v>
      </c>
      <c r="I288" s="7" t="s">
        <v>493</v>
      </c>
      <c r="J288" s="7" t="s">
        <v>416</v>
      </c>
      <c r="M288" s="2" t="s">
        <v>357</v>
      </c>
      <c r="P288" s="2" t="s">
        <v>52</v>
      </c>
      <c r="Q288" s="1" t="e">
        <f t="shared" si="16"/>
        <v>#REF!</v>
      </c>
    </row>
    <row r="289" spans="1:17" ht="12" customHeight="1" outlineLevel="7" x14ac:dyDescent="0.35">
      <c r="A289" s="2" t="str">
        <f t="shared" si="15"/>
        <v>CC413B</v>
      </c>
      <c r="B289" s="1">
        <v>7</v>
      </c>
      <c r="C289" s="1" t="s">
        <v>19</v>
      </c>
      <c r="D289" s="2" t="s">
        <v>30</v>
      </c>
      <c r="E289" s="20" t="s">
        <v>358</v>
      </c>
      <c r="F289" s="7" t="s">
        <v>311</v>
      </c>
      <c r="G289" s="2" t="s">
        <v>396</v>
      </c>
      <c r="H289" s="14"/>
      <c r="I289" s="7" t="s">
        <v>702</v>
      </c>
      <c r="J289" s="14"/>
      <c r="L289" s="1" t="s">
        <v>1174</v>
      </c>
      <c r="M289" s="2" t="s">
        <v>359</v>
      </c>
      <c r="P289" s="2" t="s">
        <v>313</v>
      </c>
      <c r="Q289" s="1" t="e">
        <f t="shared" si="16"/>
        <v>#REF!</v>
      </c>
    </row>
    <row r="290" spans="1:17" ht="12" customHeight="1" outlineLevel="7" x14ac:dyDescent="0.35">
      <c r="A290" s="2" t="str">
        <f t="shared" si="15"/>
        <v>CC413B</v>
      </c>
      <c r="B290" s="1">
        <v>7</v>
      </c>
      <c r="C290" s="1" t="s">
        <v>19</v>
      </c>
      <c r="D290" s="2" t="s">
        <v>30</v>
      </c>
      <c r="E290" s="20" t="s">
        <v>524</v>
      </c>
      <c r="F290" s="7" t="s">
        <v>181</v>
      </c>
      <c r="G290" s="2" t="s">
        <v>396</v>
      </c>
      <c r="H290" s="14"/>
      <c r="I290" s="7" t="s">
        <v>703</v>
      </c>
      <c r="J290" s="14"/>
      <c r="L290" s="1" t="s">
        <v>1175</v>
      </c>
      <c r="M290" s="2" t="s">
        <v>525</v>
      </c>
      <c r="P290" s="2" t="s">
        <v>183</v>
      </c>
      <c r="Q290" s="1" t="e">
        <f t="shared" si="16"/>
        <v>#REF!</v>
      </c>
    </row>
    <row r="291" spans="1:17" ht="12" customHeight="1" outlineLevel="7" x14ac:dyDescent="0.35">
      <c r="A291" s="2" t="str">
        <f t="shared" si="15"/>
        <v>CC413B</v>
      </c>
      <c r="B291" s="1">
        <v>7</v>
      </c>
      <c r="C291" s="1" t="s">
        <v>19</v>
      </c>
      <c r="D291" s="2" t="s">
        <v>30</v>
      </c>
      <c r="E291" s="20" t="s">
        <v>704</v>
      </c>
      <c r="F291" s="7" t="s">
        <v>181</v>
      </c>
      <c r="G291" s="2" t="s">
        <v>22</v>
      </c>
      <c r="H291" s="7" t="s">
        <v>705</v>
      </c>
      <c r="I291" s="14"/>
      <c r="J291" s="14"/>
      <c r="L291" s="1" t="s">
        <v>1176</v>
      </c>
      <c r="M291" s="2" t="s">
        <v>706</v>
      </c>
      <c r="P291" s="2" t="s">
        <v>183</v>
      </c>
      <c r="Q291" s="1" t="e">
        <f>IF($B291=0,$M291,_xlfn.TEXTBEFORE(#REF!,"/",$B291,,,#REF!)&amp;"/"&amp;$M291)&amp;IF(_xlfn.TEXTAFTER($D291,"..",,,,1)&lt;&gt;"1","[0]","")</f>
        <v>#REF!</v>
      </c>
    </row>
    <row r="292" spans="1:17" ht="12" customHeight="1" outlineLevel="3" x14ac:dyDescent="0.35">
      <c r="A292" s="3" t="str">
        <f t="shared" si="15"/>
        <v>CC413B</v>
      </c>
      <c r="B292" s="4">
        <v>3</v>
      </c>
      <c r="C292" s="3" t="s">
        <v>24</v>
      </c>
      <c r="D292" s="3" t="s">
        <v>134</v>
      </c>
      <c r="E292" s="10" t="s">
        <v>343</v>
      </c>
      <c r="F292" s="4"/>
      <c r="G292" s="3" t="s">
        <v>27</v>
      </c>
      <c r="H292" s="15"/>
      <c r="I292" s="15"/>
      <c r="J292" s="15"/>
      <c r="K292" s="4"/>
      <c r="L292" s="4" t="s">
        <v>1177</v>
      </c>
      <c r="M292" s="3" t="s">
        <v>343</v>
      </c>
      <c r="N292" s="4"/>
      <c r="O292" s="4"/>
      <c r="P292" s="3" t="s">
        <v>707</v>
      </c>
      <c r="Q292" s="1" t="e">
        <f t="shared" si="16"/>
        <v>#REF!</v>
      </c>
    </row>
    <row r="293" spans="1:17" ht="12" customHeight="1" outlineLevel="4" x14ac:dyDescent="0.35">
      <c r="A293" s="2" t="str">
        <f t="shared" si="15"/>
        <v>CC413B</v>
      </c>
      <c r="B293" s="1">
        <v>4</v>
      </c>
      <c r="C293" s="1" t="s">
        <v>19</v>
      </c>
      <c r="D293" s="2" t="s">
        <v>30</v>
      </c>
      <c r="E293" s="11" t="s">
        <v>56</v>
      </c>
      <c r="F293" s="7" t="s">
        <v>57</v>
      </c>
      <c r="G293" s="2" t="s">
        <v>22</v>
      </c>
      <c r="H293" s="7" t="s">
        <v>393</v>
      </c>
      <c r="I293" s="14"/>
      <c r="J293" s="14"/>
      <c r="M293" s="2" t="s">
        <v>58</v>
      </c>
      <c r="P293" s="2" t="s">
        <v>59</v>
      </c>
      <c r="Q293" s="1" t="e">
        <f t="shared" si="16"/>
        <v>#REF!</v>
      </c>
    </row>
    <row r="294" spans="1:17" ht="12" customHeight="1" outlineLevel="4" x14ac:dyDescent="0.35">
      <c r="A294" s="2" t="str">
        <f t="shared" si="15"/>
        <v>CC413B</v>
      </c>
      <c r="B294" s="1">
        <v>4</v>
      </c>
      <c r="C294" s="1" t="s">
        <v>19</v>
      </c>
      <c r="D294" s="2" t="s">
        <v>30</v>
      </c>
      <c r="E294" s="11" t="s">
        <v>345</v>
      </c>
      <c r="F294" s="7" t="s">
        <v>325</v>
      </c>
      <c r="G294" s="2" t="s">
        <v>22</v>
      </c>
      <c r="H294" s="14"/>
      <c r="I294" s="14"/>
      <c r="J294" s="7" t="s">
        <v>708</v>
      </c>
      <c r="L294" s="1" t="s">
        <v>1178</v>
      </c>
      <c r="M294" s="2" t="s">
        <v>346</v>
      </c>
      <c r="P294" s="2" t="s">
        <v>347</v>
      </c>
      <c r="Q294" s="1" t="e">
        <f t="shared" si="16"/>
        <v>#REF!</v>
      </c>
    </row>
    <row r="295" spans="1:17" ht="12" customHeight="1" outlineLevel="4" x14ac:dyDescent="0.35">
      <c r="A295" s="2" t="str">
        <f t="shared" si="15"/>
        <v>CC413B</v>
      </c>
      <c r="B295" s="1">
        <v>4</v>
      </c>
      <c r="C295" s="1" t="s">
        <v>19</v>
      </c>
      <c r="D295" s="2" t="s">
        <v>30</v>
      </c>
      <c r="E295" s="11" t="s">
        <v>348</v>
      </c>
      <c r="F295" s="7" t="s">
        <v>349</v>
      </c>
      <c r="G295" s="2" t="s">
        <v>396</v>
      </c>
      <c r="H295" s="7" t="s">
        <v>767</v>
      </c>
      <c r="I295" s="7" t="s">
        <v>709</v>
      </c>
      <c r="J295" s="14"/>
      <c r="L295" s="1" t="s">
        <v>1179</v>
      </c>
      <c r="M295" s="2" t="s">
        <v>350</v>
      </c>
      <c r="P295" s="2" t="s">
        <v>351</v>
      </c>
      <c r="Q295" s="1" t="e">
        <f t="shared" si="16"/>
        <v>#REF!</v>
      </c>
    </row>
    <row r="296" spans="1:17" ht="12" customHeight="1" outlineLevel="4" x14ac:dyDescent="0.35">
      <c r="A296" s="2" t="str">
        <f t="shared" si="15"/>
        <v>CC413B</v>
      </c>
      <c r="B296" s="1">
        <v>4</v>
      </c>
      <c r="C296" s="1" t="s">
        <v>19</v>
      </c>
      <c r="D296" s="2" t="s">
        <v>30</v>
      </c>
      <c r="E296" s="11" t="s">
        <v>710</v>
      </c>
      <c r="F296" s="7" t="s">
        <v>216</v>
      </c>
      <c r="G296" s="2" t="s">
        <v>396</v>
      </c>
      <c r="H296" s="7" t="s">
        <v>711</v>
      </c>
      <c r="I296" s="7" t="s">
        <v>768</v>
      </c>
      <c r="J296" s="14"/>
      <c r="L296" s="1" t="s">
        <v>1180</v>
      </c>
      <c r="M296" s="2" t="s">
        <v>712</v>
      </c>
      <c r="P296" s="2" t="s">
        <v>218</v>
      </c>
      <c r="Q296" s="1" t="e">
        <f t="shared" si="16"/>
        <v>#REF!</v>
      </c>
    </row>
    <row r="297" spans="1:17" ht="12" customHeight="1" outlineLevel="3" x14ac:dyDescent="0.35">
      <c r="A297" s="3" t="str">
        <f t="shared" si="15"/>
        <v>CC413B</v>
      </c>
      <c r="B297" s="4">
        <v>3</v>
      </c>
      <c r="C297" s="3" t="s">
        <v>24</v>
      </c>
      <c r="D297" s="3" t="s">
        <v>193</v>
      </c>
      <c r="E297" s="10" t="s">
        <v>303</v>
      </c>
      <c r="F297" s="4"/>
      <c r="G297" s="3" t="s">
        <v>22</v>
      </c>
      <c r="H297" s="16" t="s">
        <v>769</v>
      </c>
      <c r="I297" s="15"/>
      <c r="J297" s="15"/>
      <c r="K297" s="4"/>
      <c r="L297" s="4" t="s">
        <v>1083</v>
      </c>
      <c r="M297" s="3" t="s">
        <v>304</v>
      </c>
      <c r="N297" s="4"/>
      <c r="O297" s="4"/>
      <c r="P297" s="3" t="s">
        <v>713</v>
      </c>
      <c r="Q297" s="1" t="e">
        <f t="shared" si="16"/>
        <v>#REF!</v>
      </c>
    </row>
    <row r="298" spans="1:17" ht="12" customHeight="1" outlineLevel="4" x14ac:dyDescent="0.35">
      <c r="A298" s="2" t="str">
        <f t="shared" si="15"/>
        <v>CC413B</v>
      </c>
      <c r="B298" s="1">
        <v>4</v>
      </c>
      <c r="C298" s="1" t="s">
        <v>19</v>
      </c>
      <c r="D298" s="2" t="s">
        <v>25</v>
      </c>
      <c r="E298" s="11" t="s">
        <v>56</v>
      </c>
      <c r="F298" s="7" t="s">
        <v>57</v>
      </c>
      <c r="G298" s="2" t="s">
        <v>27</v>
      </c>
      <c r="H298" s="7" t="s">
        <v>393</v>
      </c>
      <c r="I298" s="14"/>
      <c r="J298" s="14"/>
      <c r="M298" s="2" t="s">
        <v>58</v>
      </c>
      <c r="P298" s="2" t="s">
        <v>59</v>
      </c>
      <c r="Q298" s="1" t="e">
        <f t="shared" si="16"/>
        <v>#REF!</v>
      </c>
    </row>
    <row r="299" spans="1:17" ht="12" customHeight="1" outlineLevel="4" x14ac:dyDescent="0.35">
      <c r="A299" s="2" t="str">
        <f t="shared" si="15"/>
        <v>CC413B</v>
      </c>
      <c r="B299" s="1">
        <v>4</v>
      </c>
      <c r="C299" s="1" t="s">
        <v>19</v>
      </c>
      <c r="D299" s="2" t="s">
        <v>25</v>
      </c>
      <c r="E299" s="11" t="s">
        <v>2</v>
      </c>
      <c r="F299" s="7" t="s">
        <v>306</v>
      </c>
      <c r="G299" s="2" t="s">
        <v>27</v>
      </c>
      <c r="H299" s="7" t="s">
        <v>747</v>
      </c>
      <c r="I299" s="14"/>
      <c r="J299" s="7" t="s">
        <v>491</v>
      </c>
      <c r="L299" s="1" t="s">
        <v>1084</v>
      </c>
      <c r="M299" s="2" t="s">
        <v>61</v>
      </c>
      <c r="P299" s="2" t="s">
        <v>307</v>
      </c>
      <c r="Q299" s="1" t="e">
        <f t="shared" si="16"/>
        <v>#REF!</v>
      </c>
    </row>
    <row r="300" spans="1:17" ht="12" customHeight="1" outlineLevel="4" x14ac:dyDescent="0.35">
      <c r="A300" s="2" t="str">
        <f t="shared" si="15"/>
        <v>CC413B</v>
      </c>
      <c r="B300" s="1">
        <v>4</v>
      </c>
      <c r="C300" s="1" t="s">
        <v>19</v>
      </c>
      <c r="D300" s="2" t="s">
        <v>30</v>
      </c>
      <c r="E300" s="11" t="s">
        <v>142</v>
      </c>
      <c r="F300" s="7" t="s">
        <v>50</v>
      </c>
      <c r="G300" s="2" t="s">
        <v>396</v>
      </c>
      <c r="H300" s="7" t="s">
        <v>748</v>
      </c>
      <c r="I300" s="7" t="s">
        <v>493</v>
      </c>
      <c r="J300" s="7" t="s">
        <v>416</v>
      </c>
      <c r="M300" s="2" t="s">
        <v>143</v>
      </c>
      <c r="P300" s="2" t="s">
        <v>52</v>
      </c>
      <c r="Q300" s="1" t="e">
        <f t="shared" si="16"/>
        <v>#REF!</v>
      </c>
    </row>
    <row r="301" spans="1:17" ht="12" customHeight="1" outlineLevel="4" x14ac:dyDescent="0.35">
      <c r="A301" s="2" t="str">
        <f t="shared" ref="A301:A332" si="17">$E$2</f>
        <v>CC413B</v>
      </c>
      <c r="B301" s="1">
        <v>4</v>
      </c>
      <c r="C301" s="1" t="s">
        <v>19</v>
      </c>
      <c r="D301" s="2" t="s">
        <v>25</v>
      </c>
      <c r="E301" s="11" t="s">
        <v>63</v>
      </c>
      <c r="F301" s="7" t="s">
        <v>83</v>
      </c>
      <c r="G301" s="2" t="s">
        <v>27</v>
      </c>
      <c r="H301" s="7" t="s">
        <v>494</v>
      </c>
      <c r="I301" s="14"/>
      <c r="J301" s="14"/>
      <c r="L301" s="1" t="s">
        <v>1085</v>
      </c>
      <c r="M301" s="2" t="s">
        <v>65</v>
      </c>
      <c r="P301" s="2" t="s">
        <v>308</v>
      </c>
      <c r="Q301" s="1" t="e">
        <f t="shared" si="16"/>
        <v>#REF!</v>
      </c>
    </row>
    <row r="302" spans="1:17" ht="12" customHeight="1" outlineLevel="4" x14ac:dyDescent="0.35">
      <c r="A302" s="2" t="str">
        <f t="shared" si="17"/>
        <v>CC413B</v>
      </c>
      <c r="B302" s="1">
        <v>4</v>
      </c>
      <c r="C302" s="1" t="s">
        <v>19</v>
      </c>
      <c r="D302" s="2" t="s">
        <v>30</v>
      </c>
      <c r="E302" s="11" t="s">
        <v>345</v>
      </c>
      <c r="F302" s="7" t="s">
        <v>325</v>
      </c>
      <c r="G302" s="2" t="s">
        <v>22</v>
      </c>
      <c r="H302" s="7" t="s">
        <v>714</v>
      </c>
      <c r="I302" s="14"/>
      <c r="J302" s="7" t="s">
        <v>708</v>
      </c>
      <c r="L302" s="1" t="s">
        <v>1181</v>
      </c>
      <c r="M302" s="2" t="s">
        <v>346</v>
      </c>
      <c r="P302" s="2" t="s">
        <v>347</v>
      </c>
      <c r="Q302" s="1" t="e">
        <f t="shared" si="16"/>
        <v>#REF!</v>
      </c>
    </row>
    <row r="303" spans="1:17" ht="12" customHeight="1" outlineLevel="4" x14ac:dyDescent="0.35">
      <c r="A303" s="2" t="str">
        <f t="shared" si="17"/>
        <v>CC413B</v>
      </c>
      <c r="B303" s="1">
        <v>4</v>
      </c>
      <c r="C303" s="1" t="s">
        <v>19</v>
      </c>
      <c r="D303" s="2" t="s">
        <v>30</v>
      </c>
      <c r="E303" s="11" t="s">
        <v>348</v>
      </c>
      <c r="F303" s="7" t="s">
        <v>349</v>
      </c>
      <c r="G303" s="2" t="s">
        <v>22</v>
      </c>
      <c r="H303" s="7" t="s">
        <v>770</v>
      </c>
      <c r="I303" s="14"/>
      <c r="J303" s="14"/>
      <c r="L303" s="1" t="s">
        <v>1182</v>
      </c>
      <c r="M303" s="2" t="s">
        <v>350</v>
      </c>
      <c r="P303" s="2" t="s">
        <v>351</v>
      </c>
      <c r="Q303" s="1" t="e">
        <f t="shared" si="16"/>
        <v>#REF!</v>
      </c>
    </row>
    <row r="304" spans="1:17" ht="12" customHeight="1" outlineLevel="4" x14ac:dyDescent="0.35">
      <c r="A304" s="2" t="str">
        <f t="shared" si="17"/>
        <v>CC413B</v>
      </c>
      <c r="B304" s="1">
        <v>4</v>
      </c>
      <c r="C304" s="1" t="s">
        <v>19</v>
      </c>
      <c r="D304" s="2" t="s">
        <v>30</v>
      </c>
      <c r="E304" s="11" t="s">
        <v>353</v>
      </c>
      <c r="F304" s="7" t="s">
        <v>60</v>
      </c>
      <c r="G304" s="2" t="s">
        <v>396</v>
      </c>
      <c r="H304" s="7" t="s">
        <v>714</v>
      </c>
      <c r="I304" s="7" t="s">
        <v>701</v>
      </c>
      <c r="J304" s="7" t="s">
        <v>715</v>
      </c>
      <c r="L304" s="1" t="s">
        <v>1183</v>
      </c>
      <c r="M304" s="2" t="s">
        <v>354</v>
      </c>
      <c r="P304" s="2" t="s">
        <v>355</v>
      </c>
      <c r="Q304" s="1" t="e">
        <f t="shared" si="16"/>
        <v>#REF!</v>
      </c>
    </row>
    <row r="305" spans="1:17" ht="12" customHeight="1" outlineLevel="4" x14ac:dyDescent="0.35">
      <c r="A305" s="2" t="str">
        <f t="shared" si="17"/>
        <v>CC413B</v>
      </c>
      <c r="B305" s="1">
        <v>4</v>
      </c>
      <c r="C305" s="1" t="s">
        <v>19</v>
      </c>
      <c r="D305" s="2" t="s">
        <v>30</v>
      </c>
      <c r="E305" s="11" t="s">
        <v>356</v>
      </c>
      <c r="F305" s="7" t="s">
        <v>50</v>
      </c>
      <c r="G305" s="2" t="s">
        <v>396</v>
      </c>
      <c r="H305" s="7" t="s">
        <v>748</v>
      </c>
      <c r="I305" s="7" t="s">
        <v>493</v>
      </c>
      <c r="J305" s="7" t="s">
        <v>416</v>
      </c>
      <c r="M305" s="2" t="s">
        <v>357</v>
      </c>
      <c r="P305" s="2" t="s">
        <v>52</v>
      </c>
      <c r="Q305" s="1" t="e">
        <f t="shared" si="16"/>
        <v>#REF!</v>
      </c>
    </row>
    <row r="306" spans="1:17" ht="12" customHeight="1" outlineLevel="4" x14ac:dyDescent="0.35">
      <c r="A306" s="2" t="str">
        <f t="shared" si="17"/>
        <v>CC413B</v>
      </c>
      <c r="B306" s="1">
        <v>4</v>
      </c>
      <c r="C306" s="1" t="s">
        <v>19</v>
      </c>
      <c r="D306" s="2" t="s">
        <v>30</v>
      </c>
      <c r="E306" s="11" t="s">
        <v>358</v>
      </c>
      <c r="F306" s="7" t="s">
        <v>311</v>
      </c>
      <c r="G306" s="2" t="s">
        <v>22</v>
      </c>
      <c r="H306" s="7" t="s">
        <v>714</v>
      </c>
      <c r="I306" s="14"/>
      <c r="J306" s="14"/>
      <c r="L306" s="1" t="s">
        <v>1184</v>
      </c>
      <c r="M306" s="2" t="s">
        <v>359</v>
      </c>
      <c r="P306" s="2" t="s">
        <v>313</v>
      </c>
      <c r="Q306" s="1" t="e">
        <f t="shared" si="16"/>
        <v>#REF!</v>
      </c>
    </row>
    <row r="307" spans="1:17" ht="12" customHeight="1" outlineLevel="4" x14ac:dyDescent="0.35">
      <c r="A307" s="2" t="str">
        <f t="shared" si="17"/>
        <v>CC413B</v>
      </c>
      <c r="B307" s="1">
        <v>4</v>
      </c>
      <c r="C307" s="1" t="s">
        <v>19</v>
      </c>
      <c r="D307" s="2" t="s">
        <v>30</v>
      </c>
      <c r="E307" s="11" t="s">
        <v>360</v>
      </c>
      <c r="F307" s="7" t="s">
        <v>57</v>
      </c>
      <c r="G307" s="2" t="s">
        <v>22</v>
      </c>
      <c r="H307" s="7" t="s">
        <v>716</v>
      </c>
      <c r="I307" s="14"/>
      <c r="J307" s="14"/>
      <c r="L307" s="1" t="s">
        <v>1185</v>
      </c>
      <c r="M307" s="2" t="s">
        <v>361</v>
      </c>
      <c r="P307" s="2" t="s">
        <v>255</v>
      </c>
      <c r="Q307" s="1" t="e">
        <f t="shared" si="16"/>
        <v>#REF!</v>
      </c>
    </row>
    <row r="308" spans="1:17" ht="12" customHeight="1" outlineLevel="3" x14ac:dyDescent="0.35">
      <c r="A308" s="3" t="str">
        <f t="shared" si="17"/>
        <v>CC413B</v>
      </c>
      <c r="B308" s="4">
        <v>3</v>
      </c>
      <c r="C308" s="3" t="s">
        <v>24</v>
      </c>
      <c r="D308" s="3" t="s">
        <v>193</v>
      </c>
      <c r="E308" s="10" t="s">
        <v>495</v>
      </c>
      <c r="F308" s="4"/>
      <c r="G308" s="3" t="s">
        <v>22</v>
      </c>
      <c r="H308" s="16" t="s">
        <v>489</v>
      </c>
      <c r="I308" s="15"/>
      <c r="J308" s="15"/>
      <c r="K308" s="4"/>
      <c r="L308" s="4" t="s">
        <v>1086</v>
      </c>
      <c r="M308" s="3" t="s">
        <v>496</v>
      </c>
      <c r="N308" s="4"/>
      <c r="O308" s="4"/>
      <c r="P308" s="3" t="s">
        <v>717</v>
      </c>
      <c r="Q308" s="1" t="e">
        <f t="shared" si="16"/>
        <v>#REF!</v>
      </c>
    </row>
    <row r="309" spans="1:17" ht="12" customHeight="1" outlineLevel="4" x14ac:dyDescent="0.35">
      <c r="A309" s="2" t="str">
        <f t="shared" si="17"/>
        <v>CC413B</v>
      </c>
      <c r="B309" s="1">
        <v>4</v>
      </c>
      <c r="C309" s="1" t="s">
        <v>19</v>
      </c>
      <c r="D309" s="2" t="s">
        <v>25</v>
      </c>
      <c r="E309" s="11" t="s">
        <v>56</v>
      </c>
      <c r="F309" s="7" t="s">
        <v>57</v>
      </c>
      <c r="G309" s="2" t="s">
        <v>27</v>
      </c>
      <c r="H309" s="7" t="s">
        <v>393</v>
      </c>
      <c r="I309" s="14"/>
      <c r="J309" s="14"/>
      <c r="M309" s="2" t="s">
        <v>58</v>
      </c>
      <c r="P309" s="2" t="s">
        <v>59</v>
      </c>
      <c r="Q309" s="1" t="e">
        <f t="shared" si="16"/>
        <v>#REF!</v>
      </c>
    </row>
    <row r="310" spans="1:17" ht="12" customHeight="1" outlineLevel="4" x14ac:dyDescent="0.35">
      <c r="A310" s="2" t="str">
        <f t="shared" si="17"/>
        <v>CC413B</v>
      </c>
      <c r="B310" s="1">
        <v>4</v>
      </c>
      <c r="C310" s="1" t="s">
        <v>19</v>
      </c>
      <c r="D310" s="2" t="s">
        <v>25</v>
      </c>
      <c r="E310" s="11" t="s">
        <v>2</v>
      </c>
      <c r="F310" s="7" t="s">
        <v>306</v>
      </c>
      <c r="G310" s="2" t="s">
        <v>27</v>
      </c>
      <c r="H310" s="7" t="s">
        <v>477</v>
      </c>
      <c r="I310" s="14"/>
      <c r="J310" s="7" t="s">
        <v>498</v>
      </c>
      <c r="L310" s="1" t="s">
        <v>1087</v>
      </c>
      <c r="M310" s="2" t="s">
        <v>61</v>
      </c>
      <c r="P310" s="2" t="s">
        <v>307</v>
      </c>
      <c r="Q310" s="1" t="e">
        <f t="shared" si="16"/>
        <v>#REF!</v>
      </c>
    </row>
    <row r="311" spans="1:17" ht="12" customHeight="1" outlineLevel="4" x14ac:dyDescent="0.35">
      <c r="A311" s="2" t="str">
        <f t="shared" si="17"/>
        <v>CC413B</v>
      </c>
      <c r="B311" s="1">
        <v>4</v>
      </c>
      <c r="C311" s="1" t="s">
        <v>19</v>
      </c>
      <c r="D311" s="2" t="s">
        <v>30</v>
      </c>
      <c r="E311" s="11" t="s">
        <v>142</v>
      </c>
      <c r="F311" s="7" t="s">
        <v>50</v>
      </c>
      <c r="G311" s="2" t="s">
        <v>396</v>
      </c>
      <c r="H311" s="7" t="s">
        <v>748</v>
      </c>
      <c r="I311" s="7" t="s">
        <v>493</v>
      </c>
      <c r="J311" s="7" t="s">
        <v>416</v>
      </c>
      <c r="M311" s="2" t="s">
        <v>143</v>
      </c>
      <c r="P311" s="2" t="s">
        <v>52</v>
      </c>
      <c r="Q311" s="1" t="e">
        <f t="shared" si="16"/>
        <v>#REF!</v>
      </c>
    </row>
    <row r="312" spans="1:17" ht="12" customHeight="1" outlineLevel="4" x14ac:dyDescent="0.35">
      <c r="A312" s="2" t="str">
        <f t="shared" si="17"/>
        <v>CC413B</v>
      </c>
      <c r="B312" s="1">
        <v>4</v>
      </c>
      <c r="C312" s="1" t="s">
        <v>19</v>
      </c>
      <c r="D312" s="2" t="s">
        <v>30</v>
      </c>
      <c r="E312" s="11" t="s">
        <v>63</v>
      </c>
      <c r="F312" s="7" t="s">
        <v>83</v>
      </c>
      <c r="G312" s="2" t="s">
        <v>22</v>
      </c>
      <c r="H312" s="7" t="s">
        <v>494</v>
      </c>
      <c r="I312" s="14"/>
      <c r="J312" s="14"/>
      <c r="L312" s="1" t="s">
        <v>1088</v>
      </c>
      <c r="M312" s="2" t="s">
        <v>65</v>
      </c>
      <c r="P312" s="2" t="s">
        <v>308</v>
      </c>
      <c r="Q312" s="1" t="e">
        <f t="shared" si="16"/>
        <v>#REF!</v>
      </c>
    </row>
    <row r="313" spans="1:17" ht="12" customHeight="1" outlineLevel="4" x14ac:dyDescent="0.35">
      <c r="A313" s="2" t="str">
        <f t="shared" si="17"/>
        <v>CC413B</v>
      </c>
      <c r="B313" s="1">
        <v>4</v>
      </c>
      <c r="C313" s="1" t="s">
        <v>19</v>
      </c>
      <c r="D313" s="2" t="s">
        <v>30</v>
      </c>
      <c r="E313" s="11" t="s">
        <v>499</v>
      </c>
      <c r="F313" s="7" t="s">
        <v>57</v>
      </c>
      <c r="G313" s="2" t="s">
        <v>22</v>
      </c>
      <c r="H313" s="7" t="s">
        <v>718</v>
      </c>
      <c r="I313" s="14"/>
      <c r="J313" s="14"/>
      <c r="L313" s="1" t="s">
        <v>1089</v>
      </c>
      <c r="M313" s="2" t="s">
        <v>500</v>
      </c>
      <c r="P313" s="2" t="s">
        <v>255</v>
      </c>
      <c r="Q313" s="1" t="e">
        <f t="shared" si="16"/>
        <v>#REF!</v>
      </c>
    </row>
    <row r="314" spans="1:17" ht="12" customHeight="1" outlineLevel="4" x14ac:dyDescent="0.35">
      <c r="A314" s="2" t="str">
        <f t="shared" si="17"/>
        <v>CC413B</v>
      </c>
      <c r="B314" s="1">
        <v>4</v>
      </c>
      <c r="C314" s="1" t="s">
        <v>19</v>
      </c>
      <c r="D314" s="2" t="s">
        <v>30</v>
      </c>
      <c r="E314" s="11" t="s">
        <v>501</v>
      </c>
      <c r="F314" s="7" t="s">
        <v>83</v>
      </c>
      <c r="G314" s="2" t="s">
        <v>22</v>
      </c>
      <c r="H314" s="7" t="s">
        <v>718</v>
      </c>
      <c r="I314" s="14"/>
      <c r="J314" s="14"/>
      <c r="L314" s="1" t="s">
        <v>1090</v>
      </c>
      <c r="M314" s="2" t="s">
        <v>502</v>
      </c>
      <c r="P314" s="2" t="s">
        <v>503</v>
      </c>
      <c r="Q314" s="1" t="e">
        <f t="shared" si="16"/>
        <v>#REF!</v>
      </c>
    </row>
    <row r="315" spans="1:17" ht="12" customHeight="1" outlineLevel="4" x14ac:dyDescent="0.35">
      <c r="A315" s="2" t="str">
        <f t="shared" si="17"/>
        <v>CC413B</v>
      </c>
      <c r="B315" s="1">
        <v>4</v>
      </c>
      <c r="C315" s="1" t="s">
        <v>19</v>
      </c>
      <c r="D315" s="2" t="s">
        <v>30</v>
      </c>
      <c r="E315" s="11" t="s">
        <v>504</v>
      </c>
      <c r="F315" s="7" t="s">
        <v>505</v>
      </c>
      <c r="G315" s="2" t="s">
        <v>22</v>
      </c>
      <c r="H315" s="7" t="s">
        <v>718</v>
      </c>
      <c r="I315" s="14"/>
      <c r="J315" s="14"/>
      <c r="L315" s="1" t="s">
        <v>1091</v>
      </c>
      <c r="M315" s="2" t="s">
        <v>506</v>
      </c>
      <c r="P315" s="2" t="s">
        <v>507</v>
      </c>
      <c r="Q315" s="1" t="e">
        <f t="shared" si="16"/>
        <v>#REF!</v>
      </c>
    </row>
    <row r="316" spans="1:17" ht="12" customHeight="1" outlineLevel="4" x14ac:dyDescent="0.35">
      <c r="A316" s="2" t="str">
        <f t="shared" si="17"/>
        <v>CC413B</v>
      </c>
      <c r="B316" s="1">
        <v>4</v>
      </c>
      <c r="C316" s="1" t="s">
        <v>19</v>
      </c>
      <c r="D316" s="2" t="s">
        <v>30</v>
      </c>
      <c r="E316" s="11" t="s">
        <v>353</v>
      </c>
      <c r="F316" s="7" t="s">
        <v>60</v>
      </c>
      <c r="G316" s="2" t="s">
        <v>396</v>
      </c>
      <c r="H316" s="7" t="s">
        <v>719</v>
      </c>
      <c r="I316" s="7" t="s">
        <v>701</v>
      </c>
      <c r="J316" s="7" t="s">
        <v>715</v>
      </c>
      <c r="L316" s="1" t="s">
        <v>1186</v>
      </c>
      <c r="M316" s="2" t="s">
        <v>354</v>
      </c>
      <c r="P316" s="2" t="s">
        <v>355</v>
      </c>
      <c r="Q316" s="1" t="e">
        <f t="shared" si="16"/>
        <v>#REF!</v>
      </c>
    </row>
    <row r="317" spans="1:17" ht="12" customHeight="1" outlineLevel="4" x14ac:dyDescent="0.35">
      <c r="A317" s="2" t="str">
        <f t="shared" si="17"/>
        <v>CC413B</v>
      </c>
      <c r="B317" s="1">
        <v>4</v>
      </c>
      <c r="C317" s="1" t="s">
        <v>19</v>
      </c>
      <c r="D317" s="2" t="s">
        <v>30</v>
      </c>
      <c r="E317" s="11" t="s">
        <v>356</v>
      </c>
      <c r="F317" s="7" t="s">
        <v>50</v>
      </c>
      <c r="G317" s="2" t="s">
        <v>396</v>
      </c>
      <c r="H317" s="7" t="s">
        <v>748</v>
      </c>
      <c r="I317" s="7" t="s">
        <v>493</v>
      </c>
      <c r="J317" s="7" t="s">
        <v>416</v>
      </c>
      <c r="M317" s="2" t="s">
        <v>357</v>
      </c>
      <c r="P317" s="2" t="s">
        <v>52</v>
      </c>
      <c r="Q317" s="1" t="e">
        <f t="shared" si="16"/>
        <v>#REF!</v>
      </c>
    </row>
    <row r="318" spans="1:17" ht="12" customHeight="1" outlineLevel="4" x14ac:dyDescent="0.35">
      <c r="A318" s="2" t="str">
        <f t="shared" si="17"/>
        <v>CC413B</v>
      </c>
      <c r="B318" s="1">
        <v>4</v>
      </c>
      <c r="C318" s="1" t="s">
        <v>19</v>
      </c>
      <c r="D318" s="2" t="s">
        <v>30</v>
      </c>
      <c r="E318" s="11" t="s">
        <v>358</v>
      </c>
      <c r="F318" s="7" t="s">
        <v>311</v>
      </c>
      <c r="G318" s="2" t="s">
        <v>22</v>
      </c>
      <c r="H318" s="7" t="s">
        <v>719</v>
      </c>
      <c r="I318" s="14"/>
      <c r="J318" s="14"/>
      <c r="L318" s="1" t="s">
        <v>1187</v>
      </c>
      <c r="M318" s="2" t="s">
        <v>359</v>
      </c>
      <c r="P318" s="2" t="s">
        <v>313</v>
      </c>
      <c r="Q318" s="1" t="e">
        <f t="shared" si="16"/>
        <v>#REF!</v>
      </c>
    </row>
    <row r="319" spans="1:17" ht="12" customHeight="1" outlineLevel="4" x14ac:dyDescent="0.35">
      <c r="A319" s="2" t="str">
        <f t="shared" si="17"/>
        <v>CC413B</v>
      </c>
      <c r="B319" s="1">
        <v>4</v>
      </c>
      <c r="C319" s="1" t="s">
        <v>19</v>
      </c>
      <c r="D319" s="2" t="s">
        <v>30</v>
      </c>
      <c r="E319" s="11" t="s">
        <v>521</v>
      </c>
      <c r="F319" s="7" t="s">
        <v>148</v>
      </c>
      <c r="G319" s="2" t="s">
        <v>22</v>
      </c>
      <c r="H319" s="7" t="s">
        <v>719</v>
      </c>
      <c r="I319" s="14"/>
      <c r="J319" s="7" t="s">
        <v>429</v>
      </c>
      <c r="L319" s="1" t="s">
        <v>1188</v>
      </c>
      <c r="M319" s="2" t="s">
        <v>522</v>
      </c>
      <c r="P319" s="2" t="s">
        <v>150</v>
      </c>
      <c r="Q319" s="1" t="e">
        <f t="shared" si="16"/>
        <v>#REF!</v>
      </c>
    </row>
    <row r="320" spans="1:17" ht="12" customHeight="1" outlineLevel="4" x14ac:dyDescent="0.35">
      <c r="A320" s="2" t="str">
        <f t="shared" si="17"/>
        <v>CC413B</v>
      </c>
      <c r="B320" s="1">
        <v>4</v>
      </c>
      <c r="C320" s="1" t="s">
        <v>19</v>
      </c>
      <c r="D320" s="2" t="s">
        <v>30</v>
      </c>
      <c r="E320" s="11" t="s">
        <v>524</v>
      </c>
      <c r="F320" s="7" t="s">
        <v>181</v>
      </c>
      <c r="G320" s="2" t="s">
        <v>22</v>
      </c>
      <c r="H320" s="7" t="s">
        <v>719</v>
      </c>
      <c r="I320" s="14"/>
      <c r="J320" s="14"/>
      <c r="L320" s="1" t="s">
        <v>1189</v>
      </c>
      <c r="M320" s="2" t="s">
        <v>525</v>
      </c>
      <c r="P320" s="2" t="s">
        <v>183</v>
      </c>
      <c r="Q320" s="1" t="e">
        <f t="shared" si="16"/>
        <v>#REF!</v>
      </c>
    </row>
    <row r="321" spans="1:17" ht="12" customHeight="1" outlineLevel="3" x14ac:dyDescent="0.35">
      <c r="A321" s="3" t="str">
        <f t="shared" si="17"/>
        <v>CC413B</v>
      </c>
      <c r="B321" s="4">
        <v>3</v>
      </c>
      <c r="C321" s="3" t="s">
        <v>24</v>
      </c>
      <c r="D321" s="3" t="s">
        <v>193</v>
      </c>
      <c r="E321" s="10" t="s">
        <v>583</v>
      </c>
      <c r="F321" s="4"/>
      <c r="G321" s="3" t="s">
        <v>22</v>
      </c>
      <c r="H321" s="16" t="s">
        <v>489</v>
      </c>
      <c r="I321" s="15"/>
      <c r="J321" s="15"/>
      <c r="K321" s="4"/>
      <c r="L321" s="4" t="s">
        <v>1138</v>
      </c>
      <c r="M321" s="3" t="s">
        <v>584</v>
      </c>
      <c r="N321" s="4"/>
      <c r="O321" s="4"/>
      <c r="P321" s="3" t="s">
        <v>585</v>
      </c>
      <c r="Q321" s="1" t="e">
        <f t="shared" si="16"/>
        <v>#REF!</v>
      </c>
    </row>
    <row r="322" spans="1:17" ht="12" customHeight="1" outlineLevel="4" x14ac:dyDescent="0.35">
      <c r="A322" s="2" t="str">
        <f t="shared" si="17"/>
        <v>CC413B</v>
      </c>
      <c r="B322" s="1">
        <v>4</v>
      </c>
      <c r="C322" s="1" t="s">
        <v>19</v>
      </c>
      <c r="D322" s="2" t="s">
        <v>25</v>
      </c>
      <c r="E322" s="11" t="s">
        <v>56</v>
      </c>
      <c r="F322" s="7" t="s">
        <v>57</v>
      </c>
      <c r="G322" s="2" t="s">
        <v>27</v>
      </c>
      <c r="H322" s="7" t="s">
        <v>393</v>
      </c>
      <c r="I322" s="14"/>
      <c r="J322" s="14"/>
      <c r="M322" s="2" t="s">
        <v>58</v>
      </c>
      <c r="P322" s="2" t="s">
        <v>59</v>
      </c>
      <c r="Q322" s="1" t="e">
        <f t="shared" si="16"/>
        <v>#REF!</v>
      </c>
    </row>
    <row r="323" spans="1:17" ht="12" customHeight="1" outlineLevel="4" x14ac:dyDescent="0.35">
      <c r="A323" s="2" t="str">
        <f t="shared" si="17"/>
        <v>CC413B</v>
      </c>
      <c r="B323" s="1">
        <v>4</v>
      </c>
      <c r="C323" s="1" t="s">
        <v>19</v>
      </c>
      <c r="D323" s="2" t="s">
        <v>25</v>
      </c>
      <c r="E323" s="11" t="s">
        <v>2</v>
      </c>
      <c r="F323" s="7" t="s">
        <v>306</v>
      </c>
      <c r="G323" s="2" t="s">
        <v>27</v>
      </c>
      <c r="H323" s="14"/>
      <c r="I323" s="14"/>
      <c r="J323" s="7" t="s">
        <v>586</v>
      </c>
      <c r="L323" s="1" t="s">
        <v>1139</v>
      </c>
      <c r="M323" s="2" t="s">
        <v>61</v>
      </c>
      <c r="P323" s="2" t="s">
        <v>307</v>
      </c>
      <c r="Q323" s="1" t="e">
        <f t="shared" si="16"/>
        <v>#REF!</v>
      </c>
    </row>
    <row r="324" spans="1:17" ht="12" customHeight="1" outlineLevel="4" x14ac:dyDescent="0.35">
      <c r="A324" s="2" t="str">
        <f t="shared" si="17"/>
        <v>CC413B</v>
      </c>
      <c r="B324" s="1">
        <v>4</v>
      </c>
      <c r="C324" s="1" t="s">
        <v>19</v>
      </c>
      <c r="D324" s="2" t="s">
        <v>25</v>
      </c>
      <c r="E324" s="11" t="s">
        <v>63</v>
      </c>
      <c r="F324" s="7" t="s">
        <v>83</v>
      </c>
      <c r="G324" s="2" t="s">
        <v>27</v>
      </c>
      <c r="H324" s="7" t="s">
        <v>494</v>
      </c>
      <c r="I324" s="14"/>
      <c r="J324" s="14"/>
      <c r="L324" s="1" t="s">
        <v>1140</v>
      </c>
      <c r="M324" s="2" t="s">
        <v>65</v>
      </c>
      <c r="P324" s="2" t="s">
        <v>308</v>
      </c>
      <c r="Q324" s="1" t="e">
        <f t="shared" si="16"/>
        <v>#REF!</v>
      </c>
    </row>
    <row r="325" spans="1:17" ht="12" customHeight="1" outlineLevel="3" x14ac:dyDescent="0.35">
      <c r="A325" s="3" t="str">
        <f t="shared" si="17"/>
        <v>CC413B</v>
      </c>
      <c r="B325" s="4">
        <v>3</v>
      </c>
      <c r="C325" s="3" t="s">
        <v>24</v>
      </c>
      <c r="D325" s="3" t="s">
        <v>193</v>
      </c>
      <c r="E325" s="10" t="s">
        <v>508</v>
      </c>
      <c r="F325" s="4"/>
      <c r="G325" s="3" t="s">
        <v>22</v>
      </c>
      <c r="H325" s="16" t="s">
        <v>749</v>
      </c>
      <c r="I325" s="15"/>
      <c r="J325" s="15"/>
      <c r="K325" s="4"/>
      <c r="L325" s="4" t="s">
        <v>1092</v>
      </c>
      <c r="M325" s="3" t="s">
        <v>509</v>
      </c>
      <c r="N325" s="4"/>
      <c r="O325" s="4"/>
      <c r="P325" s="3" t="s">
        <v>510</v>
      </c>
      <c r="Q325" s="1" t="e">
        <f t="shared" si="16"/>
        <v>#REF!</v>
      </c>
    </row>
    <row r="326" spans="1:17" ht="12" customHeight="1" outlineLevel="4" x14ac:dyDescent="0.35">
      <c r="A326" s="2" t="str">
        <f t="shared" si="17"/>
        <v>CC413B</v>
      </c>
      <c r="B326" s="1">
        <v>4</v>
      </c>
      <c r="C326" s="1" t="s">
        <v>19</v>
      </c>
      <c r="D326" s="2" t="s">
        <v>25</v>
      </c>
      <c r="E326" s="11" t="s">
        <v>56</v>
      </c>
      <c r="F326" s="7" t="s">
        <v>57</v>
      </c>
      <c r="G326" s="2" t="s">
        <v>27</v>
      </c>
      <c r="H326" s="7" t="s">
        <v>393</v>
      </c>
      <c r="I326" s="14"/>
      <c r="J326" s="14"/>
      <c r="M326" s="2" t="s">
        <v>58</v>
      </c>
      <c r="P326" s="2" t="s">
        <v>59</v>
      </c>
      <c r="Q326" s="1" t="e">
        <f t="shared" si="16"/>
        <v>#REF!</v>
      </c>
    </row>
    <row r="327" spans="1:17" ht="12" customHeight="1" outlineLevel="4" x14ac:dyDescent="0.35">
      <c r="A327" s="2" t="str">
        <f t="shared" si="17"/>
        <v>CC413B</v>
      </c>
      <c r="B327" s="1">
        <v>4</v>
      </c>
      <c r="C327" s="1" t="s">
        <v>19</v>
      </c>
      <c r="D327" s="2" t="s">
        <v>25</v>
      </c>
      <c r="E327" s="11" t="s">
        <v>2</v>
      </c>
      <c r="F327" s="7" t="s">
        <v>306</v>
      </c>
      <c r="G327" s="2" t="s">
        <v>27</v>
      </c>
      <c r="H327" s="14"/>
      <c r="I327" s="14"/>
      <c r="J327" s="7" t="s">
        <v>511</v>
      </c>
      <c r="L327" s="1" t="s">
        <v>1093</v>
      </c>
      <c r="M327" s="2" t="s">
        <v>61</v>
      </c>
      <c r="P327" s="2" t="s">
        <v>307</v>
      </c>
      <c r="Q327" s="1" t="e">
        <f t="shared" si="16"/>
        <v>#REF!</v>
      </c>
    </row>
    <row r="328" spans="1:17" ht="12" customHeight="1" outlineLevel="4" x14ac:dyDescent="0.35">
      <c r="A328" s="2" t="str">
        <f t="shared" si="17"/>
        <v>CC413B</v>
      </c>
      <c r="B328" s="1">
        <v>4</v>
      </c>
      <c r="C328" s="1" t="s">
        <v>19</v>
      </c>
      <c r="D328" s="2" t="s">
        <v>30</v>
      </c>
      <c r="E328" s="11" t="s">
        <v>142</v>
      </c>
      <c r="F328" s="7" t="s">
        <v>50</v>
      </c>
      <c r="G328" s="2" t="s">
        <v>396</v>
      </c>
      <c r="H328" s="7" t="s">
        <v>748</v>
      </c>
      <c r="I328" s="7" t="s">
        <v>493</v>
      </c>
      <c r="J328" s="7" t="s">
        <v>416</v>
      </c>
      <c r="M328" s="2" t="s">
        <v>143</v>
      </c>
      <c r="P328" s="2" t="s">
        <v>52</v>
      </c>
      <c r="Q328" s="1" t="e">
        <f t="shared" si="16"/>
        <v>#REF!</v>
      </c>
    </row>
    <row r="329" spans="1:17" ht="12" customHeight="1" outlineLevel="4" x14ac:dyDescent="0.35">
      <c r="A329" s="2" t="str">
        <f t="shared" si="17"/>
        <v>CC413B</v>
      </c>
      <c r="B329" s="1">
        <v>4</v>
      </c>
      <c r="C329" s="1" t="s">
        <v>19</v>
      </c>
      <c r="D329" s="2" t="s">
        <v>30</v>
      </c>
      <c r="E329" s="11" t="s">
        <v>63</v>
      </c>
      <c r="F329" s="7" t="s">
        <v>83</v>
      </c>
      <c r="G329" s="2" t="s">
        <v>22</v>
      </c>
      <c r="H329" s="7" t="s">
        <v>494</v>
      </c>
      <c r="I329" s="14"/>
      <c r="J329" s="14"/>
      <c r="L329" s="1" t="s">
        <v>1094</v>
      </c>
      <c r="M329" s="2" t="s">
        <v>65</v>
      </c>
      <c r="P329" s="2" t="s">
        <v>308</v>
      </c>
      <c r="Q329" s="1" t="e">
        <f t="shared" si="16"/>
        <v>#REF!</v>
      </c>
    </row>
    <row r="330" spans="1:17" ht="12" customHeight="1" outlineLevel="3" x14ac:dyDescent="0.35">
      <c r="A330" s="3" t="str">
        <f t="shared" si="17"/>
        <v>CC413B</v>
      </c>
      <c r="B330" s="4">
        <v>3</v>
      </c>
      <c r="C330" s="3" t="s">
        <v>24</v>
      </c>
      <c r="D330" s="3" t="s">
        <v>193</v>
      </c>
      <c r="E330" s="10" t="s">
        <v>219</v>
      </c>
      <c r="F330" s="4"/>
      <c r="G330" s="3" t="s">
        <v>22</v>
      </c>
      <c r="H330" s="16" t="s">
        <v>489</v>
      </c>
      <c r="I330" s="15"/>
      <c r="J330" s="15"/>
      <c r="K330" s="4"/>
      <c r="L330" s="4" t="s">
        <v>1095</v>
      </c>
      <c r="M330" s="3" t="s">
        <v>220</v>
      </c>
      <c r="N330" s="4"/>
      <c r="O330" s="4"/>
      <c r="P330" s="3" t="s">
        <v>221</v>
      </c>
      <c r="Q330" s="1" t="e">
        <f t="shared" si="16"/>
        <v>#REF!</v>
      </c>
    </row>
    <row r="331" spans="1:17" ht="12" customHeight="1" outlineLevel="4" x14ac:dyDescent="0.35">
      <c r="A331" s="2" t="str">
        <f t="shared" si="17"/>
        <v>CC413B</v>
      </c>
      <c r="B331" s="1">
        <v>4</v>
      </c>
      <c r="C331" s="1" t="s">
        <v>19</v>
      </c>
      <c r="D331" s="2" t="s">
        <v>25</v>
      </c>
      <c r="E331" s="11" t="s">
        <v>56</v>
      </c>
      <c r="F331" s="7" t="s">
        <v>57</v>
      </c>
      <c r="G331" s="2" t="s">
        <v>27</v>
      </c>
      <c r="H331" s="7" t="s">
        <v>393</v>
      </c>
      <c r="I331" s="14"/>
      <c r="J331" s="14"/>
      <c r="M331" s="2" t="s">
        <v>58</v>
      </c>
      <c r="P331" s="2" t="s">
        <v>59</v>
      </c>
      <c r="Q331" s="1" t="e">
        <f t="shared" si="16"/>
        <v>#REF!</v>
      </c>
    </row>
    <row r="332" spans="1:17" ht="12" customHeight="1" outlineLevel="4" x14ac:dyDescent="0.35">
      <c r="A332" s="2" t="str">
        <f t="shared" si="17"/>
        <v>CC413B</v>
      </c>
      <c r="B332" s="1">
        <v>4</v>
      </c>
      <c r="C332" s="1" t="s">
        <v>19</v>
      </c>
      <c r="D332" s="2" t="s">
        <v>25</v>
      </c>
      <c r="E332" s="11" t="s">
        <v>222</v>
      </c>
      <c r="F332" s="7" t="s">
        <v>223</v>
      </c>
      <c r="G332" s="2" t="s">
        <v>27</v>
      </c>
      <c r="H332" s="7" t="s">
        <v>477</v>
      </c>
      <c r="I332" s="14"/>
      <c r="J332" s="7" t="s">
        <v>513</v>
      </c>
      <c r="L332" s="1" t="s">
        <v>1096</v>
      </c>
      <c r="M332" s="2" t="s">
        <v>224</v>
      </c>
      <c r="P332" s="2" t="s">
        <v>225</v>
      </c>
      <c r="Q332" s="1" t="e">
        <f t="shared" si="16"/>
        <v>#REF!</v>
      </c>
    </row>
    <row r="333" spans="1:17" ht="12" customHeight="1" outlineLevel="4" x14ac:dyDescent="0.35">
      <c r="A333" s="2" t="str">
        <f t="shared" ref="A333:A346" si="18">$E$2</f>
        <v>CC413B</v>
      </c>
      <c r="B333" s="1">
        <v>4</v>
      </c>
      <c r="C333" s="1" t="s">
        <v>19</v>
      </c>
      <c r="D333" s="2" t="s">
        <v>30</v>
      </c>
      <c r="E333" s="11" t="s">
        <v>142</v>
      </c>
      <c r="F333" s="7" t="s">
        <v>50</v>
      </c>
      <c r="G333" s="2" t="s">
        <v>396</v>
      </c>
      <c r="H333" s="7" t="s">
        <v>748</v>
      </c>
      <c r="I333" s="7" t="s">
        <v>493</v>
      </c>
      <c r="J333" s="7" t="s">
        <v>416</v>
      </c>
      <c r="M333" s="2" t="s">
        <v>143</v>
      </c>
      <c r="P333" s="2" t="s">
        <v>52</v>
      </c>
      <c r="Q333" s="1" t="e">
        <f t="shared" si="16"/>
        <v>#REF!</v>
      </c>
    </row>
    <row r="334" spans="1:17" ht="12" customHeight="1" outlineLevel="4" x14ac:dyDescent="0.35">
      <c r="A334" s="2" t="str">
        <f t="shared" si="18"/>
        <v>CC413B</v>
      </c>
      <c r="B334" s="1">
        <v>4</v>
      </c>
      <c r="C334" s="1" t="s">
        <v>19</v>
      </c>
      <c r="D334" s="2" t="s">
        <v>30</v>
      </c>
      <c r="E334" s="11" t="s">
        <v>226</v>
      </c>
      <c r="F334" s="7" t="s">
        <v>216</v>
      </c>
      <c r="G334" s="2" t="s">
        <v>22</v>
      </c>
      <c r="H334" s="14"/>
      <c r="I334" s="14"/>
      <c r="J334" s="14"/>
      <c r="L334" s="1" t="s">
        <v>1097</v>
      </c>
      <c r="M334" s="2" t="s">
        <v>227</v>
      </c>
      <c r="P334" s="2" t="s">
        <v>218</v>
      </c>
      <c r="Q334" s="1" t="e">
        <f t="shared" si="16"/>
        <v>#REF!</v>
      </c>
    </row>
    <row r="335" spans="1:17" ht="12" customHeight="1" outlineLevel="3" x14ac:dyDescent="0.35">
      <c r="A335" s="3" t="str">
        <f t="shared" si="18"/>
        <v>CC413B</v>
      </c>
      <c r="B335" s="4">
        <v>3</v>
      </c>
      <c r="C335" s="3" t="s">
        <v>24</v>
      </c>
      <c r="D335" s="3" t="s">
        <v>30</v>
      </c>
      <c r="E335" s="10" t="s">
        <v>720</v>
      </c>
      <c r="F335" s="4"/>
      <c r="G335" s="3" t="s">
        <v>396</v>
      </c>
      <c r="H335" s="15"/>
      <c r="I335" s="16" t="s">
        <v>721</v>
      </c>
      <c r="J335" s="15"/>
      <c r="K335" s="4"/>
      <c r="L335" s="4" t="s">
        <v>1190</v>
      </c>
      <c r="M335" s="3" t="s">
        <v>722</v>
      </c>
      <c r="N335" s="4"/>
      <c r="O335" s="4"/>
      <c r="P335" s="3" t="s">
        <v>723</v>
      </c>
      <c r="Q335" s="1" t="e">
        <f t="shared" si="16"/>
        <v>#REF!</v>
      </c>
    </row>
    <row r="336" spans="1:17" ht="12" customHeight="1" outlineLevel="4" x14ac:dyDescent="0.35">
      <c r="A336" s="2" t="str">
        <f t="shared" si="18"/>
        <v>CC413B</v>
      </c>
      <c r="B336" s="1">
        <v>4</v>
      </c>
      <c r="C336" s="1" t="s">
        <v>19</v>
      </c>
      <c r="D336" s="2" t="s">
        <v>25</v>
      </c>
      <c r="E336" s="11" t="s">
        <v>724</v>
      </c>
      <c r="F336" s="7" t="s">
        <v>123</v>
      </c>
      <c r="G336" s="2" t="s">
        <v>27</v>
      </c>
      <c r="H336" s="14"/>
      <c r="I336" s="14"/>
      <c r="J336" s="7" t="s">
        <v>725</v>
      </c>
      <c r="L336" s="1" t="s">
        <v>1191</v>
      </c>
      <c r="M336" s="2" t="s">
        <v>726</v>
      </c>
      <c r="P336" s="2" t="s">
        <v>727</v>
      </c>
      <c r="Q336" s="1" t="e">
        <f t="shared" si="16"/>
        <v>#REF!</v>
      </c>
    </row>
    <row r="337" spans="1:17" ht="12" customHeight="1" outlineLevel="4" x14ac:dyDescent="0.35">
      <c r="A337" s="3" t="str">
        <f t="shared" si="18"/>
        <v>CC413B</v>
      </c>
      <c r="B337" s="4">
        <v>4</v>
      </c>
      <c r="C337" s="3" t="s">
        <v>24</v>
      </c>
      <c r="D337" s="3" t="s">
        <v>193</v>
      </c>
      <c r="E337" s="12" t="s">
        <v>514</v>
      </c>
      <c r="F337" s="4"/>
      <c r="G337" s="3" t="s">
        <v>396</v>
      </c>
      <c r="H337" s="16" t="s">
        <v>771</v>
      </c>
      <c r="I337" s="16" t="s">
        <v>728</v>
      </c>
      <c r="J337" s="15"/>
      <c r="K337" s="4"/>
      <c r="L337" s="4" t="s">
        <v>1098</v>
      </c>
      <c r="M337" s="3" t="s">
        <v>516</v>
      </c>
      <c r="N337" s="4"/>
      <c r="O337" s="4"/>
      <c r="P337" s="3" t="s">
        <v>729</v>
      </c>
      <c r="Q337" s="1" t="e">
        <f t="shared" si="16"/>
        <v>#REF!</v>
      </c>
    </row>
    <row r="338" spans="1:17" ht="12" customHeight="1" outlineLevel="5" x14ac:dyDescent="0.35">
      <c r="A338" s="2" t="str">
        <f t="shared" si="18"/>
        <v>CC413B</v>
      </c>
      <c r="B338" s="1">
        <v>5</v>
      </c>
      <c r="C338" s="1" t="s">
        <v>19</v>
      </c>
      <c r="D338" s="2" t="s">
        <v>25</v>
      </c>
      <c r="E338" s="13" t="s">
        <v>56</v>
      </c>
      <c r="F338" s="7" t="s">
        <v>57</v>
      </c>
      <c r="G338" s="2" t="s">
        <v>27</v>
      </c>
      <c r="H338" s="7" t="s">
        <v>393</v>
      </c>
      <c r="I338" s="14"/>
      <c r="J338" s="14"/>
      <c r="M338" s="2" t="s">
        <v>58</v>
      </c>
      <c r="P338" s="2" t="s">
        <v>59</v>
      </c>
      <c r="Q338" s="1" t="e">
        <f t="shared" si="16"/>
        <v>#REF!</v>
      </c>
    </row>
    <row r="339" spans="1:17" ht="12" customHeight="1" outlineLevel="5" x14ac:dyDescent="0.35">
      <c r="A339" s="2" t="str">
        <f t="shared" si="18"/>
        <v>CC413B</v>
      </c>
      <c r="B339" s="1">
        <v>5</v>
      </c>
      <c r="C339" s="1" t="s">
        <v>19</v>
      </c>
      <c r="D339" s="2" t="s">
        <v>25</v>
      </c>
      <c r="E339" s="13" t="s">
        <v>222</v>
      </c>
      <c r="F339" s="7" t="s">
        <v>518</v>
      </c>
      <c r="G339" s="2" t="s">
        <v>27</v>
      </c>
      <c r="H339" s="14"/>
      <c r="I339" s="14"/>
      <c r="J339" s="7" t="s">
        <v>519</v>
      </c>
      <c r="L339" s="1" t="s">
        <v>1099</v>
      </c>
      <c r="M339" s="2" t="s">
        <v>224</v>
      </c>
      <c r="P339" s="2" t="s">
        <v>520</v>
      </c>
      <c r="Q339" s="1" t="e">
        <f t="shared" si="16"/>
        <v>#REF!</v>
      </c>
    </row>
    <row r="340" spans="1:17" ht="12" customHeight="1" outlineLevel="5" x14ac:dyDescent="0.35">
      <c r="A340" s="2" t="str">
        <f t="shared" si="18"/>
        <v>CC413B</v>
      </c>
      <c r="B340" s="1">
        <v>5</v>
      </c>
      <c r="C340" s="1" t="s">
        <v>19</v>
      </c>
      <c r="D340" s="2" t="s">
        <v>25</v>
      </c>
      <c r="E340" s="13" t="s">
        <v>524</v>
      </c>
      <c r="F340" s="7" t="s">
        <v>152</v>
      </c>
      <c r="G340" s="2" t="s">
        <v>27</v>
      </c>
      <c r="H340" s="14"/>
      <c r="I340" s="14"/>
      <c r="J340" s="14"/>
      <c r="L340" s="1" t="s">
        <v>1100</v>
      </c>
      <c r="M340" s="2" t="s">
        <v>525</v>
      </c>
      <c r="P340" s="2" t="s">
        <v>154</v>
      </c>
      <c r="Q340" s="1" t="e">
        <f>IF($B340=0,$M340,_xlfn.TEXTBEFORE(#REF!,"/",$B340,,,#REF!)&amp;"/"&amp;$M340)&amp;IF(_xlfn.TEXTAFTER($D340,"..",,,,1)&lt;&gt;"1","[0]","")</f>
        <v>#REF!</v>
      </c>
    </row>
    <row r="341" spans="1:17" ht="12" customHeight="1" outlineLevel="3" x14ac:dyDescent="0.35">
      <c r="A341" s="3" t="str">
        <f t="shared" si="18"/>
        <v>CC413B</v>
      </c>
      <c r="B341" s="4">
        <v>3</v>
      </c>
      <c r="C341" s="3" t="s">
        <v>24</v>
      </c>
      <c r="D341" s="3" t="s">
        <v>30</v>
      </c>
      <c r="E341" s="10" t="s">
        <v>730</v>
      </c>
      <c r="F341" s="4"/>
      <c r="G341" s="3" t="s">
        <v>396</v>
      </c>
      <c r="H341" s="16" t="s">
        <v>772</v>
      </c>
      <c r="I341" s="16" t="s">
        <v>731</v>
      </c>
      <c r="J341" s="15"/>
      <c r="K341" s="4"/>
      <c r="L341" s="4" t="s">
        <v>1192</v>
      </c>
      <c r="M341" s="3" t="s">
        <v>732</v>
      </c>
      <c r="N341" s="4"/>
      <c r="O341" s="4"/>
      <c r="P341" s="3" t="s">
        <v>733</v>
      </c>
      <c r="Q341" s="1" t="e">
        <f>IF($B341=0,$M341,_xlfn.TEXTBEFORE(#REF!,"/",$B341,,,#REF!)&amp;"/"&amp;$M341)&amp;IF(_xlfn.TEXTAFTER($D341,"..",,,,1)&lt;&gt;"1","[0]","")</f>
        <v>#REF!</v>
      </c>
    </row>
    <row r="342" spans="1:17" ht="12" customHeight="1" outlineLevel="4" x14ac:dyDescent="0.35">
      <c r="A342" s="2" t="str">
        <f t="shared" si="18"/>
        <v>CC413B</v>
      </c>
      <c r="B342" s="1">
        <v>4</v>
      </c>
      <c r="C342" s="1" t="s">
        <v>19</v>
      </c>
      <c r="D342" s="2" t="s">
        <v>25</v>
      </c>
      <c r="E342" s="11" t="s">
        <v>734</v>
      </c>
      <c r="F342" s="7" t="s">
        <v>735</v>
      </c>
      <c r="G342" s="2" t="s">
        <v>27</v>
      </c>
      <c r="H342" s="7" t="s">
        <v>736</v>
      </c>
      <c r="I342" s="14"/>
      <c r="J342" s="14"/>
      <c r="L342" s="1" t="s">
        <v>1193</v>
      </c>
      <c r="M342" s="2" t="s">
        <v>737</v>
      </c>
      <c r="P342" s="2" t="s">
        <v>738</v>
      </c>
      <c r="Q342" s="1" t="e">
        <f>IF($B342=0,$M342,_xlfn.TEXTBEFORE(Q341,"/",$B342,,,Q341)&amp;"/"&amp;$M342)&amp;IF(_xlfn.TEXTAFTER($D342,"..",,,,1)&lt;&gt;"1","[0]","")</f>
        <v>#REF!</v>
      </c>
    </row>
    <row r="343" spans="1:17" ht="12" customHeight="1" outlineLevel="3" x14ac:dyDescent="0.35">
      <c r="A343" s="3" t="str">
        <f t="shared" si="18"/>
        <v>CC413B</v>
      </c>
      <c r="B343" s="4">
        <v>3</v>
      </c>
      <c r="C343" s="3" t="s">
        <v>24</v>
      </c>
      <c r="D343" s="3" t="s">
        <v>193</v>
      </c>
      <c r="E343" s="10" t="s">
        <v>528</v>
      </c>
      <c r="F343" s="4"/>
      <c r="G343" s="3" t="s">
        <v>396</v>
      </c>
      <c r="H343" s="16" t="s">
        <v>773</v>
      </c>
      <c r="I343" s="16" t="s">
        <v>529</v>
      </c>
      <c r="J343" s="15"/>
      <c r="K343" s="4"/>
      <c r="L343" s="4" t="s">
        <v>1101</v>
      </c>
      <c r="M343" s="3" t="s">
        <v>530</v>
      </c>
      <c r="N343" s="4"/>
      <c r="O343" s="4"/>
      <c r="P343" s="3" t="s">
        <v>531</v>
      </c>
      <c r="Q343" s="1" t="e">
        <f>IF($B343=0,$M343,_xlfn.TEXTBEFORE(Q342,"/",$B343,,,Q342)&amp;"/"&amp;$M343)&amp;IF(_xlfn.TEXTAFTER($D343,"..",,,,1)&lt;&gt;"1","[0]","")</f>
        <v>#REF!</v>
      </c>
    </row>
    <row r="344" spans="1:17" ht="12" customHeight="1" outlineLevel="4" x14ac:dyDescent="0.35">
      <c r="A344" s="2" t="str">
        <f t="shared" si="18"/>
        <v>CC413B</v>
      </c>
      <c r="B344" s="1">
        <v>4</v>
      </c>
      <c r="C344" s="1" t="s">
        <v>19</v>
      </c>
      <c r="D344" s="2" t="s">
        <v>25</v>
      </c>
      <c r="E344" s="11" t="s">
        <v>56</v>
      </c>
      <c r="F344" s="7" t="s">
        <v>57</v>
      </c>
      <c r="G344" s="2" t="s">
        <v>27</v>
      </c>
      <c r="H344" s="7" t="s">
        <v>393</v>
      </c>
      <c r="I344" s="14"/>
      <c r="J344" s="14"/>
      <c r="M344" s="2" t="s">
        <v>58</v>
      </c>
      <c r="P344" s="2" t="s">
        <v>59</v>
      </c>
      <c r="Q344" s="1" t="e">
        <f>IF($B344=0,$M344,_xlfn.TEXTBEFORE(Q343,"/",$B344,,,Q343)&amp;"/"&amp;$M344)&amp;IF(_xlfn.TEXTAFTER($D344,"..",,,,1)&lt;&gt;"1","[0]","")</f>
        <v>#REF!</v>
      </c>
    </row>
    <row r="345" spans="1:17" ht="12" customHeight="1" outlineLevel="4" x14ac:dyDescent="0.35">
      <c r="A345" s="2" t="str">
        <f t="shared" si="18"/>
        <v>CC413B</v>
      </c>
      <c r="B345" s="1">
        <v>4</v>
      </c>
      <c r="C345" s="1" t="s">
        <v>19</v>
      </c>
      <c r="D345" s="2" t="s">
        <v>25</v>
      </c>
      <c r="E345" s="11" t="s">
        <v>197</v>
      </c>
      <c r="F345" s="7" t="s">
        <v>333</v>
      </c>
      <c r="G345" s="2" t="s">
        <v>27</v>
      </c>
      <c r="H345" s="14"/>
      <c r="I345" s="14"/>
      <c r="J345" s="7" t="s">
        <v>532</v>
      </c>
      <c r="L345" s="1" t="s">
        <v>1102</v>
      </c>
      <c r="M345" s="2" t="s">
        <v>199</v>
      </c>
      <c r="P345" s="2" t="s">
        <v>533</v>
      </c>
      <c r="Q345" s="1" t="e">
        <f>IF($B345=0,$M345,_xlfn.TEXTBEFORE(Q344,"/",$B345,,,Q344)&amp;"/"&amp;$M345)&amp;IF(_xlfn.TEXTAFTER($D345,"..",,,,1)&lt;&gt;"1","[0]","")</f>
        <v>#REF!</v>
      </c>
    </row>
    <row r="346" spans="1:17" ht="12" customHeight="1" outlineLevel="4" x14ac:dyDescent="0.35">
      <c r="A346" s="2" t="str">
        <f t="shared" si="18"/>
        <v>CC413B</v>
      </c>
      <c r="B346" s="1">
        <v>4</v>
      </c>
      <c r="C346" s="1" t="s">
        <v>19</v>
      </c>
      <c r="D346" s="2" t="s">
        <v>25</v>
      </c>
      <c r="E346" s="11" t="s">
        <v>534</v>
      </c>
      <c r="F346" s="7" t="s">
        <v>103</v>
      </c>
      <c r="G346" s="2" t="s">
        <v>27</v>
      </c>
      <c r="H346" s="14"/>
      <c r="I346" s="14"/>
      <c r="J346" s="14"/>
      <c r="L346" s="1" t="s">
        <v>1103</v>
      </c>
      <c r="M346" s="2" t="s">
        <v>535</v>
      </c>
      <c r="P346" s="2" t="s">
        <v>536</v>
      </c>
      <c r="Q346" s="1" t="e">
        <f>IF($B346=0,$M346,_xlfn.TEXTBEFORE(Q345,"/",$B346,,,Q345)&amp;"/"&amp;$M346)&amp;IF(_xlfn.TEXTAFTER($D346,"..",,,,1)&lt;&gt;"1","[0]","")</f>
        <v>#REF!</v>
      </c>
    </row>
    <row r="347" spans="1:17" ht="12" customHeight="1" x14ac:dyDescent="0.35"/>
  </sheetData>
  <conditionalFormatting sqref="A1:P347">
    <cfRule type="cellIs" priority="2" stopIfTrue="1" operator="equal">
      <formula>INDIRECT(ADDRESS(ROW(),COLUMN(),1,1,"compare"))</formula>
    </cfRule>
    <cfRule type="cellIs" dxfId="53" priority="3" stopIfTrue="1" operator="equal">
      <formula>""</formula>
    </cfRule>
    <cfRule type="expression" dxfId="52" priority="4" stopIfTrue="1">
      <formula>INDIRECT(ADDRESS(ROW(),COLUMN(),1,1,"compare"))=""</formula>
    </cfRule>
    <cfRule type="cellIs" dxfId="51" priority="5" stopIfTrue="1" operator="notEqual">
      <formula>""</formula>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69D4C-B383-441B-A09D-0C36AEB22FD1}">
  <sheetPr codeName="Ark4">
    <tabColor rgb="FF00B0F0"/>
    <outlinePr summaryBelow="0" summaryRight="0"/>
  </sheetPr>
  <dimension ref="A1:Q39"/>
  <sheetViews>
    <sheetView zoomScaleNormal="100" workbookViewId="0">
      <pane xSplit="1" ySplit="1" topLeftCell="D2" activePane="bottomRight" state="frozen"/>
      <selection activeCell="D2" sqref="D2"/>
      <selection pane="topRight" activeCell="D2" sqref="D2"/>
      <selection pane="bottomLeft" activeCell="D2" sqref="D2"/>
      <selection pane="bottomRight" activeCell="D2" sqref="D2"/>
    </sheetView>
  </sheetViews>
  <sheetFormatPr defaultColWidth="11.54296875" defaultRowHeight="12" outlineLevelRow="3" x14ac:dyDescent="0.35"/>
  <cols>
    <col min="1" max="3" width="0" style="1" hidden="1" customWidth="1"/>
    <col min="4" max="4" width="6.54296875" style="1" customWidth="1"/>
    <col min="5" max="5" width="70.54296875" style="1" customWidth="1"/>
    <col min="6" max="11" width="8.54296875" style="1" customWidth="1"/>
    <col min="12" max="14" width="24.54296875" style="1" customWidth="1"/>
    <col min="15" max="15" width="24.54296875" style="1" hidden="1" customWidth="1"/>
    <col min="16" max="17" width="24.54296875" style="1" customWidth="1"/>
    <col min="18" max="16384" width="11.54296875" style="1"/>
  </cols>
  <sheetData>
    <row r="1" spans="1:17" ht="12"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P1" s="1" t="s">
        <v>14</v>
      </c>
      <c r="Q1" s="1" t="s">
        <v>208</v>
      </c>
    </row>
    <row r="2" spans="1:17" ht="12" customHeight="1" x14ac:dyDescent="0.35">
      <c r="A2" s="2" t="str">
        <f t="shared" ref="A2:A31" si="0">$E$2</f>
        <v>CC414B</v>
      </c>
      <c r="B2" s="1">
        <v>0</v>
      </c>
      <c r="C2" s="2" t="s">
        <v>16</v>
      </c>
      <c r="E2" s="2" t="s">
        <v>210</v>
      </c>
      <c r="M2" s="2" t="s">
        <v>17</v>
      </c>
      <c r="P2" s="2" t="s">
        <v>211</v>
      </c>
      <c r="Q2" s="1" t="str">
        <f>IF($B2=0,$M2,_xlfn.TEXTBEFORE(Q1,"/",$B2,,,Q1)&amp;"/"&amp;$M2)&amp;IF(_xlfn.TEXTAFTER($D2,"..",,,,1)&lt;&gt;"1","[0]","")</f>
        <v>*</v>
      </c>
    </row>
    <row r="3" spans="1:17" ht="12" customHeight="1" outlineLevel="1" x14ac:dyDescent="0.35">
      <c r="A3" s="3" t="str">
        <f t="shared" si="0"/>
        <v>CC414B</v>
      </c>
      <c r="B3" s="4">
        <v>1</v>
      </c>
      <c r="C3" s="3" t="s">
        <v>24</v>
      </c>
      <c r="D3" s="3" t="s">
        <v>20</v>
      </c>
      <c r="E3" s="5" t="s">
        <v>21</v>
      </c>
      <c r="F3" s="4"/>
      <c r="G3" s="3" t="s">
        <v>22</v>
      </c>
      <c r="H3" s="4"/>
      <c r="I3" s="4"/>
      <c r="J3" s="4"/>
      <c r="K3" s="4"/>
      <c r="L3" s="4"/>
      <c r="M3" s="3" t="s">
        <v>21</v>
      </c>
      <c r="N3" s="4"/>
      <c r="O3" s="4"/>
      <c r="P3" s="3" t="s">
        <v>23</v>
      </c>
      <c r="Q3" s="1" t="str">
        <f t="shared" ref="Q3:Q38" si="1">IF($B3=0,$M3,_xlfn.TEXTBEFORE(Q2,"/",$B3,,,Q2)&amp;"/"&amp;$M3)&amp;IF(_xlfn.TEXTAFTER($D3,"..",,,,1)&lt;&gt;"1","[0]","")</f>
        <v>*/Extensions[0]</v>
      </c>
    </row>
    <row r="4" spans="1:17" ht="12" customHeight="1" outlineLevel="2" x14ac:dyDescent="0.35">
      <c r="A4" s="2" t="str">
        <f t="shared" si="0"/>
        <v>CC414B</v>
      </c>
      <c r="B4" s="1">
        <v>2</v>
      </c>
      <c r="C4" s="1" t="s">
        <v>19</v>
      </c>
      <c r="D4" s="2" t="s">
        <v>25</v>
      </c>
      <c r="E4" s="6" t="s">
        <v>774</v>
      </c>
      <c r="F4" s="1" t="s">
        <v>775</v>
      </c>
      <c r="G4" s="2" t="s">
        <v>27</v>
      </c>
      <c r="M4" s="2" t="s">
        <v>776</v>
      </c>
      <c r="Q4" s="1" t="str">
        <f t="shared" si="1"/>
        <v>*/Extensions[0]/SequenceNumeric</v>
      </c>
    </row>
    <row r="5" spans="1:17" ht="12" customHeight="1" outlineLevel="2" x14ac:dyDescent="0.35">
      <c r="A5" s="2" t="str">
        <f t="shared" si="0"/>
        <v>CC414B</v>
      </c>
      <c r="B5" s="1">
        <v>2</v>
      </c>
      <c r="C5" s="1" t="s">
        <v>19</v>
      </c>
      <c r="D5" s="2" t="s">
        <v>30</v>
      </c>
      <c r="E5" s="6" t="s">
        <v>777</v>
      </c>
      <c r="F5" s="1" t="s">
        <v>778</v>
      </c>
      <c r="G5" s="2" t="s">
        <v>22</v>
      </c>
      <c r="M5" s="2" t="s">
        <v>779</v>
      </c>
      <c r="Q5" s="1" t="str">
        <f t="shared" si="1"/>
        <v>*/Extensions[0]/ID</v>
      </c>
    </row>
    <row r="6" spans="1:17" ht="12" customHeight="1" outlineLevel="2" x14ac:dyDescent="0.35">
      <c r="A6" s="2" t="str">
        <f t="shared" si="0"/>
        <v>CC414B</v>
      </c>
      <c r="B6" s="1">
        <v>2</v>
      </c>
      <c r="C6" s="1" t="s">
        <v>19</v>
      </c>
      <c r="D6" s="2" t="s">
        <v>25</v>
      </c>
      <c r="E6" s="6" t="s">
        <v>780</v>
      </c>
      <c r="F6" s="1" t="s">
        <v>778</v>
      </c>
      <c r="G6" s="2" t="s">
        <v>27</v>
      </c>
      <c r="M6" s="2" t="s">
        <v>780</v>
      </c>
      <c r="Q6" s="1" t="str">
        <f t="shared" si="1"/>
        <v>*/Extensions[0]/Key</v>
      </c>
    </row>
    <row r="7" spans="1:17" ht="12" customHeight="1" outlineLevel="2" x14ac:dyDescent="0.35">
      <c r="A7" s="2" t="str">
        <f t="shared" si="0"/>
        <v>CC414B</v>
      </c>
      <c r="B7" s="1">
        <v>2</v>
      </c>
      <c r="C7" s="1" t="s">
        <v>19</v>
      </c>
      <c r="D7" s="2" t="s">
        <v>25</v>
      </c>
      <c r="E7" s="6" t="s">
        <v>781</v>
      </c>
      <c r="F7" s="1" t="s">
        <v>778</v>
      </c>
      <c r="G7" s="2" t="s">
        <v>27</v>
      </c>
      <c r="M7" s="2" t="s">
        <v>781</v>
      </c>
      <c r="Q7" s="1" t="str">
        <f t="shared" si="1"/>
        <v>*/Extensions[0]/Value</v>
      </c>
    </row>
    <row r="8" spans="1:17" ht="12" customHeight="1" outlineLevel="2" x14ac:dyDescent="0.35">
      <c r="A8" s="2" t="str">
        <f t="shared" si="0"/>
        <v>CC414B</v>
      </c>
      <c r="B8" s="1">
        <v>2</v>
      </c>
      <c r="C8" s="1" t="s">
        <v>19</v>
      </c>
      <c r="D8" s="2" t="s">
        <v>25</v>
      </c>
      <c r="E8" s="6" t="s">
        <v>782</v>
      </c>
      <c r="F8" s="7" t="s">
        <v>783</v>
      </c>
      <c r="G8" s="2" t="s">
        <v>27</v>
      </c>
      <c r="M8" s="2" t="s">
        <v>784</v>
      </c>
      <c r="Q8" s="1" t="str">
        <f t="shared" si="1"/>
        <v>*/Extensions[0]/DataType</v>
      </c>
    </row>
    <row r="9" spans="1:17" ht="12" customHeight="1" outlineLevel="2" x14ac:dyDescent="0.35">
      <c r="A9" s="21" t="str">
        <f t="shared" si="0"/>
        <v>CC414B</v>
      </c>
      <c r="B9" s="22">
        <v>2</v>
      </c>
      <c r="C9" s="22" t="s">
        <v>19</v>
      </c>
      <c r="D9" s="21" t="s">
        <v>20</v>
      </c>
      <c r="E9" s="23" t="s">
        <v>21</v>
      </c>
      <c r="F9" s="22"/>
      <c r="G9" s="21" t="s">
        <v>22</v>
      </c>
      <c r="H9" s="22"/>
      <c r="I9" s="22"/>
      <c r="J9" s="22"/>
      <c r="K9" s="22"/>
      <c r="L9" s="22"/>
      <c r="M9" s="21" t="s">
        <v>21</v>
      </c>
      <c r="N9" s="22"/>
      <c r="O9" s="22"/>
      <c r="P9" s="21" t="s">
        <v>785</v>
      </c>
      <c r="Q9" s="1" t="str">
        <f t="shared" si="1"/>
        <v>*/Extensions[0]/Extensions[0]</v>
      </c>
    </row>
    <row r="10" spans="1:17" ht="12" customHeight="1" outlineLevel="1" x14ac:dyDescent="0.35">
      <c r="A10" s="3" t="str">
        <f t="shared" si="0"/>
        <v>CC414B</v>
      </c>
      <c r="B10" s="4">
        <v>1</v>
      </c>
      <c r="C10" s="3" t="s">
        <v>24</v>
      </c>
      <c r="D10" s="3" t="s">
        <v>25</v>
      </c>
      <c r="E10" s="5" t="s">
        <v>26</v>
      </c>
      <c r="F10" s="4"/>
      <c r="G10" s="3" t="s">
        <v>27</v>
      </c>
      <c r="H10" s="4"/>
      <c r="I10" s="4"/>
      <c r="J10" s="4"/>
      <c r="K10" s="4"/>
      <c r="L10" s="4"/>
      <c r="M10" s="3" t="s">
        <v>28</v>
      </c>
      <c r="N10" s="4"/>
      <c r="O10" s="4"/>
      <c r="P10" s="3" t="s">
        <v>212</v>
      </c>
      <c r="Q10" s="1" t="str">
        <f t="shared" si="1"/>
        <v>*/ImportOperation</v>
      </c>
    </row>
    <row r="11" spans="1:17" ht="12" customHeight="1" outlineLevel="2" x14ac:dyDescent="0.35">
      <c r="A11" s="2" t="str">
        <f t="shared" si="0"/>
        <v>CC414B</v>
      </c>
      <c r="B11" s="1">
        <v>2</v>
      </c>
      <c r="C11" s="1" t="s">
        <v>19</v>
      </c>
      <c r="D11" s="2" t="s">
        <v>30</v>
      </c>
      <c r="E11" s="6" t="s">
        <v>31</v>
      </c>
      <c r="F11" s="7" t="s">
        <v>32</v>
      </c>
      <c r="G11" s="2" t="s">
        <v>396</v>
      </c>
      <c r="I11" s="2" t="s">
        <v>441</v>
      </c>
      <c r="M11" s="2" t="s">
        <v>33</v>
      </c>
      <c r="P11" s="2" t="s">
        <v>34</v>
      </c>
      <c r="Q11" s="1" t="str">
        <f t="shared" si="1"/>
        <v>*/ImportOperation/LRN</v>
      </c>
    </row>
    <row r="12" spans="1:17" ht="12" customHeight="1" outlineLevel="2" x14ac:dyDescent="0.35">
      <c r="A12" s="2" t="str">
        <f t="shared" si="0"/>
        <v>CC414B</v>
      </c>
      <c r="B12" s="1">
        <v>2</v>
      </c>
      <c r="C12" s="1" t="s">
        <v>19</v>
      </c>
      <c r="D12" s="2" t="s">
        <v>30</v>
      </c>
      <c r="E12" s="6" t="s">
        <v>35</v>
      </c>
      <c r="F12" s="7" t="s">
        <v>36</v>
      </c>
      <c r="G12" s="2" t="s">
        <v>396</v>
      </c>
      <c r="I12" s="2" t="s">
        <v>441</v>
      </c>
      <c r="M12" s="2" t="s">
        <v>37</v>
      </c>
      <c r="P12" s="2" t="s">
        <v>38</v>
      </c>
      <c r="Q12" s="1" t="str">
        <f t="shared" si="1"/>
        <v>*/ImportOperation/MRN</v>
      </c>
    </row>
    <row r="13" spans="1:17" ht="12" customHeight="1" outlineLevel="2" x14ac:dyDescent="0.35">
      <c r="A13" s="2" t="str">
        <f t="shared" si="0"/>
        <v>CC414B</v>
      </c>
      <c r="B13" s="1">
        <v>2</v>
      </c>
      <c r="C13" s="1" t="s">
        <v>19</v>
      </c>
      <c r="D13" s="2" t="s">
        <v>25</v>
      </c>
      <c r="E13" s="6" t="s">
        <v>213</v>
      </c>
      <c r="F13" s="7" t="s">
        <v>47</v>
      </c>
      <c r="G13" s="2" t="s">
        <v>27</v>
      </c>
      <c r="H13" s="2" t="s">
        <v>786</v>
      </c>
      <c r="M13" s="2" t="s">
        <v>214</v>
      </c>
      <c r="P13" s="2" t="s">
        <v>188</v>
      </c>
      <c r="Q13" s="1" t="str">
        <f t="shared" si="1"/>
        <v>*/ImportOperation/invalidationRequestDateAndTime</v>
      </c>
    </row>
    <row r="14" spans="1:17" ht="12" customHeight="1" outlineLevel="2" x14ac:dyDescent="0.35">
      <c r="A14" s="2" t="str">
        <f t="shared" si="0"/>
        <v>CC414B</v>
      </c>
      <c r="B14" s="1">
        <v>2</v>
      </c>
      <c r="C14" s="1" t="s">
        <v>19</v>
      </c>
      <c r="D14" s="2" t="s">
        <v>25</v>
      </c>
      <c r="E14" s="6" t="s">
        <v>215</v>
      </c>
      <c r="F14" s="7" t="s">
        <v>216</v>
      </c>
      <c r="G14" s="2" t="s">
        <v>27</v>
      </c>
      <c r="M14" s="2" t="s">
        <v>217</v>
      </c>
      <c r="P14" s="2" t="s">
        <v>218</v>
      </c>
      <c r="Q14" s="1" t="str">
        <f t="shared" si="1"/>
        <v>*/ImportOperation/invalidationReason</v>
      </c>
    </row>
    <row r="15" spans="1:17" ht="12" customHeight="1" outlineLevel="1" x14ac:dyDescent="0.35">
      <c r="A15" s="3" t="str">
        <f t="shared" si="0"/>
        <v>CC414B</v>
      </c>
      <c r="B15" s="4">
        <v>1</v>
      </c>
      <c r="C15" s="3" t="s">
        <v>24</v>
      </c>
      <c r="D15" s="3" t="s">
        <v>30</v>
      </c>
      <c r="E15" s="5" t="s">
        <v>101</v>
      </c>
      <c r="F15" s="4"/>
      <c r="G15" s="3" t="s">
        <v>22</v>
      </c>
      <c r="H15" s="3" t="s">
        <v>787</v>
      </c>
      <c r="I15" s="4"/>
      <c r="J15" s="4"/>
      <c r="K15" s="4"/>
      <c r="L15" s="4" t="s">
        <v>1007</v>
      </c>
      <c r="M15" s="3" t="s">
        <v>101</v>
      </c>
      <c r="N15" s="4"/>
      <c r="O15" s="4"/>
      <c r="P15" s="3" t="s">
        <v>102</v>
      </c>
      <c r="Q15" s="1" t="str">
        <f t="shared" si="1"/>
        <v>*/Declarant</v>
      </c>
    </row>
    <row r="16" spans="1:17" ht="12" customHeight="1" outlineLevel="2" x14ac:dyDescent="0.35">
      <c r="A16" s="2" t="str">
        <f t="shared" si="0"/>
        <v>CC414B</v>
      </c>
      <c r="B16" s="1">
        <v>2</v>
      </c>
      <c r="C16" s="1" t="s">
        <v>19</v>
      </c>
      <c r="D16" s="2" t="s">
        <v>25</v>
      </c>
      <c r="E16" s="6" t="s">
        <v>81</v>
      </c>
      <c r="F16" s="7" t="s">
        <v>68</v>
      </c>
      <c r="G16" s="2" t="s">
        <v>27</v>
      </c>
      <c r="H16" s="2" t="s">
        <v>397</v>
      </c>
      <c r="K16" s="1" t="s">
        <v>443</v>
      </c>
      <c r="L16" s="1" t="s">
        <v>1008</v>
      </c>
      <c r="M16" s="2" t="s">
        <v>82</v>
      </c>
      <c r="P16" s="2" t="s">
        <v>70</v>
      </c>
      <c r="Q16" s="1" t="str">
        <f t="shared" si="1"/>
        <v>*/Declarant/identificationNumber</v>
      </c>
    </row>
    <row r="17" spans="1:17" ht="12" customHeight="1" outlineLevel="2" x14ac:dyDescent="0.35">
      <c r="A17" s="2" t="str">
        <f t="shared" si="0"/>
        <v>CC414B</v>
      </c>
      <c r="B17" s="1">
        <v>2</v>
      </c>
      <c r="C17" s="1" t="s">
        <v>19</v>
      </c>
      <c r="D17" s="2" t="s">
        <v>30</v>
      </c>
      <c r="E17" s="6" t="s">
        <v>4</v>
      </c>
      <c r="F17" s="7" t="s">
        <v>83</v>
      </c>
      <c r="G17" s="2" t="s">
        <v>396</v>
      </c>
      <c r="I17" s="2" t="s">
        <v>401</v>
      </c>
      <c r="L17" s="1" t="s">
        <v>1009</v>
      </c>
      <c r="M17" s="2" t="s">
        <v>84</v>
      </c>
      <c r="P17" s="2" t="s">
        <v>85</v>
      </c>
      <c r="Q17" s="1" t="e">
        <f>IF($B17=0,$M17,_xlfn.TEXTBEFORE(#REF!,"/",$B17,,,#REF!)&amp;"/"&amp;$M17)&amp;IF(_xlfn.TEXTAFTER($D17,"..",,,,1)&lt;&gt;"1","[0]","")</f>
        <v>#REF!</v>
      </c>
    </row>
    <row r="18" spans="1:17" ht="12" customHeight="1" outlineLevel="2" x14ac:dyDescent="0.35">
      <c r="A18" s="3" t="str">
        <f t="shared" si="0"/>
        <v>CC414B</v>
      </c>
      <c r="B18" s="4">
        <v>2</v>
      </c>
      <c r="C18" s="3" t="s">
        <v>24</v>
      </c>
      <c r="D18" s="3" t="s">
        <v>30</v>
      </c>
      <c r="E18" s="8" t="s">
        <v>86</v>
      </c>
      <c r="F18" s="4"/>
      <c r="G18" s="3" t="s">
        <v>396</v>
      </c>
      <c r="H18" s="4"/>
      <c r="I18" s="3" t="s">
        <v>401</v>
      </c>
      <c r="J18" s="4"/>
      <c r="K18" s="4"/>
      <c r="L18" s="4" t="s">
        <v>1010</v>
      </c>
      <c r="M18" s="3" t="s">
        <v>86</v>
      </c>
      <c r="N18" s="4"/>
      <c r="O18" s="4"/>
      <c r="P18" s="3" t="s">
        <v>87</v>
      </c>
      <c r="Q18" s="1" t="e">
        <f t="shared" si="1"/>
        <v>#REF!</v>
      </c>
    </row>
    <row r="19" spans="1:17" ht="12" customHeight="1" outlineLevel="3" x14ac:dyDescent="0.35">
      <c r="A19" s="2" t="str">
        <f t="shared" si="0"/>
        <v>CC414B</v>
      </c>
      <c r="B19" s="1">
        <v>3</v>
      </c>
      <c r="C19" s="1" t="s">
        <v>19</v>
      </c>
      <c r="D19" s="2" t="s">
        <v>25</v>
      </c>
      <c r="E19" s="9" t="s">
        <v>88</v>
      </c>
      <c r="F19" s="7" t="s">
        <v>83</v>
      </c>
      <c r="G19" s="2" t="s">
        <v>27</v>
      </c>
      <c r="L19" s="1" t="s">
        <v>1011</v>
      </c>
      <c r="M19" s="2" t="s">
        <v>89</v>
      </c>
      <c r="P19" s="2" t="s">
        <v>90</v>
      </c>
      <c r="Q19" s="1" t="e">
        <f t="shared" si="1"/>
        <v>#REF!</v>
      </c>
    </row>
    <row r="20" spans="1:17" ht="12" customHeight="1" outlineLevel="3" x14ac:dyDescent="0.35">
      <c r="A20" s="2" t="str">
        <f t="shared" si="0"/>
        <v>CC414B</v>
      </c>
      <c r="B20" s="1">
        <v>3</v>
      </c>
      <c r="C20" s="1" t="s">
        <v>19</v>
      </c>
      <c r="D20" s="2" t="s">
        <v>30</v>
      </c>
      <c r="E20" s="9" t="s">
        <v>91</v>
      </c>
      <c r="F20" s="7" t="s">
        <v>92</v>
      </c>
      <c r="G20" s="2" t="s">
        <v>396</v>
      </c>
      <c r="I20" s="2" t="s">
        <v>402</v>
      </c>
      <c r="L20" s="1" t="s">
        <v>1012</v>
      </c>
      <c r="M20" s="2" t="s">
        <v>93</v>
      </c>
      <c r="P20" s="2" t="s">
        <v>94</v>
      </c>
      <c r="Q20" s="1" t="e">
        <f t="shared" si="1"/>
        <v>#REF!</v>
      </c>
    </row>
    <row r="21" spans="1:17" ht="12" customHeight="1" outlineLevel="3" x14ac:dyDescent="0.35">
      <c r="A21" s="2" t="str">
        <f t="shared" si="0"/>
        <v>CC414B</v>
      </c>
      <c r="B21" s="1">
        <v>3</v>
      </c>
      <c r="C21" s="1" t="s">
        <v>19</v>
      </c>
      <c r="D21" s="2" t="s">
        <v>25</v>
      </c>
      <c r="E21" s="9" t="s">
        <v>95</v>
      </c>
      <c r="F21" s="7" t="s">
        <v>96</v>
      </c>
      <c r="G21" s="2" t="s">
        <v>27</v>
      </c>
      <c r="L21" s="1" t="s">
        <v>1013</v>
      </c>
      <c r="M21" s="2" t="s">
        <v>97</v>
      </c>
      <c r="P21" s="2" t="s">
        <v>98</v>
      </c>
      <c r="Q21" s="1" t="e">
        <f t="shared" si="1"/>
        <v>#REF!</v>
      </c>
    </row>
    <row r="22" spans="1:17" ht="12" customHeight="1" outlineLevel="3" x14ac:dyDescent="0.35">
      <c r="A22" s="2" t="str">
        <f t="shared" si="0"/>
        <v>CC414B</v>
      </c>
      <c r="B22" s="1">
        <v>3</v>
      </c>
      <c r="C22" s="1" t="s">
        <v>19</v>
      </c>
      <c r="D22" s="2" t="s">
        <v>25</v>
      </c>
      <c r="E22" s="9" t="s">
        <v>99</v>
      </c>
      <c r="F22" s="7" t="s">
        <v>50</v>
      </c>
      <c r="G22" s="2" t="s">
        <v>27</v>
      </c>
      <c r="J22" s="2" t="s">
        <v>403</v>
      </c>
      <c r="L22" s="1" t="s">
        <v>1014</v>
      </c>
      <c r="M22" s="2" t="s">
        <v>100</v>
      </c>
      <c r="P22" s="2" t="s">
        <v>52</v>
      </c>
      <c r="Q22" s="1" t="e">
        <f t="shared" si="1"/>
        <v>#REF!</v>
      </c>
    </row>
    <row r="23" spans="1:17" ht="12" customHeight="1" outlineLevel="2" x14ac:dyDescent="0.35">
      <c r="A23" s="3" t="str">
        <f t="shared" si="0"/>
        <v>CC414B</v>
      </c>
      <c r="B23" s="4">
        <v>2</v>
      </c>
      <c r="C23" s="3" t="s">
        <v>24</v>
      </c>
      <c r="D23" s="3" t="s">
        <v>30</v>
      </c>
      <c r="E23" s="8" t="s">
        <v>105</v>
      </c>
      <c r="F23" s="4"/>
      <c r="G23" s="3" t="s">
        <v>22</v>
      </c>
      <c r="H23" s="3" t="s">
        <v>409</v>
      </c>
      <c r="I23" s="4"/>
      <c r="J23" s="4"/>
      <c r="K23" s="4"/>
      <c r="L23" s="4" t="s">
        <v>1015</v>
      </c>
      <c r="M23" s="3" t="s">
        <v>106</v>
      </c>
      <c r="N23" s="4"/>
      <c r="O23" s="4"/>
      <c r="P23" s="3" t="s">
        <v>107</v>
      </c>
      <c r="Q23" s="1" t="e">
        <f t="shared" si="1"/>
        <v>#REF!</v>
      </c>
    </row>
    <row r="24" spans="1:17" ht="12" customHeight="1" outlineLevel="3" x14ac:dyDescent="0.35">
      <c r="A24" s="2" t="str">
        <f t="shared" si="0"/>
        <v>CC414B</v>
      </c>
      <c r="B24" s="1">
        <v>3</v>
      </c>
      <c r="C24" s="1" t="s">
        <v>19</v>
      </c>
      <c r="D24" s="2" t="s">
        <v>25</v>
      </c>
      <c r="E24" s="9" t="s">
        <v>4</v>
      </c>
      <c r="F24" s="7" t="s">
        <v>83</v>
      </c>
      <c r="G24" s="2" t="s">
        <v>27</v>
      </c>
      <c r="M24" s="2" t="s">
        <v>84</v>
      </c>
      <c r="P24" s="2" t="s">
        <v>85</v>
      </c>
      <c r="Q24" s="1" t="e">
        <f t="shared" si="1"/>
        <v>#REF!</v>
      </c>
    </row>
    <row r="25" spans="1:17" ht="12" customHeight="1" outlineLevel="3" x14ac:dyDescent="0.35">
      <c r="A25" s="2" t="str">
        <f t="shared" si="0"/>
        <v>CC414B</v>
      </c>
      <c r="B25" s="1">
        <v>3</v>
      </c>
      <c r="C25" s="1" t="s">
        <v>19</v>
      </c>
      <c r="D25" s="2" t="s">
        <v>25</v>
      </c>
      <c r="E25" s="9" t="s">
        <v>108</v>
      </c>
      <c r="F25" s="7" t="s">
        <v>96</v>
      </c>
      <c r="G25" s="2" t="s">
        <v>27</v>
      </c>
      <c r="M25" s="2" t="s">
        <v>109</v>
      </c>
      <c r="P25" s="2" t="s">
        <v>110</v>
      </c>
      <c r="Q25" s="1" t="e">
        <f t="shared" si="1"/>
        <v>#REF!</v>
      </c>
    </row>
    <row r="26" spans="1:17" ht="12" customHeight="1" outlineLevel="3" x14ac:dyDescent="0.35">
      <c r="A26" s="2" t="str">
        <f t="shared" si="0"/>
        <v>CC414B</v>
      </c>
      <c r="B26" s="1">
        <v>3</v>
      </c>
      <c r="C26" s="1" t="s">
        <v>19</v>
      </c>
      <c r="D26" s="2" t="s">
        <v>25</v>
      </c>
      <c r="E26" s="9" t="s">
        <v>111</v>
      </c>
      <c r="F26" s="7" t="s">
        <v>112</v>
      </c>
      <c r="G26" s="2" t="s">
        <v>27</v>
      </c>
      <c r="M26" s="2" t="s">
        <v>113</v>
      </c>
      <c r="P26" s="2" t="s">
        <v>114</v>
      </c>
      <c r="Q26" s="1" t="e">
        <f t="shared" si="1"/>
        <v>#REF!</v>
      </c>
    </row>
    <row r="27" spans="1:17" ht="12" customHeight="1" outlineLevel="1" x14ac:dyDescent="0.35">
      <c r="A27" s="3" t="str">
        <f t="shared" si="0"/>
        <v>CC414B</v>
      </c>
      <c r="B27" s="4">
        <v>1</v>
      </c>
      <c r="C27" s="3" t="s">
        <v>24</v>
      </c>
      <c r="D27" s="3" t="s">
        <v>30</v>
      </c>
      <c r="E27" s="5" t="s">
        <v>121</v>
      </c>
      <c r="F27" s="4"/>
      <c r="G27" s="3" t="s">
        <v>22</v>
      </c>
      <c r="H27" s="3" t="s">
        <v>787</v>
      </c>
      <c r="I27" s="4"/>
      <c r="J27" s="4"/>
      <c r="K27" s="4"/>
      <c r="L27" s="4" t="s">
        <v>1018</v>
      </c>
      <c r="M27" s="3" t="s">
        <v>121</v>
      </c>
      <c r="N27" s="4"/>
      <c r="O27" s="4"/>
      <c r="P27" s="3" t="s">
        <v>122</v>
      </c>
      <c r="Q27" s="1" t="e">
        <f t="shared" si="1"/>
        <v>#REF!</v>
      </c>
    </row>
    <row r="28" spans="1:17" ht="12" customHeight="1" outlineLevel="2" x14ac:dyDescent="0.35">
      <c r="A28" s="2" t="str">
        <f t="shared" si="0"/>
        <v>CC414B</v>
      </c>
      <c r="B28" s="1">
        <v>2</v>
      </c>
      <c r="C28" s="1" t="s">
        <v>19</v>
      </c>
      <c r="D28" s="2" t="s">
        <v>25</v>
      </c>
      <c r="E28" s="6" t="s">
        <v>81</v>
      </c>
      <c r="F28" s="7" t="s">
        <v>68</v>
      </c>
      <c r="G28" s="2" t="s">
        <v>27</v>
      </c>
      <c r="H28" s="2" t="s">
        <v>788</v>
      </c>
      <c r="L28" s="1" t="s">
        <v>1019</v>
      </c>
      <c r="M28" s="2" t="s">
        <v>82</v>
      </c>
      <c r="P28" s="2" t="s">
        <v>70</v>
      </c>
      <c r="Q28" s="1" t="e">
        <f t="shared" si="1"/>
        <v>#REF!</v>
      </c>
    </row>
    <row r="29" spans="1:17" ht="12" customHeight="1" outlineLevel="2" x14ac:dyDescent="0.35">
      <c r="A29" s="2" t="str">
        <f t="shared" si="0"/>
        <v>CC414B</v>
      </c>
      <c r="B29" s="1">
        <v>2</v>
      </c>
      <c r="C29" s="1" t="s">
        <v>19</v>
      </c>
      <c r="D29" s="2" t="s">
        <v>25</v>
      </c>
      <c r="E29" s="6" t="s">
        <v>6</v>
      </c>
      <c r="F29" s="7" t="s">
        <v>123</v>
      </c>
      <c r="G29" s="2" t="s">
        <v>27</v>
      </c>
      <c r="H29" s="2" t="s">
        <v>407</v>
      </c>
      <c r="J29" s="2" t="s">
        <v>408</v>
      </c>
      <c r="L29" s="1" t="s">
        <v>1020</v>
      </c>
      <c r="M29" s="2" t="s">
        <v>124</v>
      </c>
      <c r="P29" s="2" t="s">
        <v>125</v>
      </c>
      <c r="Q29" s="1" t="e">
        <f>IF($B29=0,$M29,_xlfn.TEXTBEFORE(#REF!,"/",$B29,,,#REF!)&amp;"/"&amp;$M29)&amp;IF(_xlfn.TEXTAFTER($D29,"..",,,,1)&lt;&gt;"1","[0]","")</f>
        <v>#REF!</v>
      </c>
    </row>
    <row r="30" spans="1:17" ht="12" customHeight="1" outlineLevel="2" x14ac:dyDescent="0.35">
      <c r="A30" s="3" t="str">
        <f t="shared" si="0"/>
        <v>CC414B</v>
      </c>
      <c r="B30" s="4">
        <v>2</v>
      </c>
      <c r="C30" s="3" t="s">
        <v>24</v>
      </c>
      <c r="D30" s="3" t="s">
        <v>30</v>
      </c>
      <c r="E30" s="8" t="s">
        <v>105</v>
      </c>
      <c r="F30" s="4"/>
      <c r="G30" s="3" t="s">
        <v>22</v>
      </c>
      <c r="H30" s="3" t="s">
        <v>409</v>
      </c>
      <c r="I30" s="4"/>
      <c r="J30" s="4"/>
      <c r="K30" s="4"/>
      <c r="L30" s="4" t="s">
        <v>1021</v>
      </c>
      <c r="M30" s="3" t="s">
        <v>106</v>
      </c>
      <c r="N30" s="4"/>
      <c r="O30" s="4"/>
      <c r="P30" s="3" t="s">
        <v>107</v>
      </c>
      <c r="Q30" s="1" t="e">
        <f t="shared" si="1"/>
        <v>#REF!</v>
      </c>
    </row>
    <row r="31" spans="1:17" ht="12" customHeight="1" outlineLevel="3" x14ac:dyDescent="0.35">
      <c r="A31" s="2" t="str">
        <f t="shared" si="0"/>
        <v>CC414B</v>
      </c>
      <c r="B31" s="1">
        <v>3</v>
      </c>
      <c r="C31" s="1" t="s">
        <v>19</v>
      </c>
      <c r="D31" s="2" t="s">
        <v>25</v>
      </c>
      <c r="E31" s="9" t="s">
        <v>4</v>
      </c>
      <c r="F31" s="7" t="s">
        <v>83</v>
      </c>
      <c r="G31" s="2" t="s">
        <v>27</v>
      </c>
      <c r="M31" s="2" t="s">
        <v>84</v>
      </c>
      <c r="P31" s="2" t="s">
        <v>85</v>
      </c>
      <c r="Q31" s="1" t="e">
        <f t="shared" si="1"/>
        <v>#REF!</v>
      </c>
    </row>
    <row r="32" spans="1:17" ht="12" customHeight="1" outlineLevel="3" x14ac:dyDescent="0.35">
      <c r="A32" s="2" t="str">
        <f t="shared" ref="A32:A38" si="2">$E$2</f>
        <v>CC414B</v>
      </c>
      <c r="B32" s="1">
        <v>3</v>
      </c>
      <c r="C32" s="1" t="s">
        <v>19</v>
      </c>
      <c r="D32" s="2" t="s">
        <v>25</v>
      </c>
      <c r="E32" s="9" t="s">
        <v>108</v>
      </c>
      <c r="F32" s="7" t="s">
        <v>96</v>
      </c>
      <c r="G32" s="2" t="s">
        <v>27</v>
      </c>
      <c r="M32" s="2" t="s">
        <v>109</v>
      </c>
      <c r="P32" s="2" t="s">
        <v>110</v>
      </c>
      <c r="Q32" s="1" t="e">
        <f t="shared" si="1"/>
        <v>#REF!</v>
      </c>
    </row>
    <row r="33" spans="1:17" ht="12" customHeight="1" outlineLevel="3" x14ac:dyDescent="0.35">
      <c r="A33" s="2" t="str">
        <f t="shared" si="2"/>
        <v>CC414B</v>
      </c>
      <c r="B33" s="1">
        <v>3</v>
      </c>
      <c r="C33" s="1" t="s">
        <v>19</v>
      </c>
      <c r="D33" s="2" t="s">
        <v>25</v>
      </c>
      <c r="E33" s="9" t="s">
        <v>111</v>
      </c>
      <c r="F33" s="7" t="s">
        <v>112</v>
      </c>
      <c r="G33" s="2" t="s">
        <v>27</v>
      </c>
      <c r="M33" s="2" t="s">
        <v>113</v>
      </c>
      <c r="P33" s="2" t="s">
        <v>114</v>
      </c>
      <c r="Q33" s="1" t="e">
        <f t="shared" si="1"/>
        <v>#REF!</v>
      </c>
    </row>
    <row r="34" spans="1:17" ht="12" customHeight="1" outlineLevel="1" x14ac:dyDescent="0.35">
      <c r="A34" s="3" t="str">
        <f t="shared" si="2"/>
        <v>CC414B</v>
      </c>
      <c r="B34" s="4">
        <v>1</v>
      </c>
      <c r="C34" s="3" t="s">
        <v>24</v>
      </c>
      <c r="D34" s="3" t="s">
        <v>193</v>
      </c>
      <c r="E34" s="5" t="s">
        <v>219</v>
      </c>
      <c r="F34" s="4"/>
      <c r="G34" s="3" t="s">
        <v>22</v>
      </c>
      <c r="H34" s="3" t="s">
        <v>489</v>
      </c>
      <c r="I34" s="4"/>
      <c r="J34" s="4"/>
      <c r="K34" s="4"/>
      <c r="L34" s="4"/>
      <c r="M34" s="3" t="s">
        <v>220</v>
      </c>
      <c r="N34" s="4"/>
      <c r="O34" s="4"/>
      <c r="P34" s="3" t="s">
        <v>221</v>
      </c>
      <c r="Q34" s="1" t="e">
        <f t="shared" si="1"/>
        <v>#REF!</v>
      </c>
    </row>
    <row r="35" spans="1:17" ht="12" customHeight="1" outlineLevel="2" x14ac:dyDescent="0.35">
      <c r="A35" s="2" t="str">
        <f t="shared" si="2"/>
        <v>CC414B</v>
      </c>
      <c r="B35" s="1">
        <v>2</v>
      </c>
      <c r="C35" s="1" t="s">
        <v>19</v>
      </c>
      <c r="D35" s="2" t="s">
        <v>25</v>
      </c>
      <c r="E35" s="6" t="s">
        <v>56</v>
      </c>
      <c r="F35" s="7" t="s">
        <v>57</v>
      </c>
      <c r="G35" s="2" t="s">
        <v>27</v>
      </c>
      <c r="H35" s="2" t="s">
        <v>393</v>
      </c>
      <c r="M35" s="2" t="s">
        <v>58</v>
      </c>
      <c r="P35" s="2" t="s">
        <v>59</v>
      </c>
      <c r="Q35" s="1" t="e">
        <f t="shared" si="1"/>
        <v>#REF!</v>
      </c>
    </row>
    <row r="36" spans="1:17" ht="12" customHeight="1" outlineLevel="2" x14ac:dyDescent="0.35">
      <c r="A36" s="2" t="str">
        <f t="shared" si="2"/>
        <v>CC414B</v>
      </c>
      <c r="B36" s="1">
        <v>2</v>
      </c>
      <c r="C36" s="1" t="s">
        <v>19</v>
      </c>
      <c r="D36" s="2" t="s">
        <v>25</v>
      </c>
      <c r="E36" s="6" t="s">
        <v>222</v>
      </c>
      <c r="F36" s="7" t="s">
        <v>223</v>
      </c>
      <c r="G36" s="2" t="s">
        <v>27</v>
      </c>
      <c r="H36" s="2" t="s">
        <v>477</v>
      </c>
      <c r="J36" s="2" t="s">
        <v>513</v>
      </c>
      <c r="M36" s="2" t="s">
        <v>224</v>
      </c>
      <c r="P36" s="2" t="s">
        <v>225</v>
      </c>
      <c r="Q36" s="1" t="e">
        <f t="shared" si="1"/>
        <v>#REF!</v>
      </c>
    </row>
    <row r="37" spans="1:17" ht="12" customHeight="1" outlineLevel="2" x14ac:dyDescent="0.35">
      <c r="A37" s="2" t="str">
        <f t="shared" si="2"/>
        <v>CC414B</v>
      </c>
      <c r="B37" s="1">
        <v>2</v>
      </c>
      <c r="C37" s="1" t="s">
        <v>19</v>
      </c>
      <c r="D37" s="2" t="s">
        <v>30</v>
      </c>
      <c r="E37" s="6" t="s">
        <v>142</v>
      </c>
      <c r="F37" s="7" t="s">
        <v>50</v>
      </c>
      <c r="G37" s="2" t="s">
        <v>396</v>
      </c>
      <c r="H37" s="2" t="s">
        <v>512</v>
      </c>
      <c r="I37" s="2" t="s">
        <v>493</v>
      </c>
      <c r="J37" s="2" t="s">
        <v>416</v>
      </c>
      <c r="M37" s="2" t="s">
        <v>143</v>
      </c>
      <c r="P37" s="2" t="s">
        <v>52</v>
      </c>
      <c r="Q37" s="1" t="e">
        <f t="shared" si="1"/>
        <v>#REF!</v>
      </c>
    </row>
    <row r="38" spans="1:17" ht="12" customHeight="1" outlineLevel="2" x14ac:dyDescent="0.35">
      <c r="A38" s="2" t="str">
        <f t="shared" si="2"/>
        <v>CC414B</v>
      </c>
      <c r="B38" s="1">
        <v>2</v>
      </c>
      <c r="C38" s="1" t="s">
        <v>19</v>
      </c>
      <c r="D38" s="2" t="s">
        <v>30</v>
      </c>
      <c r="E38" s="6" t="s">
        <v>226</v>
      </c>
      <c r="F38" s="7" t="s">
        <v>216</v>
      </c>
      <c r="G38" s="2" t="s">
        <v>22</v>
      </c>
      <c r="M38" s="2" t="s">
        <v>227</v>
      </c>
      <c r="P38" s="2" t="s">
        <v>218</v>
      </c>
      <c r="Q38" s="1" t="e">
        <f t="shared" si="1"/>
        <v>#REF!</v>
      </c>
    </row>
    <row r="39" spans="1:17" ht="12" customHeight="1" x14ac:dyDescent="0.35"/>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7C348-FE09-474F-AA1C-BF218F2759B0}">
  <sheetPr codeName="Ark7">
    <tabColor rgb="FF00B0F0"/>
    <outlinePr summaryBelow="0" summaryRight="0"/>
  </sheetPr>
  <dimension ref="A1:Q55"/>
  <sheetViews>
    <sheetView zoomScaleNormal="100" workbookViewId="0">
      <pane xSplit="1" ySplit="1" topLeftCell="D2" activePane="bottomRight" state="frozen"/>
      <selection activeCell="D2" sqref="D2"/>
      <selection pane="topRight" activeCell="D2" sqref="D2"/>
      <selection pane="bottomLeft" activeCell="D2" sqref="D2"/>
      <selection pane="bottomRight" activeCell="D2" sqref="D2"/>
    </sheetView>
  </sheetViews>
  <sheetFormatPr defaultColWidth="11.54296875" defaultRowHeight="12" outlineLevelRow="5" x14ac:dyDescent="0.35"/>
  <cols>
    <col min="1" max="3" width="0" style="1" hidden="1" customWidth="1"/>
    <col min="4" max="4" width="6.54296875" style="1" customWidth="1"/>
    <col min="5" max="5" width="70.54296875" style="1" customWidth="1"/>
    <col min="6" max="11" width="8.54296875" style="1" customWidth="1"/>
    <col min="12" max="14" width="24.54296875" style="1" customWidth="1"/>
    <col min="15" max="15" width="24.54296875" style="1" hidden="1" customWidth="1"/>
    <col min="16" max="17" width="24.54296875" style="1" customWidth="1"/>
    <col min="18" max="16384" width="11.54296875" style="1"/>
  </cols>
  <sheetData>
    <row r="1" spans="1:17" ht="12"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P1" s="1" t="s">
        <v>14</v>
      </c>
      <c r="Q1" s="1" t="s">
        <v>208</v>
      </c>
    </row>
    <row r="2" spans="1:17" ht="12" customHeight="1" x14ac:dyDescent="0.35">
      <c r="A2" s="2" t="str">
        <f t="shared" ref="A2:A30" si="0">$E$2</f>
        <v>CC432B</v>
      </c>
      <c r="B2" s="1">
        <v>0</v>
      </c>
      <c r="C2" s="2" t="s">
        <v>16</v>
      </c>
      <c r="E2" s="2" t="s">
        <v>233</v>
      </c>
      <c r="M2" s="2" t="s">
        <v>17</v>
      </c>
      <c r="P2" s="2" t="s">
        <v>234</v>
      </c>
      <c r="Q2" s="1" t="str">
        <f>IF($B2=0,$M2,_xlfn.TEXTBEFORE(Q1,"/",$B2,,,Q1)&amp;"/"&amp;$M2)&amp;IF(_xlfn.TEXTAFTER($D2,"..",,,,1)&lt;&gt;"1","[0]","")</f>
        <v>*</v>
      </c>
    </row>
    <row r="3" spans="1:17" ht="12" customHeight="1" outlineLevel="1" x14ac:dyDescent="0.35">
      <c r="A3" s="3" t="str">
        <f t="shared" si="0"/>
        <v>CC432B</v>
      </c>
      <c r="B3" s="4">
        <v>1</v>
      </c>
      <c r="C3" s="3" t="s">
        <v>24</v>
      </c>
      <c r="D3" s="3" t="s">
        <v>20</v>
      </c>
      <c r="E3" s="5" t="s">
        <v>21</v>
      </c>
      <c r="F3" s="4"/>
      <c r="G3" s="3" t="s">
        <v>22</v>
      </c>
      <c r="H3" s="4"/>
      <c r="I3" s="4"/>
      <c r="J3" s="4"/>
      <c r="K3" s="4"/>
      <c r="L3" s="4"/>
      <c r="M3" s="3" t="s">
        <v>21</v>
      </c>
      <c r="N3" s="4"/>
      <c r="O3" s="4"/>
      <c r="P3" s="3" t="s">
        <v>23</v>
      </c>
      <c r="Q3" s="1" t="str">
        <f t="shared" ref="Q3:Q54" si="1">IF($B3=0,$M3,_xlfn.TEXTBEFORE(Q2,"/",$B3,,,Q2)&amp;"/"&amp;$M3)&amp;IF(_xlfn.TEXTAFTER($D3,"..",,,,1)&lt;&gt;"1","[0]","")</f>
        <v>*/Extensions[0]</v>
      </c>
    </row>
    <row r="4" spans="1:17" ht="12" customHeight="1" outlineLevel="2" x14ac:dyDescent="0.35">
      <c r="A4" s="2" t="str">
        <f t="shared" si="0"/>
        <v>CC432B</v>
      </c>
      <c r="B4" s="1">
        <v>2</v>
      </c>
      <c r="C4" s="1" t="s">
        <v>19</v>
      </c>
      <c r="D4" s="2" t="s">
        <v>25</v>
      </c>
      <c r="E4" s="6" t="s">
        <v>774</v>
      </c>
      <c r="F4" s="1" t="s">
        <v>775</v>
      </c>
      <c r="G4" s="2" t="s">
        <v>27</v>
      </c>
      <c r="M4" s="2" t="s">
        <v>776</v>
      </c>
      <c r="Q4" s="1" t="str">
        <f t="shared" si="1"/>
        <v>*/Extensions[0]/SequenceNumeric</v>
      </c>
    </row>
    <row r="5" spans="1:17" ht="12" customHeight="1" outlineLevel="2" x14ac:dyDescent="0.35">
      <c r="A5" s="2" t="str">
        <f t="shared" si="0"/>
        <v>CC432B</v>
      </c>
      <c r="B5" s="1">
        <v>2</v>
      </c>
      <c r="C5" s="1" t="s">
        <v>19</v>
      </c>
      <c r="D5" s="2" t="s">
        <v>30</v>
      </c>
      <c r="E5" s="6" t="s">
        <v>777</v>
      </c>
      <c r="F5" s="1" t="s">
        <v>778</v>
      </c>
      <c r="G5" s="2" t="s">
        <v>22</v>
      </c>
      <c r="M5" s="2" t="s">
        <v>779</v>
      </c>
      <c r="Q5" s="1" t="str">
        <f t="shared" si="1"/>
        <v>*/Extensions[0]/ID</v>
      </c>
    </row>
    <row r="6" spans="1:17" ht="12" customHeight="1" outlineLevel="2" x14ac:dyDescent="0.35">
      <c r="A6" s="2" t="str">
        <f t="shared" si="0"/>
        <v>CC432B</v>
      </c>
      <c r="B6" s="1">
        <v>2</v>
      </c>
      <c r="C6" s="1" t="s">
        <v>19</v>
      </c>
      <c r="D6" s="2" t="s">
        <v>25</v>
      </c>
      <c r="E6" s="6" t="s">
        <v>780</v>
      </c>
      <c r="F6" s="1" t="s">
        <v>778</v>
      </c>
      <c r="G6" s="2" t="s">
        <v>27</v>
      </c>
      <c r="M6" s="2" t="s">
        <v>780</v>
      </c>
      <c r="Q6" s="1" t="str">
        <f t="shared" si="1"/>
        <v>*/Extensions[0]/Key</v>
      </c>
    </row>
    <row r="7" spans="1:17" ht="12" customHeight="1" outlineLevel="2" x14ac:dyDescent="0.35">
      <c r="A7" s="2" t="str">
        <f t="shared" si="0"/>
        <v>CC432B</v>
      </c>
      <c r="B7" s="1">
        <v>2</v>
      </c>
      <c r="C7" s="1" t="s">
        <v>19</v>
      </c>
      <c r="D7" s="2" t="s">
        <v>25</v>
      </c>
      <c r="E7" s="6" t="s">
        <v>781</v>
      </c>
      <c r="F7" s="1" t="s">
        <v>778</v>
      </c>
      <c r="G7" s="2" t="s">
        <v>27</v>
      </c>
      <c r="M7" s="2" t="s">
        <v>781</v>
      </c>
      <c r="Q7" s="1" t="str">
        <f t="shared" si="1"/>
        <v>*/Extensions[0]/Value</v>
      </c>
    </row>
    <row r="8" spans="1:17" ht="12" customHeight="1" outlineLevel="2" x14ac:dyDescent="0.35">
      <c r="A8" s="2" t="str">
        <f t="shared" si="0"/>
        <v>CC432B</v>
      </c>
      <c r="B8" s="1">
        <v>2</v>
      </c>
      <c r="C8" s="1" t="s">
        <v>19</v>
      </c>
      <c r="D8" s="2" t="s">
        <v>25</v>
      </c>
      <c r="E8" s="6" t="s">
        <v>782</v>
      </c>
      <c r="F8" s="7" t="s">
        <v>783</v>
      </c>
      <c r="G8" s="2" t="s">
        <v>27</v>
      </c>
      <c r="M8" s="2" t="s">
        <v>784</v>
      </c>
      <c r="Q8" s="1" t="str">
        <f t="shared" si="1"/>
        <v>*/Extensions[0]/DataType</v>
      </c>
    </row>
    <row r="9" spans="1:17" ht="12" customHeight="1" outlineLevel="2" x14ac:dyDescent="0.35">
      <c r="A9" s="21" t="str">
        <f t="shared" si="0"/>
        <v>CC432B</v>
      </c>
      <c r="B9" s="22">
        <v>2</v>
      </c>
      <c r="C9" s="22" t="s">
        <v>19</v>
      </c>
      <c r="D9" s="21" t="s">
        <v>20</v>
      </c>
      <c r="E9" s="23" t="s">
        <v>21</v>
      </c>
      <c r="F9" s="22"/>
      <c r="G9" s="21" t="s">
        <v>22</v>
      </c>
      <c r="H9" s="22"/>
      <c r="I9" s="22"/>
      <c r="J9" s="22"/>
      <c r="K9" s="22"/>
      <c r="L9" s="22"/>
      <c r="M9" s="21" t="s">
        <v>21</v>
      </c>
      <c r="N9" s="22"/>
      <c r="O9" s="22"/>
      <c r="P9" s="21" t="s">
        <v>785</v>
      </c>
      <c r="Q9" s="1" t="str">
        <f t="shared" si="1"/>
        <v>*/Extensions[0]/Extensions[0]</v>
      </c>
    </row>
    <row r="10" spans="1:17" ht="12" customHeight="1" outlineLevel="1" x14ac:dyDescent="0.35">
      <c r="A10" s="3" t="str">
        <f t="shared" si="0"/>
        <v>CC432B</v>
      </c>
      <c r="B10" s="4">
        <v>1</v>
      </c>
      <c r="C10" s="3" t="s">
        <v>24</v>
      </c>
      <c r="D10" s="3" t="s">
        <v>25</v>
      </c>
      <c r="E10" s="5" t="s">
        <v>26</v>
      </c>
      <c r="F10" s="4"/>
      <c r="G10" s="3" t="s">
        <v>27</v>
      </c>
      <c r="H10" s="4"/>
      <c r="I10" s="4"/>
      <c r="J10" s="4"/>
      <c r="K10" s="4"/>
      <c r="L10" s="4"/>
      <c r="M10" s="3" t="s">
        <v>28</v>
      </c>
      <c r="N10" s="4"/>
      <c r="O10" s="4"/>
      <c r="P10" s="3" t="s">
        <v>235</v>
      </c>
      <c r="Q10" s="1" t="str">
        <f t="shared" si="1"/>
        <v>*/ImportOperation</v>
      </c>
    </row>
    <row r="11" spans="1:17" ht="12" customHeight="1" outlineLevel="2" x14ac:dyDescent="0.35">
      <c r="A11" s="2" t="str">
        <f t="shared" si="0"/>
        <v>CC432B</v>
      </c>
      <c r="B11" s="1">
        <v>2</v>
      </c>
      <c r="C11" s="1" t="s">
        <v>19</v>
      </c>
      <c r="D11" s="2" t="s">
        <v>25</v>
      </c>
      <c r="E11" s="6" t="s">
        <v>31</v>
      </c>
      <c r="F11" s="7" t="s">
        <v>32</v>
      </c>
      <c r="G11" s="2" t="s">
        <v>27</v>
      </c>
      <c r="H11" s="2" t="s">
        <v>982</v>
      </c>
      <c r="M11" s="2" t="s">
        <v>33</v>
      </c>
      <c r="P11" s="2" t="s">
        <v>34</v>
      </c>
      <c r="Q11" s="1" t="str">
        <f t="shared" si="1"/>
        <v>*/ImportOperation/LRN</v>
      </c>
    </row>
    <row r="12" spans="1:17" ht="12" customHeight="1" outlineLevel="1" x14ac:dyDescent="0.35">
      <c r="A12" s="3" t="str">
        <f t="shared" si="0"/>
        <v>CC432B</v>
      </c>
      <c r="B12" s="4">
        <v>1</v>
      </c>
      <c r="C12" s="3" t="s">
        <v>24</v>
      </c>
      <c r="D12" s="3" t="s">
        <v>30</v>
      </c>
      <c r="E12" s="5" t="s">
        <v>71</v>
      </c>
      <c r="F12" s="4"/>
      <c r="G12" s="3" t="s">
        <v>22</v>
      </c>
      <c r="H12" s="3" t="s">
        <v>982</v>
      </c>
      <c r="I12" s="4"/>
      <c r="J12" s="4"/>
      <c r="K12" s="4"/>
      <c r="L12" s="4" t="s">
        <v>995</v>
      </c>
      <c r="M12" s="3" t="s">
        <v>72</v>
      </c>
      <c r="N12" s="4"/>
      <c r="O12" s="4"/>
      <c r="P12" s="3" t="s">
        <v>73</v>
      </c>
      <c r="Q12" s="1" t="e">
        <f>IF($B12=0,$M12,_xlfn.TEXTBEFORE(#REF!,"/",$B12,,,#REF!)&amp;"/"&amp;$M12)&amp;IF(_xlfn.TEXTAFTER($D12,"..",,,,1)&lt;&gt;"1","[0]","")</f>
        <v>#REF!</v>
      </c>
    </row>
    <row r="13" spans="1:17" ht="12" customHeight="1" outlineLevel="2" x14ac:dyDescent="0.35">
      <c r="A13" s="2" t="str">
        <f t="shared" si="0"/>
        <v>CC432B</v>
      </c>
      <c r="B13" s="1">
        <v>2</v>
      </c>
      <c r="C13" s="1" t="s">
        <v>19</v>
      </c>
      <c r="D13" s="2" t="s">
        <v>25</v>
      </c>
      <c r="E13" s="6" t="s">
        <v>63</v>
      </c>
      <c r="F13" s="7" t="s">
        <v>74</v>
      </c>
      <c r="G13" s="2" t="s">
        <v>27</v>
      </c>
      <c r="J13" s="2" t="s">
        <v>399</v>
      </c>
      <c r="L13" s="1" t="s">
        <v>996</v>
      </c>
      <c r="M13" s="2" t="s">
        <v>65</v>
      </c>
      <c r="P13" s="2" t="s">
        <v>75</v>
      </c>
      <c r="Q13" s="1" t="e">
        <f t="shared" si="1"/>
        <v>#REF!</v>
      </c>
    </row>
    <row r="14" spans="1:17" ht="12" customHeight="1" outlineLevel="1" x14ac:dyDescent="0.35">
      <c r="A14" s="3" t="str">
        <f t="shared" si="0"/>
        <v>CC432B</v>
      </c>
      <c r="B14" s="4">
        <v>1</v>
      </c>
      <c r="C14" s="3" t="s">
        <v>24</v>
      </c>
      <c r="D14" s="3" t="s">
        <v>25</v>
      </c>
      <c r="E14" s="5" t="s">
        <v>101</v>
      </c>
      <c r="F14" s="4"/>
      <c r="G14" s="3" t="s">
        <v>27</v>
      </c>
      <c r="H14" s="3" t="s">
        <v>982</v>
      </c>
      <c r="I14" s="4"/>
      <c r="J14" s="4"/>
      <c r="K14" s="4"/>
      <c r="L14" s="4" t="s">
        <v>1007</v>
      </c>
      <c r="M14" s="3" t="s">
        <v>101</v>
      </c>
      <c r="N14" s="4"/>
      <c r="O14" s="4"/>
      <c r="P14" s="3" t="s">
        <v>238</v>
      </c>
      <c r="Q14" s="1" t="e">
        <f t="shared" si="1"/>
        <v>#REF!</v>
      </c>
    </row>
    <row r="15" spans="1:17" ht="12" customHeight="1" outlineLevel="2" x14ac:dyDescent="0.35">
      <c r="A15" s="2" t="str">
        <f t="shared" si="0"/>
        <v>CC432B</v>
      </c>
      <c r="B15" s="1">
        <v>2</v>
      </c>
      <c r="C15" s="1" t="s">
        <v>19</v>
      </c>
      <c r="D15" s="2" t="s">
        <v>25</v>
      </c>
      <c r="E15" s="6" t="s">
        <v>81</v>
      </c>
      <c r="F15" s="7" t="s">
        <v>68</v>
      </c>
      <c r="G15" s="2" t="s">
        <v>27</v>
      </c>
      <c r="H15" s="2" t="s">
        <v>397</v>
      </c>
      <c r="K15" s="1" t="s">
        <v>443</v>
      </c>
      <c r="L15" s="1" t="s">
        <v>1008</v>
      </c>
      <c r="M15" s="2" t="s">
        <v>82</v>
      </c>
      <c r="P15" s="2" t="s">
        <v>70</v>
      </c>
      <c r="Q15" s="1" t="e">
        <f t="shared" si="1"/>
        <v>#REF!</v>
      </c>
    </row>
    <row r="16" spans="1:17" ht="12" customHeight="1" outlineLevel="2" x14ac:dyDescent="0.35">
      <c r="A16" s="2" t="str">
        <f t="shared" si="0"/>
        <v>CC432B</v>
      </c>
      <c r="B16" s="1">
        <v>2</v>
      </c>
      <c r="C16" s="1" t="s">
        <v>19</v>
      </c>
      <c r="D16" s="2" t="s">
        <v>30</v>
      </c>
      <c r="E16" s="6" t="s">
        <v>4</v>
      </c>
      <c r="F16" s="7" t="s">
        <v>83</v>
      </c>
      <c r="G16" s="2" t="s">
        <v>396</v>
      </c>
      <c r="I16" s="2" t="s">
        <v>401</v>
      </c>
      <c r="L16" s="1" t="s">
        <v>1009</v>
      </c>
      <c r="M16" s="2" t="s">
        <v>84</v>
      </c>
      <c r="P16" s="2" t="s">
        <v>85</v>
      </c>
      <c r="Q16" s="1" t="e">
        <f>IF($B16=0,$M16,_xlfn.TEXTBEFORE(#REF!,"/",$B16,,,#REF!)&amp;"/"&amp;$M16)&amp;IF(_xlfn.TEXTAFTER($D16,"..",,,,1)&lt;&gt;"1","[0]","")</f>
        <v>#REF!</v>
      </c>
    </row>
    <row r="17" spans="1:17" ht="12" customHeight="1" outlineLevel="2" x14ac:dyDescent="0.35">
      <c r="A17" s="3" t="str">
        <f t="shared" si="0"/>
        <v>CC432B</v>
      </c>
      <c r="B17" s="4">
        <v>2</v>
      </c>
      <c r="C17" s="3" t="s">
        <v>24</v>
      </c>
      <c r="D17" s="3" t="s">
        <v>30</v>
      </c>
      <c r="E17" s="8" t="s">
        <v>86</v>
      </c>
      <c r="F17" s="4"/>
      <c r="G17" s="3" t="s">
        <v>396</v>
      </c>
      <c r="H17" s="4"/>
      <c r="I17" s="3" t="s">
        <v>401</v>
      </c>
      <c r="J17" s="4"/>
      <c r="K17" s="4"/>
      <c r="L17" s="4" t="s">
        <v>1010</v>
      </c>
      <c r="M17" s="3" t="s">
        <v>86</v>
      </c>
      <c r="N17" s="4"/>
      <c r="O17" s="4"/>
      <c r="P17" s="3" t="s">
        <v>87</v>
      </c>
      <c r="Q17" s="1" t="e">
        <f t="shared" si="1"/>
        <v>#REF!</v>
      </c>
    </row>
    <row r="18" spans="1:17" ht="12" customHeight="1" outlineLevel="3" x14ac:dyDescent="0.35">
      <c r="A18" s="2" t="str">
        <f t="shared" si="0"/>
        <v>CC432B</v>
      </c>
      <c r="B18" s="1">
        <v>3</v>
      </c>
      <c r="C18" s="1" t="s">
        <v>19</v>
      </c>
      <c r="D18" s="2" t="s">
        <v>25</v>
      </c>
      <c r="E18" s="9" t="s">
        <v>88</v>
      </c>
      <c r="F18" s="7" t="s">
        <v>83</v>
      </c>
      <c r="G18" s="2" t="s">
        <v>27</v>
      </c>
      <c r="L18" s="1" t="s">
        <v>1011</v>
      </c>
      <c r="M18" s="2" t="s">
        <v>89</v>
      </c>
      <c r="P18" s="2" t="s">
        <v>90</v>
      </c>
      <c r="Q18" s="1" t="e">
        <f t="shared" si="1"/>
        <v>#REF!</v>
      </c>
    </row>
    <row r="19" spans="1:17" ht="12" customHeight="1" outlineLevel="3" x14ac:dyDescent="0.35">
      <c r="A19" s="2" t="str">
        <f t="shared" si="0"/>
        <v>CC432B</v>
      </c>
      <c r="B19" s="1">
        <v>3</v>
      </c>
      <c r="C19" s="1" t="s">
        <v>19</v>
      </c>
      <c r="D19" s="2" t="s">
        <v>30</v>
      </c>
      <c r="E19" s="9" t="s">
        <v>91</v>
      </c>
      <c r="F19" s="7" t="s">
        <v>92</v>
      </c>
      <c r="G19" s="2" t="s">
        <v>396</v>
      </c>
      <c r="I19" s="2" t="s">
        <v>402</v>
      </c>
      <c r="L19" s="1" t="s">
        <v>1012</v>
      </c>
      <c r="M19" s="2" t="s">
        <v>93</v>
      </c>
      <c r="P19" s="2" t="s">
        <v>94</v>
      </c>
      <c r="Q19" s="1" t="e">
        <f t="shared" si="1"/>
        <v>#REF!</v>
      </c>
    </row>
    <row r="20" spans="1:17" ht="12" customHeight="1" outlineLevel="3" x14ac:dyDescent="0.35">
      <c r="A20" s="2" t="str">
        <f t="shared" si="0"/>
        <v>CC432B</v>
      </c>
      <c r="B20" s="1">
        <v>3</v>
      </c>
      <c r="C20" s="1" t="s">
        <v>19</v>
      </c>
      <c r="D20" s="2" t="s">
        <v>25</v>
      </c>
      <c r="E20" s="9" t="s">
        <v>95</v>
      </c>
      <c r="F20" s="7" t="s">
        <v>96</v>
      </c>
      <c r="G20" s="2" t="s">
        <v>27</v>
      </c>
      <c r="L20" s="1" t="s">
        <v>1013</v>
      </c>
      <c r="M20" s="2" t="s">
        <v>97</v>
      </c>
      <c r="P20" s="2" t="s">
        <v>98</v>
      </c>
      <c r="Q20" s="1" t="e">
        <f t="shared" si="1"/>
        <v>#REF!</v>
      </c>
    </row>
    <row r="21" spans="1:17" ht="12" customHeight="1" outlineLevel="3" x14ac:dyDescent="0.35">
      <c r="A21" s="2" t="str">
        <f t="shared" si="0"/>
        <v>CC432B</v>
      </c>
      <c r="B21" s="1">
        <v>3</v>
      </c>
      <c r="C21" s="1" t="s">
        <v>19</v>
      </c>
      <c r="D21" s="2" t="s">
        <v>25</v>
      </c>
      <c r="E21" s="9" t="s">
        <v>99</v>
      </c>
      <c r="F21" s="7" t="s">
        <v>50</v>
      </c>
      <c r="G21" s="2" t="s">
        <v>27</v>
      </c>
      <c r="J21" s="2" t="s">
        <v>403</v>
      </c>
      <c r="L21" s="1" t="s">
        <v>1014</v>
      </c>
      <c r="M21" s="2" t="s">
        <v>100</v>
      </c>
      <c r="P21" s="2" t="s">
        <v>52</v>
      </c>
      <c r="Q21" s="1" t="e">
        <f t="shared" si="1"/>
        <v>#REF!</v>
      </c>
    </row>
    <row r="22" spans="1:17" ht="12" customHeight="1" outlineLevel="1" x14ac:dyDescent="0.35">
      <c r="A22" s="3" t="str">
        <f t="shared" si="0"/>
        <v>CC432B</v>
      </c>
      <c r="B22" s="4">
        <v>1</v>
      </c>
      <c r="C22" s="3" t="s">
        <v>24</v>
      </c>
      <c r="D22" s="3" t="s">
        <v>30</v>
      </c>
      <c r="E22" s="5" t="s">
        <v>121</v>
      </c>
      <c r="F22" s="4"/>
      <c r="G22" s="3" t="s">
        <v>22</v>
      </c>
      <c r="H22" s="3" t="s">
        <v>982</v>
      </c>
      <c r="I22" s="4"/>
      <c r="J22" s="4"/>
      <c r="K22" s="4"/>
      <c r="L22" s="4" t="s">
        <v>1018</v>
      </c>
      <c r="M22" s="3" t="s">
        <v>121</v>
      </c>
      <c r="N22" s="4"/>
      <c r="O22" s="4"/>
      <c r="P22" s="3" t="s">
        <v>239</v>
      </c>
      <c r="Q22" s="1" t="e">
        <f t="shared" si="1"/>
        <v>#REF!</v>
      </c>
    </row>
    <row r="23" spans="1:17" ht="12" customHeight="1" outlineLevel="2" x14ac:dyDescent="0.35">
      <c r="A23" s="2" t="str">
        <f t="shared" si="0"/>
        <v>CC432B</v>
      </c>
      <c r="B23" s="1">
        <v>2</v>
      </c>
      <c r="C23" s="1" t="s">
        <v>19</v>
      </c>
      <c r="D23" s="2" t="s">
        <v>25</v>
      </c>
      <c r="E23" s="6" t="s">
        <v>81</v>
      </c>
      <c r="F23" s="7" t="s">
        <v>68</v>
      </c>
      <c r="G23" s="2" t="s">
        <v>27</v>
      </c>
      <c r="H23" s="2" t="s">
        <v>788</v>
      </c>
      <c r="L23" s="1" t="s">
        <v>1019</v>
      </c>
      <c r="M23" s="2" t="s">
        <v>82</v>
      </c>
      <c r="P23" s="2" t="s">
        <v>70</v>
      </c>
      <c r="Q23" s="1" t="e">
        <f t="shared" si="1"/>
        <v>#REF!</v>
      </c>
    </row>
    <row r="24" spans="1:17" ht="12" customHeight="1" outlineLevel="2" x14ac:dyDescent="0.35">
      <c r="A24" s="2" t="str">
        <f t="shared" si="0"/>
        <v>CC432B</v>
      </c>
      <c r="B24" s="1">
        <v>2</v>
      </c>
      <c r="C24" s="1" t="s">
        <v>19</v>
      </c>
      <c r="D24" s="2" t="s">
        <v>25</v>
      </c>
      <c r="E24" s="6" t="s">
        <v>6</v>
      </c>
      <c r="F24" s="7" t="s">
        <v>123</v>
      </c>
      <c r="G24" s="2" t="s">
        <v>27</v>
      </c>
      <c r="H24" s="2" t="s">
        <v>407</v>
      </c>
      <c r="J24" s="2" t="s">
        <v>408</v>
      </c>
      <c r="L24" s="1" t="s">
        <v>1020</v>
      </c>
      <c r="M24" s="2" t="s">
        <v>124</v>
      </c>
      <c r="P24" s="2" t="s">
        <v>125</v>
      </c>
      <c r="Q24" s="1" t="e">
        <f>IF($B24=0,$M24,_xlfn.TEXTBEFORE(#REF!,"/",$B24,,,#REF!)&amp;"/"&amp;$M24)&amp;IF(_xlfn.TEXTAFTER($D24,"..",,,,1)&lt;&gt;"1","[0]","")</f>
        <v>#REF!</v>
      </c>
    </row>
    <row r="25" spans="1:17" ht="12" customHeight="1" outlineLevel="1" x14ac:dyDescent="0.35">
      <c r="A25" s="3" t="str">
        <f t="shared" si="0"/>
        <v>CC432B</v>
      </c>
      <c r="B25" s="4">
        <v>1</v>
      </c>
      <c r="C25" s="3" t="s">
        <v>24</v>
      </c>
      <c r="D25" s="3" t="s">
        <v>25</v>
      </c>
      <c r="E25" s="5" t="s">
        <v>173</v>
      </c>
      <c r="F25" s="4"/>
      <c r="G25" s="3" t="s">
        <v>27</v>
      </c>
      <c r="H25" s="4"/>
      <c r="I25" s="4"/>
      <c r="J25" s="4"/>
      <c r="K25" s="4"/>
      <c r="L25" s="4"/>
      <c r="M25" s="3" t="s">
        <v>174</v>
      </c>
      <c r="N25" s="4"/>
      <c r="O25" s="4"/>
      <c r="P25" s="3" t="s">
        <v>240</v>
      </c>
      <c r="Q25" s="1" t="e">
        <f t="shared" si="1"/>
        <v>#REF!</v>
      </c>
    </row>
    <row r="26" spans="1:17" ht="12" customHeight="1" outlineLevel="2" x14ac:dyDescent="0.35">
      <c r="A26" s="3" t="str">
        <f t="shared" si="0"/>
        <v>CC432B</v>
      </c>
      <c r="B26" s="4">
        <v>2</v>
      </c>
      <c r="C26" s="3" t="s">
        <v>24</v>
      </c>
      <c r="D26" s="3" t="s">
        <v>25</v>
      </c>
      <c r="E26" s="8" t="s">
        <v>241</v>
      </c>
      <c r="F26" s="4"/>
      <c r="G26" s="3" t="s">
        <v>27</v>
      </c>
      <c r="H26" s="4"/>
      <c r="I26" s="4"/>
      <c r="J26" s="4"/>
      <c r="K26" s="4"/>
      <c r="L26" s="4"/>
      <c r="M26" s="3" t="s">
        <v>241</v>
      </c>
      <c r="N26" s="4"/>
      <c r="O26" s="4"/>
      <c r="P26" s="3" t="s">
        <v>242</v>
      </c>
      <c r="Q26" s="1" t="e">
        <f t="shared" si="1"/>
        <v>#REF!</v>
      </c>
    </row>
    <row r="27" spans="1:17" ht="12" customHeight="1" outlineLevel="3" x14ac:dyDescent="0.35">
      <c r="A27" s="3" t="str">
        <f t="shared" si="0"/>
        <v>CC432B</v>
      </c>
      <c r="B27" s="4">
        <v>3</v>
      </c>
      <c r="C27" s="3" t="s">
        <v>24</v>
      </c>
      <c r="D27" s="3" t="s">
        <v>314</v>
      </c>
      <c r="E27" s="10" t="s">
        <v>244</v>
      </c>
      <c r="F27" s="4"/>
      <c r="G27" s="3" t="s">
        <v>22</v>
      </c>
      <c r="H27" s="3" t="s">
        <v>555</v>
      </c>
      <c r="I27" s="4"/>
      <c r="J27" s="4"/>
      <c r="K27" s="4"/>
      <c r="L27" s="4"/>
      <c r="M27" s="3" t="s">
        <v>245</v>
      </c>
      <c r="N27" s="4"/>
      <c r="O27" s="4"/>
      <c r="P27" s="3" t="s">
        <v>246</v>
      </c>
      <c r="Q27" s="1" t="e">
        <f t="shared" si="1"/>
        <v>#REF!</v>
      </c>
    </row>
    <row r="28" spans="1:17" ht="12" customHeight="1" outlineLevel="4" x14ac:dyDescent="0.35">
      <c r="A28" s="2" t="str">
        <f t="shared" si="0"/>
        <v>CC432B</v>
      </c>
      <c r="B28" s="1">
        <v>4</v>
      </c>
      <c r="C28" s="1" t="s">
        <v>19</v>
      </c>
      <c r="D28" s="2" t="s">
        <v>25</v>
      </c>
      <c r="E28" s="11" t="s">
        <v>56</v>
      </c>
      <c r="F28" s="7" t="s">
        <v>57</v>
      </c>
      <c r="G28" s="2" t="s">
        <v>27</v>
      </c>
      <c r="H28" s="2" t="s">
        <v>393</v>
      </c>
      <c r="M28" s="2" t="s">
        <v>58</v>
      </c>
      <c r="P28" s="2" t="s">
        <v>59</v>
      </c>
      <c r="Q28" s="1" t="e">
        <f t="shared" si="1"/>
        <v>#REF!</v>
      </c>
    </row>
    <row r="29" spans="1:17" ht="12" customHeight="1" outlineLevel="4" x14ac:dyDescent="0.35">
      <c r="A29" s="2" t="str">
        <f t="shared" si="0"/>
        <v>CC432B</v>
      </c>
      <c r="B29" s="1">
        <v>4</v>
      </c>
      <c r="C29" s="1" t="s">
        <v>19</v>
      </c>
      <c r="D29" s="2" t="s">
        <v>25</v>
      </c>
      <c r="E29" s="11" t="s">
        <v>247</v>
      </c>
      <c r="F29" s="7" t="s">
        <v>837</v>
      </c>
      <c r="G29" s="2" t="s">
        <v>27</v>
      </c>
      <c r="M29" s="2" t="s">
        <v>248</v>
      </c>
      <c r="P29" s="2" t="s">
        <v>249</v>
      </c>
      <c r="Q29" s="1" t="e">
        <f t="shared" si="1"/>
        <v>#REF!</v>
      </c>
    </row>
    <row r="30" spans="1:17" ht="12" customHeight="1" outlineLevel="4" x14ac:dyDescent="0.35">
      <c r="A30" s="3" t="str">
        <f t="shared" si="0"/>
        <v>CC432B</v>
      </c>
      <c r="B30" s="4">
        <v>4</v>
      </c>
      <c r="C30" s="3" t="s">
        <v>24</v>
      </c>
      <c r="D30" s="3" t="s">
        <v>314</v>
      </c>
      <c r="E30" s="12" t="s">
        <v>250</v>
      </c>
      <c r="F30" s="4"/>
      <c r="G30" s="3" t="s">
        <v>396</v>
      </c>
      <c r="H30" s="4"/>
      <c r="I30" s="3" t="s">
        <v>556</v>
      </c>
      <c r="J30" s="4"/>
      <c r="K30" s="4"/>
      <c r="L30" s="4"/>
      <c r="M30" s="3" t="s">
        <v>251</v>
      </c>
      <c r="N30" s="4"/>
      <c r="O30" s="4"/>
      <c r="P30" s="3" t="s">
        <v>252</v>
      </c>
      <c r="Q30" s="1" t="e">
        <f t="shared" si="1"/>
        <v>#REF!</v>
      </c>
    </row>
    <row r="31" spans="1:17" ht="12" customHeight="1" outlineLevel="5" x14ac:dyDescent="0.35">
      <c r="A31" s="2" t="str">
        <f t="shared" ref="A31:A54" si="2">$E$2</f>
        <v>CC432B</v>
      </c>
      <c r="B31" s="1">
        <v>5</v>
      </c>
      <c r="C31" s="1" t="s">
        <v>19</v>
      </c>
      <c r="D31" s="2" t="s">
        <v>25</v>
      </c>
      <c r="E31" s="13" t="s">
        <v>56</v>
      </c>
      <c r="F31" s="7" t="s">
        <v>57</v>
      </c>
      <c r="G31" s="2" t="s">
        <v>27</v>
      </c>
      <c r="H31" s="2" t="s">
        <v>393</v>
      </c>
      <c r="M31" s="2" t="s">
        <v>58</v>
      </c>
      <c r="P31" s="2" t="s">
        <v>59</v>
      </c>
      <c r="Q31" s="1" t="e">
        <f t="shared" si="1"/>
        <v>#REF!</v>
      </c>
    </row>
    <row r="32" spans="1:17" ht="12" customHeight="1" outlineLevel="5" x14ac:dyDescent="0.35">
      <c r="A32" s="2" t="str">
        <f t="shared" si="2"/>
        <v>CC432B</v>
      </c>
      <c r="B32" s="1">
        <v>5</v>
      </c>
      <c r="C32" s="1" t="s">
        <v>19</v>
      </c>
      <c r="D32" s="2" t="s">
        <v>25</v>
      </c>
      <c r="E32" s="13" t="s">
        <v>253</v>
      </c>
      <c r="F32" s="7" t="s">
        <v>57</v>
      </c>
      <c r="G32" s="2" t="s">
        <v>27</v>
      </c>
      <c r="M32" s="2" t="s">
        <v>254</v>
      </c>
      <c r="P32" s="2" t="s">
        <v>255</v>
      </c>
      <c r="Q32" s="1" t="e">
        <f t="shared" si="1"/>
        <v>#REF!</v>
      </c>
    </row>
    <row r="33" spans="1:17" ht="12" customHeight="1" outlineLevel="3" x14ac:dyDescent="0.35">
      <c r="A33" s="3" t="str">
        <f t="shared" si="2"/>
        <v>CC432B</v>
      </c>
      <c r="B33" s="4">
        <v>3</v>
      </c>
      <c r="C33" s="3" t="s">
        <v>24</v>
      </c>
      <c r="D33" s="3" t="s">
        <v>25</v>
      </c>
      <c r="E33" s="10" t="s">
        <v>256</v>
      </c>
      <c r="F33" s="4"/>
      <c r="G33" s="3" t="s">
        <v>27</v>
      </c>
      <c r="H33" s="4"/>
      <c r="I33" s="4"/>
      <c r="J33" s="4"/>
      <c r="K33" s="4"/>
      <c r="L33" s="4"/>
      <c r="M33" s="3" t="s">
        <v>257</v>
      </c>
      <c r="N33" s="4"/>
      <c r="O33" s="4"/>
      <c r="P33" s="3" t="s">
        <v>258</v>
      </c>
      <c r="Q33" s="1" t="e">
        <f t="shared" si="1"/>
        <v>#REF!</v>
      </c>
    </row>
    <row r="34" spans="1:17" ht="12" customHeight="1" outlineLevel="4" x14ac:dyDescent="0.35">
      <c r="A34" s="2" t="str">
        <f t="shared" si="2"/>
        <v>CC432B</v>
      </c>
      <c r="B34" s="1">
        <v>4</v>
      </c>
      <c r="C34" s="1" t="s">
        <v>19</v>
      </c>
      <c r="D34" s="2" t="s">
        <v>25</v>
      </c>
      <c r="E34" s="11" t="s">
        <v>259</v>
      </c>
      <c r="F34" s="7" t="s">
        <v>44</v>
      </c>
      <c r="G34" s="2" t="s">
        <v>27</v>
      </c>
      <c r="J34" s="2" t="s">
        <v>558</v>
      </c>
      <c r="M34" s="2" t="s">
        <v>260</v>
      </c>
      <c r="P34" s="2" t="s">
        <v>261</v>
      </c>
      <c r="Q34" s="1" t="e">
        <f t="shared" si="1"/>
        <v>#REF!</v>
      </c>
    </row>
    <row r="35" spans="1:17" ht="12" customHeight="1" outlineLevel="4" x14ac:dyDescent="0.35">
      <c r="A35" s="2" t="str">
        <f t="shared" si="2"/>
        <v>CC432B</v>
      </c>
      <c r="B35" s="1">
        <v>4</v>
      </c>
      <c r="C35" s="1" t="s">
        <v>19</v>
      </c>
      <c r="D35" s="2" t="s">
        <v>25</v>
      </c>
      <c r="E35" s="11" t="s">
        <v>262</v>
      </c>
      <c r="F35" s="7" t="s">
        <v>44</v>
      </c>
      <c r="G35" s="2" t="s">
        <v>27</v>
      </c>
      <c r="H35" s="2" t="s">
        <v>559</v>
      </c>
      <c r="J35" s="2" t="s">
        <v>560</v>
      </c>
      <c r="M35" s="2" t="s">
        <v>263</v>
      </c>
      <c r="P35" s="2" t="s">
        <v>264</v>
      </c>
      <c r="Q35" s="1" t="e">
        <f t="shared" si="1"/>
        <v>#REF!</v>
      </c>
    </row>
    <row r="36" spans="1:17" ht="12" customHeight="1" outlineLevel="4" x14ac:dyDescent="0.35">
      <c r="A36" s="2" t="str">
        <f t="shared" si="2"/>
        <v>CC432B</v>
      </c>
      <c r="B36" s="1">
        <v>4</v>
      </c>
      <c r="C36" s="1" t="s">
        <v>19</v>
      </c>
      <c r="D36" s="2" t="s">
        <v>30</v>
      </c>
      <c r="E36" s="11" t="s">
        <v>265</v>
      </c>
      <c r="F36" s="7" t="s">
        <v>834</v>
      </c>
      <c r="G36" s="2" t="s">
        <v>396</v>
      </c>
      <c r="I36" s="2" t="s">
        <v>561</v>
      </c>
      <c r="M36" s="2" t="s">
        <v>266</v>
      </c>
      <c r="P36" s="2" t="s">
        <v>66</v>
      </c>
      <c r="Q36" s="1" t="e">
        <f t="shared" si="1"/>
        <v>#REF!</v>
      </c>
    </row>
    <row r="37" spans="1:17" ht="12" customHeight="1" outlineLevel="4" x14ac:dyDescent="0.35">
      <c r="A37" s="2" t="str">
        <f t="shared" si="2"/>
        <v>CC432B</v>
      </c>
      <c r="B37" s="1">
        <v>4</v>
      </c>
      <c r="C37" s="1" t="s">
        <v>19</v>
      </c>
      <c r="D37" s="2" t="s">
        <v>30</v>
      </c>
      <c r="E37" s="11" t="s">
        <v>267</v>
      </c>
      <c r="F37" s="7" t="s">
        <v>60</v>
      </c>
      <c r="G37" s="2" t="s">
        <v>396</v>
      </c>
      <c r="I37" s="2" t="s">
        <v>562</v>
      </c>
      <c r="M37" s="2" t="s">
        <v>268</v>
      </c>
      <c r="P37" s="2" t="s">
        <v>269</v>
      </c>
      <c r="Q37" s="1" t="e">
        <f t="shared" si="1"/>
        <v>#REF!</v>
      </c>
    </row>
    <row r="38" spans="1:17" ht="12" customHeight="1" outlineLevel="4" x14ac:dyDescent="0.35">
      <c r="A38" s="2" t="str">
        <f t="shared" si="2"/>
        <v>CC432B</v>
      </c>
      <c r="B38" s="1">
        <v>4</v>
      </c>
      <c r="C38" s="1" t="s">
        <v>19</v>
      </c>
      <c r="D38" s="2" t="s">
        <v>30</v>
      </c>
      <c r="E38" s="11" t="s">
        <v>270</v>
      </c>
      <c r="F38" s="7" t="s">
        <v>103</v>
      </c>
      <c r="G38" s="2" t="s">
        <v>396</v>
      </c>
      <c r="I38" s="2" t="s">
        <v>561</v>
      </c>
      <c r="J38" s="2" t="s">
        <v>459</v>
      </c>
      <c r="M38" s="2" t="s">
        <v>271</v>
      </c>
      <c r="P38" s="2" t="s">
        <v>272</v>
      </c>
      <c r="Q38" s="1" t="e">
        <f t="shared" si="1"/>
        <v>#REF!</v>
      </c>
    </row>
    <row r="39" spans="1:17" ht="12" customHeight="1" outlineLevel="4" x14ac:dyDescent="0.35">
      <c r="A39" s="3" t="str">
        <f t="shared" si="2"/>
        <v>CC432B</v>
      </c>
      <c r="B39" s="4">
        <v>4</v>
      </c>
      <c r="C39" s="3" t="s">
        <v>24</v>
      </c>
      <c r="D39" s="3" t="s">
        <v>30</v>
      </c>
      <c r="E39" s="12" t="s">
        <v>273</v>
      </c>
      <c r="F39" s="4"/>
      <c r="G39" s="3" t="s">
        <v>396</v>
      </c>
      <c r="H39" s="4"/>
      <c r="I39" s="3" t="s">
        <v>561</v>
      </c>
      <c r="J39" s="4"/>
      <c r="K39" s="4"/>
      <c r="L39" s="4"/>
      <c r="M39" s="3" t="s">
        <v>274</v>
      </c>
      <c r="N39" s="4"/>
      <c r="O39" s="4"/>
      <c r="P39" s="3" t="s">
        <v>275</v>
      </c>
      <c r="Q39" s="1" t="e">
        <f t="shared" si="1"/>
        <v>#REF!</v>
      </c>
    </row>
    <row r="40" spans="1:17" ht="12" customHeight="1" outlineLevel="5" x14ac:dyDescent="0.35">
      <c r="A40" s="2" t="str">
        <f t="shared" si="2"/>
        <v>CC432B</v>
      </c>
      <c r="B40" s="1">
        <v>5</v>
      </c>
      <c r="C40" s="1" t="s">
        <v>19</v>
      </c>
      <c r="D40" s="2" t="s">
        <v>25</v>
      </c>
      <c r="E40" s="13" t="s">
        <v>63</v>
      </c>
      <c r="F40" s="7" t="s">
        <v>74</v>
      </c>
      <c r="G40" s="2" t="s">
        <v>27</v>
      </c>
      <c r="J40" s="2" t="s">
        <v>399</v>
      </c>
      <c r="M40" s="2" t="s">
        <v>65</v>
      </c>
      <c r="P40" s="2" t="s">
        <v>75</v>
      </c>
      <c r="Q40" s="1" t="e">
        <f t="shared" si="1"/>
        <v>#REF!</v>
      </c>
    </row>
    <row r="41" spans="1:17" ht="12" customHeight="1" outlineLevel="4" x14ac:dyDescent="0.35">
      <c r="A41" s="3" t="str">
        <f t="shared" si="2"/>
        <v>CC432B</v>
      </c>
      <c r="B41" s="4">
        <v>4</v>
      </c>
      <c r="C41" s="3" t="s">
        <v>24</v>
      </c>
      <c r="D41" s="3" t="s">
        <v>30</v>
      </c>
      <c r="E41" s="12" t="s">
        <v>276</v>
      </c>
      <c r="F41" s="4"/>
      <c r="G41" s="3" t="s">
        <v>396</v>
      </c>
      <c r="H41" s="3" t="s">
        <v>563</v>
      </c>
      <c r="I41" s="3" t="s">
        <v>561</v>
      </c>
      <c r="J41" s="4"/>
      <c r="K41" s="4"/>
      <c r="L41" s="4"/>
      <c r="M41" s="3" t="s">
        <v>277</v>
      </c>
      <c r="N41" s="4"/>
      <c r="O41" s="4"/>
      <c r="P41" s="3" t="s">
        <v>278</v>
      </c>
      <c r="Q41" s="1" t="e">
        <f t="shared" si="1"/>
        <v>#REF!</v>
      </c>
    </row>
    <row r="42" spans="1:17" ht="12" customHeight="1" outlineLevel="5" x14ac:dyDescent="0.35">
      <c r="A42" s="2" t="str">
        <f t="shared" si="2"/>
        <v>CC432B</v>
      </c>
      <c r="B42" s="1">
        <v>5</v>
      </c>
      <c r="C42" s="1" t="s">
        <v>19</v>
      </c>
      <c r="D42" s="2" t="s">
        <v>25</v>
      </c>
      <c r="E42" s="13" t="s">
        <v>279</v>
      </c>
      <c r="F42" s="7" t="s">
        <v>280</v>
      </c>
      <c r="G42" s="2" t="s">
        <v>27</v>
      </c>
      <c r="M42" s="2" t="s">
        <v>281</v>
      </c>
      <c r="P42" s="2" t="s">
        <v>282</v>
      </c>
      <c r="Q42" s="1" t="e">
        <f t="shared" si="1"/>
        <v>#REF!</v>
      </c>
    </row>
    <row r="43" spans="1:17" ht="12" customHeight="1" outlineLevel="5" x14ac:dyDescent="0.35">
      <c r="A43" s="2" t="str">
        <f t="shared" si="2"/>
        <v>CC432B</v>
      </c>
      <c r="B43" s="1">
        <v>5</v>
      </c>
      <c r="C43" s="1" t="s">
        <v>19</v>
      </c>
      <c r="D43" s="2" t="s">
        <v>25</v>
      </c>
      <c r="E43" s="13" t="s">
        <v>283</v>
      </c>
      <c r="F43" s="7" t="s">
        <v>284</v>
      </c>
      <c r="G43" s="2" t="s">
        <v>27</v>
      </c>
      <c r="M43" s="2" t="s">
        <v>285</v>
      </c>
      <c r="P43" s="2" t="s">
        <v>286</v>
      </c>
      <c r="Q43" s="1" t="e">
        <f t="shared" si="1"/>
        <v>#REF!</v>
      </c>
    </row>
    <row r="44" spans="1:17" ht="12" customHeight="1" outlineLevel="4" x14ac:dyDescent="0.35">
      <c r="A44" s="3" t="str">
        <f t="shared" si="2"/>
        <v>CC432B</v>
      </c>
      <c r="B44" s="4">
        <v>4</v>
      </c>
      <c r="C44" s="3" t="s">
        <v>24</v>
      </c>
      <c r="D44" s="3" t="s">
        <v>30</v>
      </c>
      <c r="E44" s="12" t="s">
        <v>287</v>
      </c>
      <c r="F44" s="4"/>
      <c r="G44" s="3" t="s">
        <v>396</v>
      </c>
      <c r="H44" s="4"/>
      <c r="I44" s="3" t="s">
        <v>561</v>
      </c>
      <c r="J44" s="4"/>
      <c r="K44" s="4"/>
      <c r="L44" s="4"/>
      <c r="M44" s="3" t="s">
        <v>288</v>
      </c>
      <c r="N44" s="4"/>
      <c r="O44" s="4"/>
      <c r="P44" s="3" t="s">
        <v>289</v>
      </c>
      <c r="Q44" s="1" t="e">
        <f t="shared" si="1"/>
        <v>#REF!</v>
      </c>
    </row>
    <row r="45" spans="1:17" ht="12" customHeight="1" outlineLevel="5" x14ac:dyDescent="0.35">
      <c r="A45" s="2" t="str">
        <f t="shared" si="2"/>
        <v>CC432B</v>
      </c>
      <c r="B45" s="1">
        <v>5</v>
      </c>
      <c r="C45" s="1" t="s">
        <v>19</v>
      </c>
      <c r="D45" s="2" t="s">
        <v>25</v>
      </c>
      <c r="E45" s="13" t="s">
        <v>81</v>
      </c>
      <c r="F45" s="7" t="s">
        <v>68</v>
      </c>
      <c r="G45" s="2" t="s">
        <v>27</v>
      </c>
      <c r="M45" s="2" t="s">
        <v>82</v>
      </c>
      <c r="P45" s="2" t="s">
        <v>70</v>
      </c>
      <c r="Q45" s="1" t="e">
        <f t="shared" si="1"/>
        <v>#REF!</v>
      </c>
    </row>
    <row r="46" spans="1:17" ht="12" customHeight="1" outlineLevel="4" x14ac:dyDescent="0.35">
      <c r="A46" s="3" t="str">
        <f t="shared" si="2"/>
        <v>CC432B</v>
      </c>
      <c r="B46" s="4">
        <v>4</v>
      </c>
      <c r="C46" s="3" t="s">
        <v>24</v>
      </c>
      <c r="D46" s="3" t="s">
        <v>30</v>
      </c>
      <c r="E46" s="12" t="s">
        <v>86</v>
      </c>
      <c r="F46" s="4"/>
      <c r="G46" s="3" t="s">
        <v>396</v>
      </c>
      <c r="H46" s="4"/>
      <c r="I46" s="3" t="s">
        <v>561</v>
      </c>
      <c r="J46" s="4"/>
      <c r="K46" s="4"/>
      <c r="L46" s="4"/>
      <c r="M46" s="3" t="s">
        <v>86</v>
      </c>
      <c r="N46" s="4"/>
      <c r="O46" s="4"/>
      <c r="P46" s="3" t="s">
        <v>87</v>
      </c>
      <c r="Q46" s="1" t="e">
        <f t="shared" si="1"/>
        <v>#REF!</v>
      </c>
    </row>
    <row r="47" spans="1:17" ht="12" customHeight="1" outlineLevel="5" x14ac:dyDescent="0.35">
      <c r="A47" s="2" t="str">
        <f t="shared" si="2"/>
        <v>CC432B</v>
      </c>
      <c r="B47" s="1">
        <v>5</v>
      </c>
      <c r="C47" s="1" t="s">
        <v>19</v>
      </c>
      <c r="D47" s="2" t="s">
        <v>25</v>
      </c>
      <c r="E47" s="13" t="s">
        <v>88</v>
      </c>
      <c r="F47" s="7" t="s">
        <v>83</v>
      </c>
      <c r="G47" s="2" t="s">
        <v>27</v>
      </c>
      <c r="M47" s="2" t="s">
        <v>89</v>
      </c>
      <c r="P47" s="2" t="s">
        <v>90</v>
      </c>
      <c r="Q47" s="1" t="e">
        <f t="shared" si="1"/>
        <v>#REF!</v>
      </c>
    </row>
    <row r="48" spans="1:17" ht="12" customHeight="1" outlineLevel="5" x14ac:dyDescent="0.35">
      <c r="A48" s="2" t="str">
        <f t="shared" si="2"/>
        <v>CC432B</v>
      </c>
      <c r="B48" s="1">
        <v>5</v>
      </c>
      <c r="C48" s="1" t="s">
        <v>19</v>
      </c>
      <c r="D48" s="2" t="s">
        <v>30</v>
      </c>
      <c r="E48" s="13" t="s">
        <v>91</v>
      </c>
      <c r="F48" s="7" t="s">
        <v>92</v>
      </c>
      <c r="G48" s="2" t="s">
        <v>396</v>
      </c>
      <c r="I48" s="2" t="s">
        <v>402</v>
      </c>
      <c r="M48" s="2" t="s">
        <v>93</v>
      </c>
      <c r="P48" s="2" t="s">
        <v>94</v>
      </c>
      <c r="Q48" s="1" t="e">
        <f t="shared" si="1"/>
        <v>#REF!</v>
      </c>
    </row>
    <row r="49" spans="1:17" ht="12" customHeight="1" outlineLevel="5" x14ac:dyDescent="0.35">
      <c r="A49" s="2" t="str">
        <f t="shared" si="2"/>
        <v>CC432B</v>
      </c>
      <c r="B49" s="1">
        <v>5</v>
      </c>
      <c r="C49" s="1" t="s">
        <v>19</v>
      </c>
      <c r="D49" s="2" t="s">
        <v>25</v>
      </c>
      <c r="E49" s="13" t="s">
        <v>95</v>
      </c>
      <c r="F49" s="7" t="s">
        <v>96</v>
      </c>
      <c r="G49" s="2" t="s">
        <v>27</v>
      </c>
      <c r="M49" s="2" t="s">
        <v>97</v>
      </c>
      <c r="P49" s="2" t="s">
        <v>98</v>
      </c>
      <c r="Q49" s="1" t="e">
        <f t="shared" si="1"/>
        <v>#REF!</v>
      </c>
    </row>
    <row r="50" spans="1:17" ht="12" customHeight="1" outlineLevel="5" x14ac:dyDescent="0.35">
      <c r="A50" s="2" t="str">
        <f t="shared" si="2"/>
        <v>CC432B</v>
      </c>
      <c r="B50" s="1">
        <v>5</v>
      </c>
      <c r="C50" s="1" t="s">
        <v>19</v>
      </c>
      <c r="D50" s="2" t="s">
        <v>25</v>
      </c>
      <c r="E50" s="13" t="s">
        <v>99</v>
      </c>
      <c r="F50" s="7" t="s">
        <v>50</v>
      </c>
      <c r="G50" s="2" t="s">
        <v>27</v>
      </c>
      <c r="J50" s="2" t="s">
        <v>403</v>
      </c>
      <c r="M50" s="2" t="s">
        <v>100</v>
      </c>
      <c r="P50" s="2" t="s">
        <v>52</v>
      </c>
      <c r="Q50" s="1" t="e">
        <f t="shared" si="1"/>
        <v>#REF!</v>
      </c>
    </row>
    <row r="51" spans="1:17" ht="12" customHeight="1" outlineLevel="4" x14ac:dyDescent="0.35">
      <c r="A51" s="3" t="str">
        <f t="shared" si="2"/>
        <v>CC432B</v>
      </c>
      <c r="B51" s="4">
        <v>4</v>
      </c>
      <c r="C51" s="3" t="s">
        <v>24</v>
      </c>
      <c r="D51" s="3" t="s">
        <v>30</v>
      </c>
      <c r="E51" s="12" t="s">
        <v>290</v>
      </c>
      <c r="F51" s="4"/>
      <c r="G51" s="3" t="s">
        <v>396</v>
      </c>
      <c r="H51" s="4"/>
      <c r="I51" s="3" t="s">
        <v>561</v>
      </c>
      <c r="J51" s="4"/>
      <c r="K51" s="4"/>
      <c r="L51" s="4"/>
      <c r="M51" s="3" t="s">
        <v>291</v>
      </c>
      <c r="N51" s="4"/>
      <c r="O51" s="4"/>
      <c r="P51" s="3" t="s">
        <v>292</v>
      </c>
      <c r="Q51" s="1" t="e">
        <f t="shared" si="1"/>
        <v>#REF!</v>
      </c>
    </row>
    <row r="52" spans="1:17" ht="12" customHeight="1" outlineLevel="5" x14ac:dyDescent="0.35">
      <c r="A52" s="2" t="str">
        <f t="shared" si="2"/>
        <v>CC432B</v>
      </c>
      <c r="B52" s="1">
        <v>5</v>
      </c>
      <c r="C52" s="1" t="s">
        <v>19</v>
      </c>
      <c r="D52" s="2" t="s">
        <v>30</v>
      </c>
      <c r="E52" s="13" t="s">
        <v>293</v>
      </c>
      <c r="F52" s="7" t="s">
        <v>96</v>
      </c>
      <c r="G52" s="2" t="s">
        <v>396</v>
      </c>
      <c r="I52" s="2" t="s">
        <v>564</v>
      </c>
      <c r="M52" s="2" t="s">
        <v>294</v>
      </c>
      <c r="P52" s="2" t="s">
        <v>295</v>
      </c>
      <c r="Q52" s="1" t="e">
        <f t="shared" si="1"/>
        <v>#REF!</v>
      </c>
    </row>
    <row r="53" spans="1:17" ht="12" customHeight="1" outlineLevel="5" x14ac:dyDescent="0.35">
      <c r="A53" s="2" t="str">
        <f t="shared" si="2"/>
        <v>CC432B</v>
      </c>
      <c r="B53" s="1">
        <v>5</v>
      </c>
      <c r="C53" s="1" t="s">
        <v>19</v>
      </c>
      <c r="D53" s="2" t="s">
        <v>25</v>
      </c>
      <c r="E53" s="13" t="s">
        <v>91</v>
      </c>
      <c r="F53" s="7" t="s">
        <v>92</v>
      </c>
      <c r="G53" s="2" t="s">
        <v>27</v>
      </c>
      <c r="M53" s="2" t="s">
        <v>93</v>
      </c>
      <c r="P53" s="2" t="s">
        <v>94</v>
      </c>
      <c r="Q53" s="1" t="e">
        <f t="shared" si="1"/>
        <v>#REF!</v>
      </c>
    </row>
    <row r="54" spans="1:17" ht="12" customHeight="1" outlineLevel="5" x14ac:dyDescent="0.35">
      <c r="A54" s="2" t="str">
        <f t="shared" si="2"/>
        <v>CC432B</v>
      </c>
      <c r="B54" s="1">
        <v>5</v>
      </c>
      <c r="C54" s="1" t="s">
        <v>19</v>
      </c>
      <c r="D54" s="2" t="s">
        <v>25</v>
      </c>
      <c r="E54" s="13" t="s">
        <v>99</v>
      </c>
      <c r="F54" s="7" t="s">
        <v>50</v>
      </c>
      <c r="G54" s="2" t="s">
        <v>27</v>
      </c>
      <c r="J54" s="2" t="s">
        <v>565</v>
      </c>
      <c r="M54" s="2" t="s">
        <v>100</v>
      </c>
      <c r="P54" s="2" t="s">
        <v>52</v>
      </c>
      <c r="Q54" s="1" t="e">
        <f t="shared" si="1"/>
        <v>#REF!</v>
      </c>
    </row>
    <row r="55" spans="1:17" ht="12" customHeight="1" x14ac:dyDescent="0.35"/>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8DF7F-992C-4274-9BD4-E3B8F7BF0555}">
  <sheetPr codeName="Ark8">
    <tabColor rgb="FF00B0F0"/>
    <outlinePr summaryBelow="0" summaryRight="0"/>
  </sheetPr>
  <dimension ref="A1:Q99"/>
  <sheetViews>
    <sheetView zoomScaleNormal="100" workbookViewId="0">
      <pane xSplit="1" ySplit="1" topLeftCell="D2" activePane="bottomRight" state="frozen"/>
      <selection activeCell="D2" sqref="D2"/>
      <selection pane="topRight" activeCell="D2" sqref="D2"/>
      <selection pane="bottomLeft" activeCell="D2" sqref="D2"/>
      <selection pane="bottomRight" activeCell="D2" sqref="D2"/>
    </sheetView>
  </sheetViews>
  <sheetFormatPr defaultColWidth="11.54296875" defaultRowHeight="12" outlineLevelRow="5" x14ac:dyDescent="0.35"/>
  <cols>
    <col min="1" max="3" width="0" style="1" hidden="1" customWidth="1"/>
    <col min="4" max="4" width="6.54296875" style="1" customWidth="1"/>
    <col min="5" max="5" width="70.54296875" style="1" customWidth="1"/>
    <col min="6" max="11" width="8.54296875" style="1" customWidth="1"/>
    <col min="12" max="14" width="24.54296875" style="1" customWidth="1"/>
    <col min="15" max="15" width="24.54296875" style="1" hidden="1" customWidth="1"/>
    <col min="16" max="17" width="24.54296875" style="1" customWidth="1"/>
    <col min="18" max="16384" width="11.54296875" style="1"/>
  </cols>
  <sheetData>
    <row r="1" spans="1:17" ht="12"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P1" s="1" t="s">
        <v>14</v>
      </c>
      <c r="Q1" s="1" t="s">
        <v>208</v>
      </c>
    </row>
    <row r="2" spans="1:17" ht="12" customHeight="1" x14ac:dyDescent="0.35">
      <c r="A2" s="2" t="str">
        <f t="shared" ref="A2:A33" si="0">$E$2</f>
        <v>CC433B</v>
      </c>
      <c r="B2" s="1">
        <v>0</v>
      </c>
      <c r="C2" s="2" t="s">
        <v>16</v>
      </c>
      <c r="E2" s="2" t="s">
        <v>296</v>
      </c>
      <c r="M2" s="2" t="s">
        <v>17</v>
      </c>
      <c r="P2" s="2" t="s">
        <v>297</v>
      </c>
      <c r="Q2" s="1" t="str">
        <f>IF($B2=0,$M2,_xlfn.TEXTBEFORE(Q1,"/",$B2,,,Q1)&amp;"/"&amp;$M2)&amp;IF(_xlfn.TEXTAFTER($D2,"..",,,,1)&lt;&gt;"1","[0]","")</f>
        <v>*</v>
      </c>
    </row>
    <row r="3" spans="1:17" ht="12" customHeight="1" outlineLevel="1" x14ac:dyDescent="0.35">
      <c r="A3" s="3" t="str">
        <f t="shared" si="0"/>
        <v>CC433B</v>
      </c>
      <c r="B3" s="4">
        <v>1</v>
      </c>
      <c r="C3" s="3" t="s">
        <v>24</v>
      </c>
      <c r="D3" s="3" t="s">
        <v>20</v>
      </c>
      <c r="E3" s="5" t="s">
        <v>21</v>
      </c>
      <c r="F3" s="4"/>
      <c r="G3" s="3" t="s">
        <v>22</v>
      </c>
      <c r="H3" s="4"/>
      <c r="I3" s="4"/>
      <c r="J3" s="4"/>
      <c r="K3" s="4"/>
      <c r="L3" s="4"/>
      <c r="M3" s="3" t="s">
        <v>21</v>
      </c>
      <c r="N3" s="4"/>
      <c r="O3" s="4"/>
      <c r="P3" s="3" t="s">
        <v>23</v>
      </c>
      <c r="Q3" s="1" t="str">
        <f t="shared" ref="Q3:Q66" si="1">IF($B3=0,$M3,_xlfn.TEXTBEFORE(Q2,"/",$B3,,,Q2)&amp;"/"&amp;$M3)&amp;IF(_xlfn.TEXTAFTER($D3,"..",,,,1)&lt;&gt;"1","[0]","")</f>
        <v>*/Extensions[0]</v>
      </c>
    </row>
    <row r="4" spans="1:17" ht="12" customHeight="1" outlineLevel="2" x14ac:dyDescent="0.35">
      <c r="A4" s="2" t="str">
        <f t="shared" si="0"/>
        <v>CC433B</v>
      </c>
      <c r="B4" s="1">
        <v>2</v>
      </c>
      <c r="C4" s="1" t="s">
        <v>19</v>
      </c>
      <c r="D4" s="2" t="s">
        <v>25</v>
      </c>
      <c r="E4" s="6" t="s">
        <v>774</v>
      </c>
      <c r="F4" s="1" t="s">
        <v>775</v>
      </c>
      <c r="G4" s="2" t="s">
        <v>27</v>
      </c>
      <c r="M4" s="2" t="s">
        <v>776</v>
      </c>
      <c r="Q4" s="1" t="str">
        <f t="shared" si="1"/>
        <v>*/Extensions[0]/SequenceNumeric</v>
      </c>
    </row>
    <row r="5" spans="1:17" ht="12" customHeight="1" outlineLevel="2" x14ac:dyDescent="0.35">
      <c r="A5" s="2" t="str">
        <f t="shared" si="0"/>
        <v>CC433B</v>
      </c>
      <c r="B5" s="1">
        <v>2</v>
      </c>
      <c r="C5" s="1" t="s">
        <v>19</v>
      </c>
      <c r="D5" s="2" t="s">
        <v>30</v>
      </c>
      <c r="E5" s="6" t="s">
        <v>777</v>
      </c>
      <c r="F5" s="1" t="s">
        <v>778</v>
      </c>
      <c r="G5" s="2" t="s">
        <v>22</v>
      </c>
      <c r="M5" s="2" t="s">
        <v>779</v>
      </c>
      <c r="Q5" s="1" t="str">
        <f t="shared" si="1"/>
        <v>*/Extensions[0]/ID</v>
      </c>
    </row>
    <row r="6" spans="1:17" ht="12" customHeight="1" outlineLevel="2" x14ac:dyDescent="0.35">
      <c r="A6" s="2" t="str">
        <f t="shared" si="0"/>
        <v>CC433B</v>
      </c>
      <c r="B6" s="1">
        <v>2</v>
      </c>
      <c r="C6" s="1" t="s">
        <v>19</v>
      </c>
      <c r="D6" s="2" t="s">
        <v>25</v>
      </c>
      <c r="E6" s="6" t="s">
        <v>780</v>
      </c>
      <c r="F6" s="1" t="s">
        <v>778</v>
      </c>
      <c r="G6" s="2" t="s">
        <v>27</v>
      </c>
      <c r="M6" s="2" t="s">
        <v>780</v>
      </c>
      <c r="Q6" s="1" t="str">
        <f t="shared" si="1"/>
        <v>*/Extensions[0]/Key</v>
      </c>
    </row>
    <row r="7" spans="1:17" ht="12" customHeight="1" outlineLevel="2" x14ac:dyDescent="0.35">
      <c r="A7" s="2" t="str">
        <f t="shared" si="0"/>
        <v>CC433B</v>
      </c>
      <c r="B7" s="1">
        <v>2</v>
      </c>
      <c r="C7" s="1" t="s">
        <v>19</v>
      </c>
      <c r="D7" s="2" t="s">
        <v>25</v>
      </c>
      <c r="E7" s="6" t="s">
        <v>781</v>
      </c>
      <c r="F7" s="1" t="s">
        <v>778</v>
      </c>
      <c r="G7" s="2" t="s">
        <v>27</v>
      </c>
      <c r="M7" s="2" t="s">
        <v>781</v>
      </c>
      <c r="Q7" s="1" t="str">
        <f t="shared" si="1"/>
        <v>*/Extensions[0]/Value</v>
      </c>
    </row>
    <row r="8" spans="1:17" ht="12" customHeight="1" outlineLevel="2" x14ac:dyDescent="0.35">
      <c r="A8" s="2" t="str">
        <f t="shared" si="0"/>
        <v>CC433B</v>
      </c>
      <c r="B8" s="1">
        <v>2</v>
      </c>
      <c r="C8" s="1" t="s">
        <v>19</v>
      </c>
      <c r="D8" s="2" t="s">
        <v>25</v>
      </c>
      <c r="E8" s="6" t="s">
        <v>782</v>
      </c>
      <c r="F8" s="7" t="s">
        <v>783</v>
      </c>
      <c r="G8" s="2" t="s">
        <v>27</v>
      </c>
      <c r="M8" s="2" t="s">
        <v>784</v>
      </c>
      <c r="Q8" s="1" t="str">
        <f t="shared" si="1"/>
        <v>*/Extensions[0]/DataType</v>
      </c>
    </row>
    <row r="9" spans="1:17" ht="12" customHeight="1" outlineLevel="2" x14ac:dyDescent="0.35">
      <c r="A9" s="21" t="str">
        <f t="shared" si="0"/>
        <v>CC433B</v>
      </c>
      <c r="B9" s="22">
        <v>2</v>
      </c>
      <c r="C9" s="22" t="s">
        <v>19</v>
      </c>
      <c r="D9" s="21" t="s">
        <v>20</v>
      </c>
      <c r="E9" s="23" t="s">
        <v>21</v>
      </c>
      <c r="F9" s="22"/>
      <c r="G9" s="21" t="s">
        <v>22</v>
      </c>
      <c r="H9" s="22"/>
      <c r="I9" s="22"/>
      <c r="J9" s="22"/>
      <c r="K9" s="22"/>
      <c r="L9" s="22"/>
      <c r="M9" s="21" t="s">
        <v>21</v>
      </c>
      <c r="N9" s="22"/>
      <c r="O9" s="22"/>
      <c r="P9" s="21" t="s">
        <v>785</v>
      </c>
      <c r="Q9" s="1" t="str">
        <f t="shared" si="1"/>
        <v>*/Extensions[0]/Extensions[0]</v>
      </c>
    </row>
    <row r="10" spans="1:17" ht="12" customHeight="1" outlineLevel="1" x14ac:dyDescent="0.35">
      <c r="A10" s="3" t="str">
        <f t="shared" si="0"/>
        <v>CC433B</v>
      </c>
      <c r="B10" s="4">
        <v>1</v>
      </c>
      <c r="C10" s="3" t="s">
        <v>24</v>
      </c>
      <c r="D10" s="3" t="s">
        <v>25</v>
      </c>
      <c r="E10" s="5" t="s">
        <v>26</v>
      </c>
      <c r="F10" s="4"/>
      <c r="G10" s="3" t="s">
        <v>27</v>
      </c>
      <c r="H10" s="4"/>
      <c r="I10" s="4"/>
      <c r="J10" s="4"/>
      <c r="K10" s="4"/>
      <c r="L10" s="4"/>
      <c r="M10" s="3" t="s">
        <v>28</v>
      </c>
      <c r="N10" s="4"/>
      <c r="O10" s="4"/>
      <c r="P10" s="3" t="s">
        <v>298</v>
      </c>
      <c r="Q10" s="1" t="str">
        <f t="shared" si="1"/>
        <v>*/ImportOperation</v>
      </c>
    </row>
    <row r="11" spans="1:17" ht="12" customHeight="1" outlineLevel="2" x14ac:dyDescent="0.35">
      <c r="A11" s="2" t="str">
        <f t="shared" si="0"/>
        <v>CC433B</v>
      </c>
      <c r="B11" s="1">
        <v>2</v>
      </c>
      <c r="C11" s="1" t="s">
        <v>19</v>
      </c>
      <c r="D11" s="2" t="s">
        <v>25</v>
      </c>
      <c r="E11" s="6" t="s">
        <v>31</v>
      </c>
      <c r="F11" s="7" t="s">
        <v>32</v>
      </c>
      <c r="G11" s="2" t="s">
        <v>27</v>
      </c>
      <c r="M11" s="2" t="s">
        <v>33</v>
      </c>
      <c r="P11" s="2" t="s">
        <v>34</v>
      </c>
      <c r="Q11" s="1" t="str">
        <f t="shared" si="1"/>
        <v>*/ImportOperation/LRN</v>
      </c>
    </row>
    <row r="12" spans="1:17" ht="12" customHeight="1" outlineLevel="1" x14ac:dyDescent="0.35">
      <c r="A12" s="3" t="str">
        <f t="shared" si="0"/>
        <v>CC433B</v>
      </c>
      <c r="B12" s="4">
        <v>1</v>
      </c>
      <c r="C12" s="3" t="s">
        <v>24</v>
      </c>
      <c r="D12" s="3" t="s">
        <v>299</v>
      </c>
      <c r="E12" s="5" t="s">
        <v>54</v>
      </c>
      <c r="F12" s="4"/>
      <c r="G12" s="3" t="s">
        <v>27</v>
      </c>
      <c r="H12" s="3" t="s">
        <v>983</v>
      </c>
      <c r="I12" s="4"/>
      <c r="J12" s="4"/>
      <c r="K12" s="4"/>
      <c r="L12" s="4" t="s">
        <v>991</v>
      </c>
      <c r="M12" s="3" t="s">
        <v>54</v>
      </c>
      <c r="N12" s="4"/>
      <c r="O12" s="4"/>
      <c r="P12" s="3" t="s">
        <v>55</v>
      </c>
      <c r="Q12" s="1" t="str">
        <f t="shared" si="1"/>
        <v>*/Authorisation[0]</v>
      </c>
    </row>
    <row r="13" spans="1:17" ht="12" customHeight="1" outlineLevel="2" x14ac:dyDescent="0.35">
      <c r="A13" s="2" t="str">
        <f t="shared" si="0"/>
        <v>CC433B</v>
      </c>
      <c r="B13" s="1">
        <v>2</v>
      </c>
      <c r="C13" s="1" t="s">
        <v>19</v>
      </c>
      <c r="D13" s="2" t="s">
        <v>25</v>
      </c>
      <c r="E13" s="6" t="s">
        <v>56</v>
      </c>
      <c r="F13" s="7" t="s">
        <v>57</v>
      </c>
      <c r="G13" s="2" t="s">
        <v>27</v>
      </c>
      <c r="H13" s="2" t="s">
        <v>393</v>
      </c>
      <c r="M13" s="2" t="s">
        <v>58</v>
      </c>
      <c r="P13" s="2" t="s">
        <v>59</v>
      </c>
      <c r="Q13" s="1" t="str">
        <f t="shared" si="1"/>
        <v>*/Authorisation[0]/sequenceNumber</v>
      </c>
    </row>
    <row r="14" spans="1:17" ht="12" customHeight="1" outlineLevel="2" x14ac:dyDescent="0.35">
      <c r="A14" s="2" t="str">
        <f t="shared" si="0"/>
        <v>CC433B</v>
      </c>
      <c r="B14" s="1">
        <v>2</v>
      </c>
      <c r="C14" s="1" t="s">
        <v>19</v>
      </c>
      <c r="D14" s="2" t="s">
        <v>30</v>
      </c>
      <c r="E14" s="6" t="s">
        <v>2</v>
      </c>
      <c r="F14" s="7" t="s">
        <v>60</v>
      </c>
      <c r="G14" s="2" t="s">
        <v>396</v>
      </c>
      <c r="I14" s="2" t="s">
        <v>395</v>
      </c>
      <c r="J14" s="2" t="s">
        <v>394</v>
      </c>
      <c r="L14" s="1" t="s">
        <v>992</v>
      </c>
      <c r="M14" s="2" t="s">
        <v>61</v>
      </c>
      <c r="P14" s="2" t="s">
        <v>62</v>
      </c>
      <c r="Q14" s="1" t="str">
        <f t="shared" si="1"/>
        <v>*/Authorisation[0]/type</v>
      </c>
    </row>
    <row r="15" spans="1:17" ht="12" customHeight="1" outlineLevel="2" x14ac:dyDescent="0.35">
      <c r="A15" s="2" t="str">
        <f t="shared" si="0"/>
        <v>CC433B</v>
      </c>
      <c r="B15" s="1">
        <v>2</v>
      </c>
      <c r="C15" s="1" t="s">
        <v>19</v>
      </c>
      <c r="D15" s="2" t="s">
        <v>25</v>
      </c>
      <c r="E15" s="6" t="s">
        <v>63</v>
      </c>
      <c r="F15" s="7" t="s">
        <v>834</v>
      </c>
      <c r="G15" s="2" t="s">
        <v>27</v>
      </c>
      <c r="L15" s="1" t="s">
        <v>993</v>
      </c>
      <c r="M15" s="2" t="s">
        <v>65</v>
      </c>
      <c r="P15" s="2" t="s">
        <v>66</v>
      </c>
      <c r="Q15" s="1" t="str">
        <f t="shared" si="1"/>
        <v>*/Authorisation[0]/referenceNumber</v>
      </c>
    </row>
    <row r="16" spans="1:17" ht="12" customHeight="1" outlineLevel="2" x14ac:dyDescent="0.35">
      <c r="A16" s="2" t="str">
        <f t="shared" si="0"/>
        <v>CC433B</v>
      </c>
      <c r="B16" s="1">
        <v>2</v>
      </c>
      <c r="C16" s="1" t="s">
        <v>19</v>
      </c>
      <c r="D16" s="2" t="s">
        <v>30</v>
      </c>
      <c r="E16" s="6" t="s">
        <v>67</v>
      </c>
      <c r="F16" s="7" t="s">
        <v>68</v>
      </c>
      <c r="G16" s="2" t="s">
        <v>396</v>
      </c>
      <c r="H16" s="2" t="s">
        <v>397</v>
      </c>
      <c r="I16" s="2" t="s">
        <v>398</v>
      </c>
      <c r="L16" s="1" t="s">
        <v>994</v>
      </c>
      <c r="M16" s="2" t="s">
        <v>69</v>
      </c>
      <c r="P16" s="2" t="s">
        <v>70</v>
      </c>
      <c r="Q16" s="1" t="str">
        <f t="shared" si="1"/>
        <v>*/Authorisation[0]/holderOfTheAuthorisation</v>
      </c>
    </row>
    <row r="17" spans="1:17" ht="12" customHeight="1" outlineLevel="1" x14ac:dyDescent="0.35">
      <c r="A17" s="3" t="str">
        <f t="shared" si="0"/>
        <v>CC433B</v>
      </c>
      <c r="B17" s="4">
        <v>1</v>
      </c>
      <c r="C17" s="3" t="s">
        <v>24</v>
      </c>
      <c r="D17" s="3" t="s">
        <v>25</v>
      </c>
      <c r="E17" s="5" t="s">
        <v>71</v>
      </c>
      <c r="F17" s="4"/>
      <c r="G17" s="3" t="s">
        <v>27</v>
      </c>
      <c r="H17" s="4"/>
      <c r="I17" s="4"/>
      <c r="J17" s="4"/>
      <c r="K17" s="4"/>
      <c r="L17" s="4" t="s">
        <v>995</v>
      </c>
      <c r="M17" s="3" t="s">
        <v>72</v>
      </c>
      <c r="N17" s="4"/>
      <c r="O17" s="4"/>
      <c r="P17" s="3" t="s">
        <v>73</v>
      </c>
      <c r="Q17" s="1" t="str">
        <f t="shared" si="1"/>
        <v>*/CustomsOfficeOfPresentation</v>
      </c>
    </row>
    <row r="18" spans="1:17" ht="12" customHeight="1" outlineLevel="2" x14ac:dyDescent="0.35">
      <c r="A18" s="2" t="str">
        <f t="shared" si="0"/>
        <v>CC433B</v>
      </c>
      <c r="B18" s="1">
        <v>2</v>
      </c>
      <c r="C18" s="1" t="s">
        <v>19</v>
      </c>
      <c r="D18" s="2" t="s">
        <v>25</v>
      </c>
      <c r="E18" s="6" t="s">
        <v>63</v>
      </c>
      <c r="F18" s="7" t="s">
        <v>74</v>
      </c>
      <c r="G18" s="2" t="s">
        <v>27</v>
      </c>
      <c r="J18" s="2" t="s">
        <v>399</v>
      </c>
      <c r="L18" s="1" t="s">
        <v>996</v>
      </c>
      <c r="M18" s="2" t="s">
        <v>65</v>
      </c>
      <c r="P18" s="2" t="s">
        <v>75</v>
      </c>
      <c r="Q18" s="1" t="str">
        <f t="shared" si="1"/>
        <v>*/CustomsOfficeOfPresentation/referenceNumber</v>
      </c>
    </row>
    <row r="19" spans="1:17" ht="12" customHeight="1" outlineLevel="1" x14ac:dyDescent="0.35">
      <c r="A19" s="3" t="str">
        <f t="shared" si="0"/>
        <v>CC433B</v>
      </c>
      <c r="B19" s="4">
        <v>1</v>
      </c>
      <c r="C19" s="3" t="s">
        <v>24</v>
      </c>
      <c r="D19" s="3" t="s">
        <v>25</v>
      </c>
      <c r="E19" s="5" t="s">
        <v>101</v>
      </c>
      <c r="F19" s="4"/>
      <c r="G19" s="3" t="s">
        <v>27</v>
      </c>
      <c r="H19" s="4"/>
      <c r="I19" s="4"/>
      <c r="J19" s="4"/>
      <c r="K19" s="4"/>
      <c r="L19" s="4" t="s">
        <v>1007</v>
      </c>
      <c r="M19" s="3" t="s">
        <v>101</v>
      </c>
      <c r="N19" s="4"/>
      <c r="O19" s="4"/>
      <c r="P19" s="3" t="s">
        <v>300</v>
      </c>
      <c r="Q19" s="1" t="str">
        <f t="shared" si="1"/>
        <v>*/Declarant</v>
      </c>
    </row>
    <row r="20" spans="1:17" ht="12" customHeight="1" outlineLevel="2" x14ac:dyDescent="0.35">
      <c r="A20" s="2" t="str">
        <f t="shared" si="0"/>
        <v>CC433B</v>
      </c>
      <c r="B20" s="1">
        <v>2</v>
      </c>
      <c r="C20" s="1" t="s">
        <v>19</v>
      </c>
      <c r="D20" s="2" t="s">
        <v>25</v>
      </c>
      <c r="E20" s="6" t="s">
        <v>81</v>
      </c>
      <c r="F20" s="7" t="s">
        <v>68</v>
      </c>
      <c r="G20" s="2" t="s">
        <v>27</v>
      </c>
      <c r="H20" s="2" t="s">
        <v>397</v>
      </c>
      <c r="L20" s="1" t="s">
        <v>1008</v>
      </c>
      <c r="M20" s="2" t="s">
        <v>82</v>
      </c>
      <c r="P20" s="2" t="s">
        <v>70</v>
      </c>
      <c r="Q20" s="1" t="str">
        <f t="shared" si="1"/>
        <v>*/Declarant/identificationNumber</v>
      </c>
    </row>
    <row r="21" spans="1:17" ht="12" customHeight="1" outlineLevel="2" x14ac:dyDescent="0.35">
      <c r="A21" s="2" t="str">
        <f t="shared" si="0"/>
        <v>CC433B</v>
      </c>
      <c r="B21" s="1">
        <v>2</v>
      </c>
      <c r="C21" s="1" t="s">
        <v>19</v>
      </c>
      <c r="D21" s="2" t="s">
        <v>30</v>
      </c>
      <c r="E21" s="6" t="s">
        <v>4</v>
      </c>
      <c r="F21" s="7" t="s">
        <v>83</v>
      </c>
      <c r="G21" s="2" t="s">
        <v>396</v>
      </c>
      <c r="I21" s="2" t="s">
        <v>401</v>
      </c>
      <c r="L21" s="1" t="s">
        <v>1009</v>
      </c>
      <c r="M21" s="2" t="s">
        <v>84</v>
      </c>
      <c r="P21" s="2" t="s">
        <v>85</v>
      </c>
      <c r="Q21" s="1" t="str">
        <f t="shared" si="1"/>
        <v>*/Declarant/name</v>
      </c>
    </row>
    <row r="22" spans="1:17" ht="12" customHeight="1" outlineLevel="2" x14ac:dyDescent="0.35">
      <c r="A22" s="3" t="str">
        <f t="shared" si="0"/>
        <v>CC433B</v>
      </c>
      <c r="B22" s="4">
        <v>2</v>
      </c>
      <c r="C22" s="3" t="s">
        <v>24</v>
      </c>
      <c r="D22" s="3" t="s">
        <v>30</v>
      </c>
      <c r="E22" s="8" t="s">
        <v>86</v>
      </c>
      <c r="F22" s="4"/>
      <c r="G22" s="3" t="s">
        <v>396</v>
      </c>
      <c r="H22" s="4"/>
      <c r="I22" s="3" t="s">
        <v>401</v>
      </c>
      <c r="J22" s="4"/>
      <c r="K22" s="4"/>
      <c r="L22" s="4" t="s">
        <v>1010</v>
      </c>
      <c r="M22" s="3" t="s">
        <v>86</v>
      </c>
      <c r="N22" s="4"/>
      <c r="O22" s="4"/>
      <c r="P22" s="3" t="s">
        <v>87</v>
      </c>
      <c r="Q22" s="1" t="str">
        <f t="shared" si="1"/>
        <v>*/Declarant/Address</v>
      </c>
    </row>
    <row r="23" spans="1:17" ht="12" customHeight="1" outlineLevel="3" x14ac:dyDescent="0.35">
      <c r="A23" s="2" t="str">
        <f t="shared" si="0"/>
        <v>CC433B</v>
      </c>
      <c r="B23" s="1">
        <v>3</v>
      </c>
      <c r="C23" s="1" t="s">
        <v>19</v>
      </c>
      <c r="D23" s="2" t="s">
        <v>25</v>
      </c>
      <c r="E23" s="9" t="s">
        <v>88</v>
      </c>
      <c r="F23" s="7" t="s">
        <v>83</v>
      </c>
      <c r="G23" s="2" t="s">
        <v>27</v>
      </c>
      <c r="L23" s="1" t="s">
        <v>1011</v>
      </c>
      <c r="M23" s="2" t="s">
        <v>89</v>
      </c>
      <c r="P23" s="2" t="s">
        <v>90</v>
      </c>
      <c r="Q23" s="1" t="str">
        <f t="shared" si="1"/>
        <v>*/Declarant/Address/streetAndNumber</v>
      </c>
    </row>
    <row r="24" spans="1:17" ht="12" customHeight="1" outlineLevel="3" x14ac:dyDescent="0.35">
      <c r="A24" s="2" t="str">
        <f t="shared" si="0"/>
        <v>CC433B</v>
      </c>
      <c r="B24" s="1">
        <v>3</v>
      </c>
      <c r="C24" s="1" t="s">
        <v>19</v>
      </c>
      <c r="D24" s="2" t="s">
        <v>30</v>
      </c>
      <c r="E24" s="9" t="s">
        <v>91</v>
      </c>
      <c r="F24" s="7" t="s">
        <v>92</v>
      </c>
      <c r="G24" s="2" t="s">
        <v>396</v>
      </c>
      <c r="I24" s="2" t="s">
        <v>402</v>
      </c>
      <c r="L24" s="1" t="s">
        <v>1012</v>
      </c>
      <c r="M24" s="2" t="s">
        <v>93</v>
      </c>
      <c r="P24" s="2" t="s">
        <v>94</v>
      </c>
      <c r="Q24" s="1" t="str">
        <f t="shared" si="1"/>
        <v>*/Declarant/Address/postcode</v>
      </c>
    </row>
    <row r="25" spans="1:17" ht="12" customHeight="1" outlineLevel="3" x14ac:dyDescent="0.35">
      <c r="A25" s="2" t="str">
        <f t="shared" si="0"/>
        <v>CC433B</v>
      </c>
      <c r="B25" s="1">
        <v>3</v>
      </c>
      <c r="C25" s="1" t="s">
        <v>19</v>
      </c>
      <c r="D25" s="2" t="s">
        <v>25</v>
      </c>
      <c r="E25" s="9" t="s">
        <v>95</v>
      </c>
      <c r="F25" s="7" t="s">
        <v>96</v>
      </c>
      <c r="G25" s="2" t="s">
        <v>27</v>
      </c>
      <c r="L25" s="1" t="s">
        <v>1013</v>
      </c>
      <c r="M25" s="2" t="s">
        <v>97</v>
      </c>
      <c r="P25" s="2" t="s">
        <v>98</v>
      </c>
      <c r="Q25" s="1" t="str">
        <f t="shared" si="1"/>
        <v>*/Declarant/Address/city</v>
      </c>
    </row>
    <row r="26" spans="1:17" ht="12" customHeight="1" outlineLevel="3" x14ac:dyDescent="0.35">
      <c r="A26" s="2" t="str">
        <f t="shared" si="0"/>
        <v>CC433B</v>
      </c>
      <c r="B26" s="1">
        <v>3</v>
      </c>
      <c r="C26" s="1" t="s">
        <v>19</v>
      </c>
      <c r="D26" s="2" t="s">
        <v>25</v>
      </c>
      <c r="E26" s="9" t="s">
        <v>99</v>
      </c>
      <c r="F26" s="7" t="s">
        <v>50</v>
      </c>
      <c r="G26" s="2" t="s">
        <v>27</v>
      </c>
      <c r="J26" s="2" t="s">
        <v>403</v>
      </c>
      <c r="L26" s="1" t="s">
        <v>1014</v>
      </c>
      <c r="M26" s="2" t="s">
        <v>100</v>
      </c>
      <c r="P26" s="2" t="s">
        <v>52</v>
      </c>
      <c r="Q26" s="1" t="str">
        <f t="shared" si="1"/>
        <v>*/Declarant/Address/country</v>
      </c>
    </row>
    <row r="27" spans="1:17" ht="12" customHeight="1" outlineLevel="1" x14ac:dyDescent="0.35">
      <c r="A27" s="3" t="str">
        <f t="shared" si="0"/>
        <v>CC433B</v>
      </c>
      <c r="B27" s="4">
        <v>1</v>
      </c>
      <c r="C27" s="3" t="s">
        <v>24</v>
      </c>
      <c r="D27" s="3" t="s">
        <v>30</v>
      </c>
      <c r="E27" s="5" t="s">
        <v>121</v>
      </c>
      <c r="F27" s="4"/>
      <c r="G27" s="3" t="s">
        <v>22</v>
      </c>
      <c r="H27" s="4"/>
      <c r="I27" s="4"/>
      <c r="J27" s="4"/>
      <c r="K27" s="4"/>
      <c r="L27" s="4" t="s">
        <v>1018</v>
      </c>
      <c r="M27" s="3" t="s">
        <v>121</v>
      </c>
      <c r="N27" s="4"/>
      <c r="O27" s="4"/>
      <c r="P27" s="3" t="s">
        <v>301</v>
      </c>
      <c r="Q27" s="1" t="str">
        <f t="shared" si="1"/>
        <v>*/Representative</v>
      </c>
    </row>
    <row r="28" spans="1:17" ht="12" customHeight="1" outlineLevel="2" x14ac:dyDescent="0.35">
      <c r="A28" s="2" t="str">
        <f t="shared" si="0"/>
        <v>CC433B</v>
      </c>
      <c r="B28" s="1">
        <v>2</v>
      </c>
      <c r="C28" s="1" t="s">
        <v>19</v>
      </c>
      <c r="D28" s="2" t="s">
        <v>25</v>
      </c>
      <c r="E28" s="6" t="s">
        <v>81</v>
      </c>
      <c r="F28" s="7" t="s">
        <v>68</v>
      </c>
      <c r="G28" s="2" t="s">
        <v>27</v>
      </c>
      <c r="H28" s="2" t="s">
        <v>788</v>
      </c>
      <c r="L28" s="1" t="s">
        <v>1019</v>
      </c>
      <c r="M28" s="2" t="s">
        <v>82</v>
      </c>
      <c r="P28" s="2" t="s">
        <v>70</v>
      </c>
      <c r="Q28" s="1" t="str">
        <f t="shared" si="1"/>
        <v>*/Representative/identificationNumber</v>
      </c>
    </row>
    <row r="29" spans="1:17" ht="12" customHeight="1" outlineLevel="2" x14ac:dyDescent="0.35">
      <c r="A29" s="2" t="str">
        <f t="shared" si="0"/>
        <v>CC433B</v>
      </c>
      <c r="B29" s="1">
        <v>2</v>
      </c>
      <c r="C29" s="1" t="s">
        <v>19</v>
      </c>
      <c r="D29" s="2" t="s">
        <v>25</v>
      </c>
      <c r="E29" s="6" t="s">
        <v>6</v>
      </c>
      <c r="F29" s="7" t="s">
        <v>123</v>
      </c>
      <c r="G29" s="2" t="s">
        <v>27</v>
      </c>
      <c r="H29" s="2" t="s">
        <v>407</v>
      </c>
      <c r="J29" s="2" t="s">
        <v>408</v>
      </c>
      <c r="L29" s="1" t="s">
        <v>1020</v>
      </c>
      <c r="M29" s="2" t="s">
        <v>124</v>
      </c>
      <c r="P29" s="2" t="s">
        <v>125</v>
      </c>
      <c r="Q29" s="1" t="str">
        <f t="shared" si="1"/>
        <v>*/Representative/status</v>
      </c>
    </row>
    <row r="30" spans="1:17" ht="12" customHeight="1" outlineLevel="1" x14ac:dyDescent="0.35">
      <c r="A30" s="3" t="str">
        <f t="shared" si="0"/>
        <v>CC433B</v>
      </c>
      <c r="B30" s="4">
        <v>1</v>
      </c>
      <c r="C30" s="3" t="s">
        <v>24</v>
      </c>
      <c r="D30" s="3" t="s">
        <v>25</v>
      </c>
      <c r="E30" s="5" t="s">
        <v>173</v>
      </c>
      <c r="F30" s="4"/>
      <c r="G30" s="3" t="s">
        <v>27</v>
      </c>
      <c r="H30" s="4"/>
      <c r="I30" s="4"/>
      <c r="J30" s="4"/>
      <c r="K30" s="4"/>
      <c r="L30" s="4"/>
      <c r="M30" s="3" t="s">
        <v>174</v>
      </c>
      <c r="N30" s="4"/>
      <c r="O30" s="4"/>
      <c r="P30" s="3" t="s">
        <v>302</v>
      </c>
      <c r="Q30" s="1" t="str">
        <f t="shared" si="1"/>
        <v>*/GoodsShipment</v>
      </c>
    </row>
    <row r="31" spans="1:17" ht="12" customHeight="1" outlineLevel="2" x14ac:dyDescent="0.35">
      <c r="A31" s="3" t="str">
        <f t="shared" si="0"/>
        <v>CC433B</v>
      </c>
      <c r="B31" s="4">
        <v>2</v>
      </c>
      <c r="C31" s="3" t="s">
        <v>24</v>
      </c>
      <c r="D31" s="3" t="s">
        <v>193</v>
      </c>
      <c r="E31" s="8" t="s">
        <v>303</v>
      </c>
      <c r="F31" s="4"/>
      <c r="G31" s="3" t="s">
        <v>22</v>
      </c>
      <c r="H31" s="3" t="s">
        <v>489</v>
      </c>
      <c r="I31" s="4"/>
      <c r="J31" s="4"/>
      <c r="K31" s="4"/>
      <c r="L31" s="4"/>
      <c r="M31" s="3" t="s">
        <v>304</v>
      </c>
      <c r="N31" s="4"/>
      <c r="O31" s="4"/>
      <c r="P31" s="3" t="s">
        <v>305</v>
      </c>
      <c r="Q31" s="1" t="str">
        <f t="shared" si="1"/>
        <v>*/GoodsShipment/PreviousDocument[0]</v>
      </c>
    </row>
    <row r="32" spans="1:17" ht="12" customHeight="1" outlineLevel="3" x14ac:dyDescent="0.35">
      <c r="A32" s="2" t="str">
        <f t="shared" si="0"/>
        <v>CC433B</v>
      </c>
      <c r="B32" s="1">
        <v>3</v>
      </c>
      <c r="C32" s="1" t="s">
        <v>19</v>
      </c>
      <c r="D32" s="2" t="s">
        <v>25</v>
      </c>
      <c r="E32" s="9" t="s">
        <v>56</v>
      </c>
      <c r="F32" s="7" t="s">
        <v>57</v>
      </c>
      <c r="G32" s="2" t="s">
        <v>27</v>
      </c>
      <c r="H32" s="2" t="s">
        <v>393</v>
      </c>
      <c r="M32" s="2" t="s">
        <v>58</v>
      </c>
      <c r="P32" s="2" t="s">
        <v>59</v>
      </c>
      <c r="Q32" s="1" t="str">
        <f t="shared" si="1"/>
        <v>*/GoodsShipment/PreviousDocument[0]/sequenceNumber</v>
      </c>
    </row>
    <row r="33" spans="1:17" ht="12" customHeight="1" outlineLevel="3" x14ac:dyDescent="0.35">
      <c r="A33" s="2" t="str">
        <f t="shared" si="0"/>
        <v>CC433B</v>
      </c>
      <c r="B33" s="1">
        <v>3</v>
      </c>
      <c r="C33" s="1" t="s">
        <v>19</v>
      </c>
      <c r="D33" s="2" t="s">
        <v>25</v>
      </c>
      <c r="E33" s="9" t="s">
        <v>2</v>
      </c>
      <c r="F33" s="7" t="s">
        <v>306</v>
      </c>
      <c r="G33" s="2" t="s">
        <v>27</v>
      </c>
      <c r="H33" s="2" t="s">
        <v>477</v>
      </c>
      <c r="J33" s="2" t="s">
        <v>491</v>
      </c>
      <c r="M33" s="2" t="s">
        <v>61</v>
      </c>
      <c r="P33" s="2" t="s">
        <v>307</v>
      </c>
      <c r="Q33" s="1" t="str">
        <f t="shared" si="1"/>
        <v>*/GoodsShipment/PreviousDocument[0]/type</v>
      </c>
    </row>
    <row r="34" spans="1:17" ht="12" customHeight="1" outlineLevel="3" x14ac:dyDescent="0.35">
      <c r="A34" s="2" t="str">
        <f t="shared" ref="A34:A65" si="2">$E$2</f>
        <v>CC433B</v>
      </c>
      <c r="B34" s="1">
        <v>3</v>
      </c>
      <c r="C34" s="1" t="s">
        <v>19</v>
      </c>
      <c r="D34" s="2" t="s">
        <v>30</v>
      </c>
      <c r="E34" s="9" t="s">
        <v>142</v>
      </c>
      <c r="F34" s="7" t="s">
        <v>50</v>
      </c>
      <c r="G34" s="2" t="s">
        <v>396</v>
      </c>
      <c r="H34" s="2" t="s">
        <v>492</v>
      </c>
      <c r="I34" s="2" t="s">
        <v>493</v>
      </c>
      <c r="J34" s="2" t="s">
        <v>416</v>
      </c>
      <c r="M34" s="2" t="s">
        <v>143</v>
      </c>
      <c r="P34" s="2" t="s">
        <v>52</v>
      </c>
      <c r="Q34" s="1" t="str">
        <f t="shared" si="1"/>
        <v>*/GoodsShipment/PreviousDocument[0]/ccQualifier</v>
      </c>
    </row>
    <row r="35" spans="1:17" ht="12" customHeight="1" outlineLevel="3" x14ac:dyDescent="0.35">
      <c r="A35" s="2" t="str">
        <f t="shared" si="2"/>
        <v>CC433B</v>
      </c>
      <c r="B35" s="1">
        <v>3</v>
      </c>
      <c r="C35" s="1" t="s">
        <v>19</v>
      </c>
      <c r="D35" s="2" t="s">
        <v>25</v>
      </c>
      <c r="E35" s="9" t="s">
        <v>63</v>
      </c>
      <c r="F35" s="7" t="s">
        <v>83</v>
      </c>
      <c r="G35" s="2" t="s">
        <v>27</v>
      </c>
      <c r="H35" s="2" t="s">
        <v>494</v>
      </c>
      <c r="M35" s="2" t="s">
        <v>65</v>
      </c>
      <c r="P35" s="2" t="s">
        <v>308</v>
      </c>
      <c r="Q35" s="1" t="str">
        <f t="shared" si="1"/>
        <v>*/GoodsShipment/PreviousDocument[0]/referenceNumber</v>
      </c>
    </row>
    <row r="36" spans="1:17" ht="12" customHeight="1" outlineLevel="2" x14ac:dyDescent="0.35">
      <c r="A36" s="3" t="str">
        <f t="shared" si="2"/>
        <v>CC433B</v>
      </c>
      <c r="B36" s="4">
        <v>2</v>
      </c>
      <c r="C36" s="3" t="s">
        <v>24</v>
      </c>
      <c r="D36" s="3" t="s">
        <v>25</v>
      </c>
      <c r="E36" s="8" t="s">
        <v>241</v>
      </c>
      <c r="F36" s="4"/>
      <c r="G36" s="3" t="s">
        <v>27</v>
      </c>
      <c r="H36" s="4"/>
      <c r="I36" s="4"/>
      <c r="J36" s="4"/>
      <c r="K36" s="4"/>
      <c r="L36" s="4"/>
      <c r="M36" s="3" t="s">
        <v>241</v>
      </c>
      <c r="N36" s="4"/>
      <c r="O36" s="4"/>
      <c r="P36" s="3" t="s">
        <v>309</v>
      </c>
      <c r="Q36" s="1" t="str">
        <f t="shared" si="1"/>
        <v>*/GoodsShipment/Consignment</v>
      </c>
    </row>
    <row r="37" spans="1:17" ht="12" customHeight="1" outlineLevel="3" x14ac:dyDescent="0.35">
      <c r="A37" s="2" t="str">
        <f t="shared" si="2"/>
        <v>CC433B</v>
      </c>
      <c r="B37" s="1">
        <v>3</v>
      </c>
      <c r="C37" s="1" t="s">
        <v>19</v>
      </c>
      <c r="D37" s="2" t="s">
        <v>30</v>
      </c>
      <c r="E37" s="9" t="s">
        <v>310</v>
      </c>
      <c r="F37" s="7" t="s">
        <v>311</v>
      </c>
      <c r="G37" s="2" t="s">
        <v>22</v>
      </c>
      <c r="H37" s="2" t="s">
        <v>984</v>
      </c>
      <c r="M37" s="2" t="s">
        <v>312</v>
      </c>
      <c r="P37" s="2" t="s">
        <v>313</v>
      </c>
      <c r="Q37" s="1" t="str">
        <f t="shared" si="1"/>
        <v>*/GoodsShipment/Consignment/grossMass</v>
      </c>
    </row>
    <row r="38" spans="1:17" ht="12" customHeight="1" outlineLevel="3" x14ac:dyDescent="0.35">
      <c r="A38" s="3" t="str">
        <f t="shared" si="2"/>
        <v>CC433B</v>
      </c>
      <c r="B38" s="4">
        <v>3</v>
      </c>
      <c r="C38" s="3" t="s">
        <v>24</v>
      </c>
      <c r="D38" s="3" t="s">
        <v>314</v>
      </c>
      <c r="E38" s="10" t="s">
        <v>244</v>
      </c>
      <c r="F38" s="4"/>
      <c r="G38" s="3" t="s">
        <v>22</v>
      </c>
      <c r="H38" s="3" t="s">
        <v>555</v>
      </c>
      <c r="I38" s="4"/>
      <c r="J38" s="4"/>
      <c r="K38" s="4"/>
      <c r="L38" s="4"/>
      <c r="M38" s="3" t="s">
        <v>245</v>
      </c>
      <c r="N38" s="4"/>
      <c r="O38" s="4"/>
      <c r="P38" s="3" t="s">
        <v>315</v>
      </c>
      <c r="Q38" s="1" t="str">
        <f t="shared" si="1"/>
        <v>*/GoodsShipment/Consignment/TransportEquipment[0]</v>
      </c>
    </row>
    <row r="39" spans="1:17" ht="12" customHeight="1" outlineLevel="4" x14ac:dyDescent="0.35">
      <c r="A39" s="2" t="str">
        <f t="shared" si="2"/>
        <v>CC433B</v>
      </c>
      <c r="B39" s="1">
        <v>4</v>
      </c>
      <c r="C39" s="1" t="s">
        <v>19</v>
      </c>
      <c r="D39" s="2" t="s">
        <v>25</v>
      </c>
      <c r="E39" s="11" t="s">
        <v>56</v>
      </c>
      <c r="F39" s="7" t="s">
        <v>57</v>
      </c>
      <c r="G39" s="2" t="s">
        <v>27</v>
      </c>
      <c r="H39" s="2" t="s">
        <v>393</v>
      </c>
      <c r="M39" s="2" t="s">
        <v>58</v>
      </c>
      <c r="P39" s="2" t="s">
        <v>59</v>
      </c>
      <c r="Q39" s="1" t="str">
        <f t="shared" si="1"/>
        <v>*/GoodsShipment/Consignment/TransportEquipment[0]/sequenceNumber</v>
      </c>
    </row>
    <row r="40" spans="1:17" ht="12" customHeight="1" outlineLevel="4" x14ac:dyDescent="0.35">
      <c r="A40" s="2" t="str">
        <f t="shared" si="2"/>
        <v>CC433B</v>
      </c>
      <c r="B40" s="1">
        <v>4</v>
      </c>
      <c r="C40" s="1" t="s">
        <v>19</v>
      </c>
      <c r="D40" s="2" t="s">
        <v>25</v>
      </c>
      <c r="E40" s="11" t="s">
        <v>247</v>
      </c>
      <c r="F40" s="7" t="s">
        <v>837</v>
      </c>
      <c r="G40" s="2" t="s">
        <v>27</v>
      </c>
      <c r="M40" s="2" t="s">
        <v>248</v>
      </c>
      <c r="P40" s="2" t="s">
        <v>249</v>
      </c>
      <c r="Q40" s="1" t="str">
        <f t="shared" si="1"/>
        <v>*/GoodsShipment/Consignment/TransportEquipment[0]/containerIdentificationNumber</v>
      </c>
    </row>
    <row r="41" spans="1:17" ht="12" customHeight="1" outlineLevel="4" x14ac:dyDescent="0.35">
      <c r="A41" s="3" t="str">
        <f t="shared" si="2"/>
        <v>CC433B</v>
      </c>
      <c r="B41" s="4">
        <v>4</v>
      </c>
      <c r="C41" s="3" t="s">
        <v>24</v>
      </c>
      <c r="D41" s="3" t="s">
        <v>314</v>
      </c>
      <c r="E41" s="12" t="s">
        <v>250</v>
      </c>
      <c r="F41" s="4"/>
      <c r="G41" s="3" t="s">
        <v>396</v>
      </c>
      <c r="H41" s="4"/>
      <c r="I41" s="3" t="s">
        <v>556</v>
      </c>
      <c r="J41" s="4"/>
      <c r="K41" s="4"/>
      <c r="L41" s="4"/>
      <c r="M41" s="3" t="s">
        <v>251</v>
      </c>
      <c r="N41" s="4"/>
      <c r="O41" s="4"/>
      <c r="P41" s="3" t="s">
        <v>252</v>
      </c>
      <c r="Q41" s="1" t="str">
        <f t="shared" si="1"/>
        <v>*/GoodsShipment/Consignment/TransportEquipment[0]/GoodsReference[0]</v>
      </c>
    </row>
    <row r="42" spans="1:17" ht="12" customHeight="1" outlineLevel="5" x14ac:dyDescent="0.35">
      <c r="A42" s="2" t="str">
        <f t="shared" si="2"/>
        <v>CC433B</v>
      </c>
      <c r="B42" s="1">
        <v>5</v>
      </c>
      <c r="C42" s="1" t="s">
        <v>19</v>
      </c>
      <c r="D42" s="2" t="s">
        <v>25</v>
      </c>
      <c r="E42" s="13" t="s">
        <v>56</v>
      </c>
      <c r="F42" s="7" t="s">
        <v>57</v>
      </c>
      <c r="G42" s="2" t="s">
        <v>27</v>
      </c>
      <c r="H42" s="2" t="s">
        <v>393</v>
      </c>
      <c r="M42" s="2" t="s">
        <v>58</v>
      </c>
      <c r="P42" s="2" t="s">
        <v>59</v>
      </c>
      <c r="Q42" s="1" t="str">
        <f t="shared" si="1"/>
        <v>*/GoodsShipment/Consignment/TransportEquipment[0]/GoodsReference[0]/sequenceNumber</v>
      </c>
    </row>
    <row r="43" spans="1:17" ht="12" customHeight="1" outlineLevel="5" x14ac:dyDescent="0.35">
      <c r="A43" s="2" t="str">
        <f t="shared" si="2"/>
        <v>CC433B</v>
      </c>
      <c r="B43" s="1">
        <v>5</v>
      </c>
      <c r="C43" s="1" t="s">
        <v>19</v>
      </c>
      <c r="D43" s="2" t="s">
        <v>25</v>
      </c>
      <c r="E43" s="13" t="s">
        <v>253</v>
      </c>
      <c r="F43" s="7" t="s">
        <v>57</v>
      </c>
      <c r="G43" s="2" t="s">
        <v>27</v>
      </c>
      <c r="M43" s="2" t="s">
        <v>254</v>
      </c>
      <c r="P43" s="2" t="s">
        <v>255</v>
      </c>
      <c r="Q43" s="1" t="str">
        <f t="shared" si="1"/>
        <v>*/GoodsShipment/Consignment/TransportEquipment[0]/GoodsReference[0]/declarationGoodsItemNumber</v>
      </c>
    </row>
    <row r="44" spans="1:17" ht="12" customHeight="1" outlineLevel="3" x14ac:dyDescent="0.35">
      <c r="A44" s="3" t="str">
        <f t="shared" si="2"/>
        <v>CC433B</v>
      </c>
      <c r="B44" s="4">
        <v>3</v>
      </c>
      <c r="C44" s="3" t="s">
        <v>24</v>
      </c>
      <c r="D44" s="3" t="s">
        <v>25</v>
      </c>
      <c r="E44" s="10" t="s">
        <v>256</v>
      </c>
      <c r="F44" s="4"/>
      <c r="G44" s="3" t="s">
        <v>27</v>
      </c>
      <c r="H44" s="4"/>
      <c r="I44" s="4"/>
      <c r="J44" s="4"/>
      <c r="K44" s="4"/>
      <c r="L44" s="4"/>
      <c r="M44" s="3" t="s">
        <v>257</v>
      </c>
      <c r="N44" s="4"/>
      <c r="O44" s="4"/>
      <c r="P44" s="3" t="s">
        <v>258</v>
      </c>
      <c r="Q44" s="1" t="str">
        <f t="shared" si="1"/>
        <v>*/GoodsShipment/Consignment/LocationOfGoods</v>
      </c>
    </row>
    <row r="45" spans="1:17" ht="12" customHeight="1" outlineLevel="4" x14ac:dyDescent="0.35">
      <c r="A45" s="2" t="str">
        <f t="shared" si="2"/>
        <v>CC433B</v>
      </c>
      <c r="B45" s="1">
        <v>4</v>
      </c>
      <c r="C45" s="1" t="s">
        <v>19</v>
      </c>
      <c r="D45" s="2" t="s">
        <v>25</v>
      </c>
      <c r="E45" s="11" t="s">
        <v>259</v>
      </c>
      <c r="F45" s="7" t="s">
        <v>44</v>
      </c>
      <c r="G45" s="2" t="s">
        <v>27</v>
      </c>
      <c r="J45" s="2" t="s">
        <v>558</v>
      </c>
      <c r="M45" s="2" t="s">
        <v>260</v>
      </c>
      <c r="P45" s="2" t="s">
        <v>261</v>
      </c>
      <c r="Q45" s="1" t="str">
        <f t="shared" si="1"/>
        <v>*/GoodsShipment/Consignment/LocationOfGoods/typeOfLocation</v>
      </c>
    </row>
    <row r="46" spans="1:17" ht="12" customHeight="1" outlineLevel="4" x14ac:dyDescent="0.35">
      <c r="A46" s="2" t="str">
        <f t="shared" si="2"/>
        <v>CC433B</v>
      </c>
      <c r="B46" s="1">
        <v>4</v>
      </c>
      <c r="C46" s="1" t="s">
        <v>19</v>
      </c>
      <c r="D46" s="2" t="s">
        <v>25</v>
      </c>
      <c r="E46" s="11" t="s">
        <v>262</v>
      </c>
      <c r="F46" s="7" t="s">
        <v>44</v>
      </c>
      <c r="G46" s="2" t="s">
        <v>27</v>
      </c>
      <c r="H46" s="2" t="s">
        <v>559</v>
      </c>
      <c r="J46" s="2" t="s">
        <v>560</v>
      </c>
      <c r="M46" s="2" t="s">
        <v>263</v>
      </c>
      <c r="P46" s="2" t="s">
        <v>264</v>
      </c>
      <c r="Q46" s="1" t="str">
        <f t="shared" si="1"/>
        <v>*/GoodsShipment/Consignment/LocationOfGoods/qualifierOfIdentification</v>
      </c>
    </row>
    <row r="47" spans="1:17" ht="12" customHeight="1" outlineLevel="4" x14ac:dyDescent="0.35">
      <c r="A47" s="2" t="str">
        <f t="shared" si="2"/>
        <v>CC433B</v>
      </c>
      <c r="B47" s="1">
        <v>4</v>
      </c>
      <c r="C47" s="1" t="s">
        <v>19</v>
      </c>
      <c r="D47" s="2" t="s">
        <v>30</v>
      </c>
      <c r="E47" s="11" t="s">
        <v>265</v>
      </c>
      <c r="F47" s="7" t="s">
        <v>834</v>
      </c>
      <c r="G47" s="2" t="s">
        <v>396</v>
      </c>
      <c r="I47" s="2" t="s">
        <v>561</v>
      </c>
      <c r="M47" s="2" t="s">
        <v>266</v>
      </c>
      <c r="P47" s="2" t="s">
        <v>66</v>
      </c>
      <c r="Q47" s="1" t="str">
        <f t="shared" si="1"/>
        <v>*/GoodsShipment/Consignment/LocationOfGoods/authorisationNumber</v>
      </c>
    </row>
    <row r="48" spans="1:17" ht="12" customHeight="1" outlineLevel="4" x14ac:dyDescent="0.35">
      <c r="A48" s="2" t="str">
        <f t="shared" si="2"/>
        <v>CC433B</v>
      </c>
      <c r="B48" s="1">
        <v>4</v>
      </c>
      <c r="C48" s="1" t="s">
        <v>19</v>
      </c>
      <c r="D48" s="2" t="s">
        <v>30</v>
      </c>
      <c r="E48" s="11" t="s">
        <v>267</v>
      </c>
      <c r="F48" s="7" t="s">
        <v>60</v>
      </c>
      <c r="G48" s="2" t="s">
        <v>396</v>
      </c>
      <c r="I48" s="2" t="s">
        <v>562</v>
      </c>
      <c r="M48" s="2" t="s">
        <v>268</v>
      </c>
      <c r="P48" s="2" t="s">
        <v>269</v>
      </c>
      <c r="Q48" s="1" t="str">
        <f t="shared" si="1"/>
        <v>*/GoodsShipment/Consignment/LocationOfGoods/additionalIdentifier</v>
      </c>
    </row>
    <row r="49" spans="1:17" ht="12" customHeight="1" outlineLevel="4" x14ac:dyDescent="0.35">
      <c r="A49" s="2" t="str">
        <f t="shared" si="2"/>
        <v>CC433B</v>
      </c>
      <c r="B49" s="1">
        <v>4</v>
      </c>
      <c r="C49" s="1" t="s">
        <v>19</v>
      </c>
      <c r="D49" s="2" t="s">
        <v>30</v>
      </c>
      <c r="E49" s="11" t="s">
        <v>270</v>
      </c>
      <c r="F49" s="7" t="s">
        <v>103</v>
      </c>
      <c r="G49" s="2" t="s">
        <v>396</v>
      </c>
      <c r="I49" s="2" t="s">
        <v>561</v>
      </c>
      <c r="J49" s="2" t="s">
        <v>459</v>
      </c>
      <c r="M49" s="2" t="s">
        <v>271</v>
      </c>
      <c r="P49" s="2" t="s">
        <v>272</v>
      </c>
      <c r="Q49" s="1" t="str">
        <f t="shared" si="1"/>
        <v>*/GoodsShipment/Consignment/LocationOfGoods/UNLOCODE</v>
      </c>
    </row>
    <row r="50" spans="1:17" ht="12" customHeight="1" outlineLevel="4" x14ac:dyDescent="0.35">
      <c r="A50" s="3" t="str">
        <f t="shared" si="2"/>
        <v>CC433B</v>
      </c>
      <c r="B50" s="4">
        <v>4</v>
      </c>
      <c r="C50" s="3" t="s">
        <v>24</v>
      </c>
      <c r="D50" s="3" t="s">
        <v>30</v>
      </c>
      <c r="E50" s="12" t="s">
        <v>273</v>
      </c>
      <c r="F50" s="4"/>
      <c r="G50" s="3" t="s">
        <v>396</v>
      </c>
      <c r="H50" s="4"/>
      <c r="I50" s="3" t="s">
        <v>561</v>
      </c>
      <c r="J50" s="4"/>
      <c r="K50" s="4"/>
      <c r="L50" s="4"/>
      <c r="M50" s="3" t="s">
        <v>274</v>
      </c>
      <c r="N50" s="4"/>
      <c r="O50" s="4"/>
      <c r="P50" s="3" t="s">
        <v>275</v>
      </c>
      <c r="Q50" s="1" t="str">
        <f t="shared" si="1"/>
        <v>*/GoodsShipment/Consignment/LocationOfGoods/CustomsOffice</v>
      </c>
    </row>
    <row r="51" spans="1:17" ht="12" customHeight="1" outlineLevel="5" x14ac:dyDescent="0.35">
      <c r="A51" s="2" t="str">
        <f t="shared" si="2"/>
        <v>CC433B</v>
      </c>
      <c r="B51" s="1">
        <v>5</v>
      </c>
      <c r="C51" s="1" t="s">
        <v>19</v>
      </c>
      <c r="D51" s="2" t="s">
        <v>25</v>
      </c>
      <c r="E51" s="13" t="s">
        <v>63</v>
      </c>
      <c r="F51" s="7" t="s">
        <v>74</v>
      </c>
      <c r="G51" s="2" t="s">
        <v>27</v>
      </c>
      <c r="J51" s="2" t="s">
        <v>399</v>
      </c>
      <c r="M51" s="2" t="s">
        <v>65</v>
      </c>
      <c r="P51" s="2" t="s">
        <v>75</v>
      </c>
      <c r="Q51" s="1" t="str">
        <f t="shared" si="1"/>
        <v>*/GoodsShipment/Consignment/LocationOfGoods/CustomsOffice/referenceNumber</v>
      </c>
    </row>
    <row r="52" spans="1:17" ht="12" customHeight="1" outlineLevel="4" x14ac:dyDescent="0.35">
      <c r="A52" s="3" t="str">
        <f t="shared" si="2"/>
        <v>CC433B</v>
      </c>
      <c r="B52" s="4">
        <v>4</v>
      </c>
      <c r="C52" s="3" t="s">
        <v>24</v>
      </c>
      <c r="D52" s="3" t="s">
        <v>30</v>
      </c>
      <c r="E52" s="12" t="s">
        <v>276</v>
      </c>
      <c r="F52" s="4"/>
      <c r="G52" s="3" t="s">
        <v>396</v>
      </c>
      <c r="H52" s="3" t="s">
        <v>563</v>
      </c>
      <c r="I52" s="3" t="s">
        <v>561</v>
      </c>
      <c r="J52" s="4"/>
      <c r="K52" s="4"/>
      <c r="L52" s="4"/>
      <c r="M52" s="3" t="s">
        <v>277</v>
      </c>
      <c r="N52" s="4"/>
      <c r="O52" s="4"/>
      <c r="P52" s="3" t="s">
        <v>278</v>
      </c>
      <c r="Q52" s="1" t="str">
        <f t="shared" si="1"/>
        <v>*/GoodsShipment/Consignment/LocationOfGoods/GNSS</v>
      </c>
    </row>
    <row r="53" spans="1:17" ht="12" customHeight="1" outlineLevel="5" x14ac:dyDescent="0.35">
      <c r="A53" s="2" t="str">
        <f t="shared" si="2"/>
        <v>CC433B</v>
      </c>
      <c r="B53" s="1">
        <v>5</v>
      </c>
      <c r="C53" s="1" t="s">
        <v>19</v>
      </c>
      <c r="D53" s="2" t="s">
        <v>25</v>
      </c>
      <c r="E53" s="13" t="s">
        <v>279</v>
      </c>
      <c r="F53" s="7" t="s">
        <v>280</v>
      </c>
      <c r="G53" s="2" t="s">
        <v>27</v>
      </c>
      <c r="M53" s="2" t="s">
        <v>281</v>
      </c>
      <c r="P53" s="2" t="s">
        <v>282</v>
      </c>
      <c r="Q53" s="1" t="str">
        <f t="shared" si="1"/>
        <v>*/GoodsShipment/Consignment/LocationOfGoods/GNSS/latitude</v>
      </c>
    </row>
    <row r="54" spans="1:17" ht="12" customHeight="1" outlineLevel="5" x14ac:dyDescent="0.35">
      <c r="A54" s="2" t="str">
        <f t="shared" si="2"/>
        <v>CC433B</v>
      </c>
      <c r="B54" s="1">
        <v>5</v>
      </c>
      <c r="C54" s="1" t="s">
        <v>19</v>
      </c>
      <c r="D54" s="2" t="s">
        <v>25</v>
      </c>
      <c r="E54" s="13" t="s">
        <v>283</v>
      </c>
      <c r="F54" s="7" t="s">
        <v>284</v>
      </c>
      <c r="G54" s="2" t="s">
        <v>27</v>
      </c>
      <c r="M54" s="2" t="s">
        <v>285</v>
      </c>
      <c r="P54" s="2" t="s">
        <v>286</v>
      </c>
      <c r="Q54" s="1" t="str">
        <f t="shared" si="1"/>
        <v>*/GoodsShipment/Consignment/LocationOfGoods/GNSS/longitude</v>
      </c>
    </row>
    <row r="55" spans="1:17" ht="12" customHeight="1" outlineLevel="4" x14ac:dyDescent="0.35">
      <c r="A55" s="3" t="str">
        <f t="shared" si="2"/>
        <v>CC433B</v>
      </c>
      <c r="B55" s="4">
        <v>4</v>
      </c>
      <c r="C55" s="3" t="s">
        <v>24</v>
      </c>
      <c r="D55" s="3" t="s">
        <v>30</v>
      </c>
      <c r="E55" s="12" t="s">
        <v>287</v>
      </c>
      <c r="F55" s="4"/>
      <c r="G55" s="3" t="s">
        <v>396</v>
      </c>
      <c r="H55" s="4"/>
      <c r="I55" s="3" t="s">
        <v>561</v>
      </c>
      <c r="J55" s="4"/>
      <c r="K55" s="4"/>
      <c r="L55" s="4"/>
      <c r="M55" s="3" t="s">
        <v>288</v>
      </c>
      <c r="N55" s="4"/>
      <c r="O55" s="4"/>
      <c r="P55" s="3" t="s">
        <v>289</v>
      </c>
      <c r="Q55" s="1" t="str">
        <f t="shared" si="1"/>
        <v>*/GoodsShipment/Consignment/LocationOfGoods/EconomicOperator</v>
      </c>
    </row>
    <row r="56" spans="1:17" ht="12" customHeight="1" outlineLevel="5" x14ac:dyDescent="0.35">
      <c r="A56" s="2" t="str">
        <f t="shared" si="2"/>
        <v>CC433B</v>
      </c>
      <c r="B56" s="1">
        <v>5</v>
      </c>
      <c r="C56" s="1" t="s">
        <v>19</v>
      </c>
      <c r="D56" s="2" t="s">
        <v>25</v>
      </c>
      <c r="E56" s="13" t="s">
        <v>81</v>
      </c>
      <c r="F56" s="7" t="s">
        <v>68</v>
      </c>
      <c r="G56" s="2" t="s">
        <v>27</v>
      </c>
      <c r="M56" s="2" t="s">
        <v>82</v>
      </c>
      <c r="P56" s="2" t="s">
        <v>70</v>
      </c>
      <c r="Q56" s="1" t="str">
        <f t="shared" si="1"/>
        <v>*/GoodsShipment/Consignment/LocationOfGoods/EconomicOperator/identificationNumber</v>
      </c>
    </row>
    <row r="57" spans="1:17" ht="12" customHeight="1" outlineLevel="4" x14ac:dyDescent="0.35">
      <c r="A57" s="3" t="str">
        <f t="shared" si="2"/>
        <v>CC433B</v>
      </c>
      <c r="B57" s="4">
        <v>4</v>
      </c>
      <c r="C57" s="3" t="s">
        <v>24</v>
      </c>
      <c r="D57" s="3" t="s">
        <v>30</v>
      </c>
      <c r="E57" s="12" t="s">
        <v>86</v>
      </c>
      <c r="F57" s="4"/>
      <c r="G57" s="3" t="s">
        <v>396</v>
      </c>
      <c r="H57" s="4"/>
      <c r="I57" s="3" t="s">
        <v>561</v>
      </c>
      <c r="J57" s="4"/>
      <c r="K57" s="4"/>
      <c r="L57" s="4"/>
      <c r="M57" s="3" t="s">
        <v>86</v>
      </c>
      <c r="N57" s="4"/>
      <c r="O57" s="4"/>
      <c r="P57" s="3" t="s">
        <v>87</v>
      </c>
      <c r="Q57" s="1" t="str">
        <f t="shared" si="1"/>
        <v>*/GoodsShipment/Consignment/LocationOfGoods/Address</v>
      </c>
    </row>
    <row r="58" spans="1:17" ht="12" customHeight="1" outlineLevel="5" x14ac:dyDescent="0.35">
      <c r="A58" s="2" t="str">
        <f t="shared" si="2"/>
        <v>CC433B</v>
      </c>
      <c r="B58" s="1">
        <v>5</v>
      </c>
      <c r="C58" s="1" t="s">
        <v>19</v>
      </c>
      <c r="D58" s="2" t="s">
        <v>25</v>
      </c>
      <c r="E58" s="13" t="s">
        <v>88</v>
      </c>
      <c r="F58" s="7" t="s">
        <v>83</v>
      </c>
      <c r="G58" s="2" t="s">
        <v>27</v>
      </c>
      <c r="M58" s="2" t="s">
        <v>89</v>
      </c>
      <c r="P58" s="2" t="s">
        <v>90</v>
      </c>
      <c r="Q58" s="1" t="str">
        <f t="shared" si="1"/>
        <v>*/GoodsShipment/Consignment/LocationOfGoods/Address/streetAndNumber</v>
      </c>
    </row>
    <row r="59" spans="1:17" ht="12" customHeight="1" outlineLevel="5" x14ac:dyDescent="0.35">
      <c r="A59" s="2" t="str">
        <f t="shared" si="2"/>
        <v>CC433B</v>
      </c>
      <c r="B59" s="1">
        <v>5</v>
      </c>
      <c r="C59" s="1" t="s">
        <v>19</v>
      </c>
      <c r="D59" s="2" t="s">
        <v>30</v>
      </c>
      <c r="E59" s="13" t="s">
        <v>91</v>
      </c>
      <c r="F59" s="7" t="s">
        <v>92</v>
      </c>
      <c r="G59" s="2" t="s">
        <v>396</v>
      </c>
      <c r="I59" s="2" t="s">
        <v>402</v>
      </c>
      <c r="M59" s="2" t="s">
        <v>93</v>
      </c>
      <c r="P59" s="2" t="s">
        <v>94</v>
      </c>
      <c r="Q59" s="1" t="str">
        <f t="shared" si="1"/>
        <v>*/GoodsShipment/Consignment/LocationOfGoods/Address/postcode</v>
      </c>
    </row>
    <row r="60" spans="1:17" ht="12" customHeight="1" outlineLevel="5" x14ac:dyDescent="0.35">
      <c r="A60" s="2" t="str">
        <f t="shared" si="2"/>
        <v>CC433B</v>
      </c>
      <c r="B60" s="1">
        <v>5</v>
      </c>
      <c r="C60" s="1" t="s">
        <v>19</v>
      </c>
      <c r="D60" s="2" t="s">
        <v>25</v>
      </c>
      <c r="E60" s="13" t="s">
        <v>95</v>
      </c>
      <c r="F60" s="7" t="s">
        <v>96</v>
      </c>
      <c r="G60" s="2" t="s">
        <v>27</v>
      </c>
      <c r="M60" s="2" t="s">
        <v>97</v>
      </c>
      <c r="P60" s="2" t="s">
        <v>98</v>
      </c>
      <c r="Q60" s="1" t="str">
        <f t="shared" si="1"/>
        <v>*/GoodsShipment/Consignment/LocationOfGoods/Address/city</v>
      </c>
    </row>
    <row r="61" spans="1:17" ht="12" customHeight="1" outlineLevel="5" x14ac:dyDescent="0.35">
      <c r="A61" s="2" t="str">
        <f t="shared" si="2"/>
        <v>CC433B</v>
      </c>
      <c r="B61" s="1">
        <v>5</v>
      </c>
      <c r="C61" s="1" t="s">
        <v>19</v>
      </c>
      <c r="D61" s="2" t="s">
        <v>25</v>
      </c>
      <c r="E61" s="13" t="s">
        <v>99</v>
      </c>
      <c r="F61" s="7" t="s">
        <v>50</v>
      </c>
      <c r="G61" s="2" t="s">
        <v>27</v>
      </c>
      <c r="J61" s="2" t="s">
        <v>403</v>
      </c>
      <c r="M61" s="2" t="s">
        <v>100</v>
      </c>
      <c r="P61" s="2" t="s">
        <v>52</v>
      </c>
      <c r="Q61" s="1" t="str">
        <f t="shared" si="1"/>
        <v>*/GoodsShipment/Consignment/LocationOfGoods/Address/country</v>
      </c>
    </row>
    <row r="62" spans="1:17" ht="12" customHeight="1" outlineLevel="4" x14ac:dyDescent="0.35">
      <c r="A62" s="3" t="str">
        <f t="shared" si="2"/>
        <v>CC433B</v>
      </c>
      <c r="B62" s="4">
        <v>4</v>
      </c>
      <c r="C62" s="3" t="s">
        <v>24</v>
      </c>
      <c r="D62" s="3" t="s">
        <v>30</v>
      </c>
      <c r="E62" s="12" t="s">
        <v>290</v>
      </c>
      <c r="F62" s="4"/>
      <c r="G62" s="3" t="s">
        <v>396</v>
      </c>
      <c r="H62" s="4"/>
      <c r="I62" s="3" t="s">
        <v>561</v>
      </c>
      <c r="J62" s="4"/>
      <c r="K62" s="4"/>
      <c r="L62" s="4"/>
      <c r="M62" s="3" t="s">
        <v>291</v>
      </c>
      <c r="N62" s="4"/>
      <c r="O62" s="4"/>
      <c r="P62" s="3" t="s">
        <v>292</v>
      </c>
      <c r="Q62" s="1" t="str">
        <f t="shared" si="1"/>
        <v>*/GoodsShipment/Consignment/LocationOfGoods/PostcodeAddress</v>
      </c>
    </row>
    <row r="63" spans="1:17" ht="12" customHeight="1" outlineLevel="5" x14ac:dyDescent="0.35">
      <c r="A63" s="2" t="str">
        <f t="shared" si="2"/>
        <v>CC433B</v>
      </c>
      <c r="B63" s="1">
        <v>5</v>
      </c>
      <c r="C63" s="1" t="s">
        <v>19</v>
      </c>
      <c r="D63" s="2" t="s">
        <v>30</v>
      </c>
      <c r="E63" s="13" t="s">
        <v>293</v>
      </c>
      <c r="F63" s="7" t="s">
        <v>96</v>
      </c>
      <c r="G63" s="2" t="s">
        <v>396</v>
      </c>
      <c r="I63" s="2" t="s">
        <v>564</v>
      </c>
      <c r="M63" s="2" t="s">
        <v>294</v>
      </c>
      <c r="P63" s="2" t="s">
        <v>295</v>
      </c>
      <c r="Q63" s="1" t="str">
        <f t="shared" si="1"/>
        <v>*/GoodsShipment/Consignment/LocationOfGoods/PostcodeAddress/houseNumber</v>
      </c>
    </row>
    <row r="64" spans="1:17" ht="12" customHeight="1" outlineLevel="5" x14ac:dyDescent="0.35">
      <c r="A64" s="2" t="str">
        <f t="shared" si="2"/>
        <v>CC433B</v>
      </c>
      <c r="B64" s="1">
        <v>5</v>
      </c>
      <c r="C64" s="1" t="s">
        <v>19</v>
      </c>
      <c r="D64" s="2" t="s">
        <v>25</v>
      </c>
      <c r="E64" s="13" t="s">
        <v>91</v>
      </c>
      <c r="F64" s="7" t="s">
        <v>92</v>
      </c>
      <c r="G64" s="2" t="s">
        <v>27</v>
      </c>
      <c r="M64" s="2" t="s">
        <v>93</v>
      </c>
      <c r="P64" s="2" t="s">
        <v>94</v>
      </c>
      <c r="Q64" s="1" t="str">
        <f t="shared" si="1"/>
        <v>*/GoodsShipment/Consignment/LocationOfGoods/PostcodeAddress/postcode</v>
      </c>
    </row>
    <row r="65" spans="1:17" ht="12" customHeight="1" outlineLevel="5" x14ac:dyDescent="0.35">
      <c r="A65" s="2" t="str">
        <f t="shared" si="2"/>
        <v>CC433B</v>
      </c>
      <c r="B65" s="1">
        <v>5</v>
      </c>
      <c r="C65" s="1" t="s">
        <v>19</v>
      </c>
      <c r="D65" s="2" t="s">
        <v>25</v>
      </c>
      <c r="E65" s="13" t="s">
        <v>99</v>
      </c>
      <c r="F65" s="7" t="s">
        <v>50</v>
      </c>
      <c r="G65" s="2" t="s">
        <v>27</v>
      </c>
      <c r="J65" s="2" t="s">
        <v>565</v>
      </c>
      <c r="M65" s="2" t="s">
        <v>100</v>
      </c>
      <c r="P65" s="2" t="s">
        <v>52</v>
      </c>
      <c r="Q65" s="1" t="str">
        <f t="shared" si="1"/>
        <v>*/GoodsShipment/Consignment/LocationOfGoods/PostcodeAddress/country</v>
      </c>
    </row>
    <row r="66" spans="1:17" ht="12" customHeight="1" outlineLevel="2" x14ac:dyDescent="0.35">
      <c r="A66" s="3" t="str">
        <f t="shared" ref="A66:A98" si="3">$E$2</f>
        <v>CC433B</v>
      </c>
      <c r="B66" s="4">
        <v>2</v>
      </c>
      <c r="C66" s="3" t="s">
        <v>24</v>
      </c>
      <c r="D66" s="3" t="s">
        <v>317</v>
      </c>
      <c r="E66" s="8" t="s">
        <v>318</v>
      </c>
      <c r="F66" s="4"/>
      <c r="G66" s="3" t="s">
        <v>27</v>
      </c>
      <c r="H66" s="4"/>
      <c r="I66" s="4"/>
      <c r="J66" s="4"/>
      <c r="K66" s="4"/>
      <c r="L66" s="4"/>
      <c r="M66" s="3" t="s">
        <v>319</v>
      </c>
      <c r="N66" s="4"/>
      <c r="O66" s="4"/>
      <c r="P66" s="3" t="s">
        <v>320</v>
      </c>
      <c r="Q66" s="1" t="str">
        <f t="shared" si="1"/>
        <v>*/GoodsShipment/GoodsShipmentItem[0]</v>
      </c>
    </row>
    <row r="67" spans="1:17" ht="12" customHeight="1" outlineLevel="3" x14ac:dyDescent="0.35">
      <c r="A67" s="2" t="str">
        <f t="shared" si="3"/>
        <v>CC433B</v>
      </c>
      <c r="B67" s="1">
        <v>3</v>
      </c>
      <c r="C67" s="1" t="s">
        <v>19</v>
      </c>
      <c r="D67" s="2" t="s">
        <v>25</v>
      </c>
      <c r="E67" s="9" t="s">
        <v>253</v>
      </c>
      <c r="F67" s="7" t="s">
        <v>57</v>
      </c>
      <c r="G67" s="2" t="s">
        <v>27</v>
      </c>
      <c r="H67" s="2" t="s">
        <v>588</v>
      </c>
      <c r="M67" s="2" t="s">
        <v>254</v>
      </c>
      <c r="P67" s="2" t="s">
        <v>255</v>
      </c>
      <c r="Q67" s="1" t="str">
        <f t="shared" ref="Q67:Q98" si="4">IF($B67=0,$M67,_xlfn.TEXTBEFORE(Q66,"/",$B67,,,Q66)&amp;"/"&amp;$M67)&amp;IF(_xlfn.TEXTAFTER($D67,"..",,,,1)&lt;&gt;"1","[0]","")</f>
        <v>*/GoodsShipment/GoodsShipmentItem[0]/declarationGoodsItemNumber</v>
      </c>
    </row>
    <row r="68" spans="1:17" ht="12" customHeight="1" outlineLevel="3" x14ac:dyDescent="0.35">
      <c r="A68" s="3" t="str">
        <f t="shared" si="3"/>
        <v>CC433B</v>
      </c>
      <c r="B68" s="4">
        <v>3</v>
      </c>
      <c r="C68" s="3" t="s">
        <v>24</v>
      </c>
      <c r="D68" s="3" t="s">
        <v>53</v>
      </c>
      <c r="E68" s="10" t="s">
        <v>54</v>
      </c>
      <c r="F68" s="4"/>
      <c r="G68" s="3" t="s">
        <v>396</v>
      </c>
      <c r="H68" s="3" t="s">
        <v>595</v>
      </c>
      <c r="I68" s="3" t="s">
        <v>596</v>
      </c>
      <c r="J68" s="4"/>
      <c r="K68" s="4"/>
      <c r="L68" s="4"/>
      <c r="M68" s="3" t="s">
        <v>54</v>
      </c>
      <c r="N68" s="4"/>
      <c r="O68" s="4"/>
      <c r="P68" s="3" t="s">
        <v>321</v>
      </c>
      <c r="Q68" s="1" t="str">
        <f t="shared" si="4"/>
        <v>*/GoodsShipment/GoodsShipmentItem[0]/Authorisation[0]</v>
      </c>
    </row>
    <row r="69" spans="1:17" ht="12" customHeight="1" outlineLevel="4" x14ac:dyDescent="0.35">
      <c r="A69" s="2" t="str">
        <f t="shared" si="3"/>
        <v>CC433B</v>
      </c>
      <c r="B69" s="1">
        <v>4</v>
      </c>
      <c r="C69" s="1" t="s">
        <v>19</v>
      </c>
      <c r="D69" s="2" t="s">
        <v>25</v>
      </c>
      <c r="E69" s="11" t="s">
        <v>56</v>
      </c>
      <c r="F69" s="7" t="s">
        <v>57</v>
      </c>
      <c r="G69" s="2" t="s">
        <v>27</v>
      </c>
      <c r="H69" s="2" t="s">
        <v>393</v>
      </c>
      <c r="M69" s="2" t="s">
        <v>58</v>
      </c>
      <c r="P69" s="2" t="s">
        <v>59</v>
      </c>
      <c r="Q69" s="1" t="str">
        <f t="shared" si="4"/>
        <v>*/GoodsShipment/GoodsShipmentItem[0]/Authorisation[0]/sequenceNumber</v>
      </c>
    </row>
    <row r="70" spans="1:17" ht="12" customHeight="1" outlineLevel="4" x14ac:dyDescent="0.35">
      <c r="A70" s="2" t="str">
        <f t="shared" si="3"/>
        <v>CC433B</v>
      </c>
      <c r="B70" s="1">
        <v>4</v>
      </c>
      <c r="C70" s="1" t="s">
        <v>19</v>
      </c>
      <c r="D70" s="2" t="s">
        <v>30</v>
      </c>
      <c r="E70" s="11" t="s">
        <v>2</v>
      </c>
      <c r="F70" s="7" t="s">
        <v>60</v>
      </c>
      <c r="G70" s="2" t="s">
        <v>396</v>
      </c>
      <c r="I70" s="2" t="s">
        <v>395</v>
      </c>
      <c r="J70" s="2" t="s">
        <v>597</v>
      </c>
      <c r="M70" s="2" t="s">
        <v>61</v>
      </c>
      <c r="P70" s="2" t="s">
        <v>62</v>
      </c>
      <c r="Q70" s="1" t="str">
        <f t="shared" si="4"/>
        <v>*/GoodsShipment/GoodsShipmentItem[0]/Authorisation[0]/type</v>
      </c>
    </row>
    <row r="71" spans="1:17" ht="12" customHeight="1" outlineLevel="4" x14ac:dyDescent="0.35">
      <c r="A71" s="2" t="str">
        <f t="shared" si="3"/>
        <v>CC433B</v>
      </c>
      <c r="B71" s="1">
        <v>4</v>
      </c>
      <c r="C71" s="1" t="s">
        <v>19</v>
      </c>
      <c r="D71" s="2" t="s">
        <v>25</v>
      </c>
      <c r="E71" s="11" t="s">
        <v>63</v>
      </c>
      <c r="F71" s="7" t="s">
        <v>834</v>
      </c>
      <c r="G71" s="2" t="s">
        <v>27</v>
      </c>
      <c r="M71" s="2" t="s">
        <v>65</v>
      </c>
      <c r="P71" s="2" t="s">
        <v>66</v>
      </c>
      <c r="Q71" s="1" t="str">
        <f t="shared" si="4"/>
        <v>*/GoodsShipment/GoodsShipmentItem[0]/Authorisation[0]/referenceNumber</v>
      </c>
    </row>
    <row r="72" spans="1:17" ht="12" customHeight="1" outlineLevel="4" x14ac:dyDescent="0.35">
      <c r="A72" s="2" t="str">
        <f t="shared" si="3"/>
        <v>CC433B</v>
      </c>
      <c r="B72" s="1">
        <v>4</v>
      </c>
      <c r="C72" s="1" t="s">
        <v>19</v>
      </c>
      <c r="D72" s="2" t="s">
        <v>30</v>
      </c>
      <c r="E72" s="11" t="s">
        <v>67</v>
      </c>
      <c r="F72" s="7" t="s">
        <v>68</v>
      </c>
      <c r="G72" s="2" t="s">
        <v>396</v>
      </c>
      <c r="H72" s="2" t="s">
        <v>397</v>
      </c>
      <c r="I72" s="2" t="s">
        <v>398</v>
      </c>
      <c r="M72" s="2" t="s">
        <v>69</v>
      </c>
      <c r="P72" s="2" t="s">
        <v>70</v>
      </c>
      <c r="Q72" s="1" t="str">
        <f t="shared" si="4"/>
        <v>*/GoodsShipment/GoodsShipmentItem[0]/Authorisation[0]/holderOfTheAuthorisation</v>
      </c>
    </row>
    <row r="73" spans="1:17" ht="12" customHeight="1" outlineLevel="3" x14ac:dyDescent="0.35">
      <c r="A73" s="3" t="str">
        <f t="shared" si="3"/>
        <v>CC433B</v>
      </c>
      <c r="B73" s="4">
        <v>3</v>
      </c>
      <c r="C73" s="3" t="s">
        <v>24</v>
      </c>
      <c r="D73" s="3" t="s">
        <v>25</v>
      </c>
      <c r="E73" s="10" t="s">
        <v>322</v>
      </c>
      <c r="F73" s="4"/>
      <c r="G73" s="3" t="s">
        <v>27</v>
      </c>
      <c r="H73" s="4"/>
      <c r="I73" s="4"/>
      <c r="J73" s="4"/>
      <c r="K73" s="4"/>
      <c r="L73" s="4"/>
      <c r="M73" s="3" t="s">
        <v>322</v>
      </c>
      <c r="N73" s="4"/>
      <c r="O73" s="4"/>
      <c r="P73" s="3" t="s">
        <v>323</v>
      </c>
      <c r="Q73" s="1" t="str">
        <f t="shared" si="4"/>
        <v>*/GoodsShipment/GoodsShipmentItem[0]/Procedure</v>
      </c>
    </row>
    <row r="74" spans="1:17" ht="12" customHeight="1" outlineLevel="4" x14ac:dyDescent="0.35">
      <c r="A74" s="2" t="str">
        <f t="shared" si="3"/>
        <v>CC433B</v>
      </c>
      <c r="B74" s="1">
        <v>4</v>
      </c>
      <c r="C74" s="1" t="s">
        <v>19</v>
      </c>
      <c r="D74" s="2" t="s">
        <v>25</v>
      </c>
      <c r="E74" s="11" t="s">
        <v>324</v>
      </c>
      <c r="F74" s="7" t="s">
        <v>325</v>
      </c>
      <c r="G74" s="2" t="s">
        <v>27</v>
      </c>
      <c r="H74" s="2" t="s">
        <v>599</v>
      </c>
      <c r="J74" s="2" t="s">
        <v>600</v>
      </c>
      <c r="M74" s="2" t="s">
        <v>326</v>
      </c>
      <c r="P74" s="2" t="s">
        <v>327</v>
      </c>
      <c r="Q74" s="1" t="str">
        <f t="shared" si="4"/>
        <v>*/GoodsShipment/GoodsShipmentItem[0]/Procedure/requestedProcedure</v>
      </c>
    </row>
    <row r="75" spans="1:17" ht="12" customHeight="1" outlineLevel="4" x14ac:dyDescent="0.35">
      <c r="A75" s="2" t="str">
        <f t="shared" si="3"/>
        <v>CC433B</v>
      </c>
      <c r="B75" s="1">
        <v>4</v>
      </c>
      <c r="C75" s="1" t="s">
        <v>19</v>
      </c>
      <c r="D75" s="2" t="s">
        <v>25</v>
      </c>
      <c r="E75" s="11" t="s">
        <v>328</v>
      </c>
      <c r="F75" s="7" t="s">
        <v>325</v>
      </c>
      <c r="G75" s="2" t="s">
        <v>27</v>
      </c>
      <c r="H75" s="2" t="s">
        <v>601</v>
      </c>
      <c r="J75" s="2" t="s">
        <v>602</v>
      </c>
      <c r="M75" s="2" t="s">
        <v>329</v>
      </c>
      <c r="P75" s="2" t="s">
        <v>327</v>
      </c>
      <c r="Q75" s="1" t="str">
        <f t="shared" si="4"/>
        <v>*/GoodsShipment/GoodsShipmentItem[0]/Procedure/previousProcedure</v>
      </c>
    </row>
    <row r="76" spans="1:17" ht="12" customHeight="1" outlineLevel="4" x14ac:dyDescent="0.35">
      <c r="A76" s="3" t="str">
        <f t="shared" si="3"/>
        <v>CC433B</v>
      </c>
      <c r="B76" s="4">
        <v>4</v>
      </c>
      <c r="C76" s="3" t="s">
        <v>24</v>
      </c>
      <c r="D76" s="3" t="s">
        <v>193</v>
      </c>
      <c r="E76" s="12" t="s">
        <v>330</v>
      </c>
      <c r="F76" s="4"/>
      <c r="G76" s="3" t="s">
        <v>22</v>
      </c>
      <c r="H76" s="3" t="s">
        <v>477</v>
      </c>
      <c r="I76" s="4"/>
      <c r="J76" s="4"/>
      <c r="K76" s="4"/>
      <c r="L76" s="4"/>
      <c r="M76" s="3" t="s">
        <v>331</v>
      </c>
      <c r="N76" s="4"/>
      <c r="O76" s="4"/>
      <c r="P76" s="3" t="s">
        <v>332</v>
      </c>
      <c r="Q76" s="1" t="str">
        <f t="shared" si="4"/>
        <v>*/GoodsShipment/GoodsShipmentItem[0]/Procedure/AdditionalProcedure[0]</v>
      </c>
    </row>
    <row r="77" spans="1:17" ht="12" customHeight="1" outlineLevel="5" x14ac:dyDescent="0.35">
      <c r="A77" s="2" t="str">
        <f t="shared" si="3"/>
        <v>CC433B</v>
      </c>
      <c r="B77" s="1">
        <v>5</v>
      </c>
      <c r="C77" s="1" t="s">
        <v>19</v>
      </c>
      <c r="D77" s="2" t="s">
        <v>25</v>
      </c>
      <c r="E77" s="13" t="s">
        <v>56</v>
      </c>
      <c r="F77" s="7" t="s">
        <v>57</v>
      </c>
      <c r="G77" s="2" t="s">
        <v>27</v>
      </c>
      <c r="H77" s="2" t="s">
        <v>393</v>
      </c>
      <c r="M77" s="2" t="s">
        <v>58</v>
      </c>
      <c r="P77" s="2" t="s">
        <v>59</v>
      </c>
      <c r="Q77" s="1" t="str">
        <f t="shared" si="4"/>
        <v>*/GoodsShipment/GoodsShipmentItem[0]/Procedure/AdditionalProcedure[0]/sequenceNumber</v>
      </c>
    </row>
    <row r="78" spans="1:17" ht="12" customHeight="1" outlineLevel="5" x14ac:dyDescent="0.35">
      <c r="A78" s="2" t="str">
        <f t="shared" si="3"/>
        <v>CC433B</v>
      </c>
      <c r="B78" s="1">
        <v>5</v>
      </c>
      <c r="C78" s="1" t="s">
        <v>19</v>
      </c>
      <c r="D78" s="2" t="s">
        <v>25</v>
      </c>
      <c r="E78" s="13" t="s">
        <v>330</v>
      </c>
      <c r="F78" s="7" t="s">
        <v>333</v>
      </c>
      <c r="G78" s="2" t="s">
        <v>27</v>
      </c>
      <c r="H78" s="2" t="s">
        <v>477</v>
      </c>
      <c r="J78" s="2" t="s">
        <v>603</v>
      </c>
      <c r="M78" s="2" t="s">
        <v>334</v>
      </c>
      <c r="P78" s="2" t="s">
        <v>335</v>
      </c>
      <c r="Q78" s="1" t="str">
        <f t="shared" si="4"/>
        <v>*/GoodsShipment/GoodsShipmentItem[0]/Procedure/AdditionalProcedure[0]/additionalProcedure</v>
      </c>
    </row>
    <row r="79" spans="1:17" ht="12" customHeight="1" outlineLevel="5" x14ac:dyDescent="0.35">
      <c r="A79" s="2" t="str">
        <f t="shared" si="3"/>
        <v>CC433B</v>
      </c>
      <c r="B79" s="1">
        <v>5</v>
      </c>
      <c r="C79" s="1" t="s">
        <v>19</v>
      </c>
      <c r="D79" s="2" t="s">
        <v>30</v>
      </c>
      <c r="E79" s="13" t="s">
        <v>142</v>
      </c>
      <c r="F79" s="7" t="s">
        <v>50</v>
      </c>
      <c r="G79" s="2" t="s">
        <v>396</v>
      </c>
      <c r="H79" s="2" t="s">
        <v>492</v>
      </c>
      <c r="I79" s="2" t="s">
        <v>493</v>
      </c>
      <c r="J79" s="2" t="s">
        <v>416</v>
      </c>
      <c r="M79" s="2" t="s">
        <v>143</v>
      </c>
      <c r="P79" s="2" t="s">
        <v>52</v>
      </c>
      <c r="Q79" s="1" t="str">
        <f t="shared" si="4"/>
        <v>*/GoodsShipment/GoodsShipmentItem[0]/Procedure/AdditionalProcedure[0]/ccQualifier</v>
      </c>
    </row>
    <row r="80" spans="1:17" ht="12" customHeight="1" outlineLevel="3" x14ac:dyDescent="0.35">
      <c r="A80" s="3" t="str">
        <f t="shared" si="3"/>
        <v>CC433B</v>
      </c>
      <c r="B80" s="4">
        <v>3</v>
      </c>
      <c r="C80" s="3" t="s">
        <v>24</v>
      </c>
      <c r="D80" s="3" t="s">
        <v>25</v>
      </c>
      <c r="E80" s="10" t="s">
        <v>336</v>
      </c>
      <c r="F80" s="4"/>
      <c r="G80" s="3" t="s">
        <v>27</v>
      </c>
      <c r="H80" s="4"/>
      <c r="I80" s="4"/>
      <c r="J80" s="4"/>
      <c r="K80" s="4"/>
      <c r="L80" s="4"/>
      <c r="M80" s="3" t="s">
        <v>336</v>
      </c>
      <c r="N80" s="4"/>
      <c r="O80" s="4"/>
      <c r="P80" s="3" t="s">
        <v>337</v>
      </c>
      <c r="Q80" s="1" t="str">
        <f t="shared" si="4"/>
        <v>*/GoodsShipment/GoodsShipmentItem[0]/Commodity</v>
      </c>
    </row>
    <row r="81" spans="1:17" ht="12" customHeight="1" outlineLevel="4" x14ac:dyDescent="0.35">
      <c r="A81" s="2" t="str">
        <f t="shared" si="3"/>
        <v>CC433B</v>
      </c>
      <c r="B81" s="1">
        <v>4</v>
      </c>
      <c r="C81" s="1" t="s">
        <v>19</v>
      </c>
      <c r="D81" s="2" t="s">
        <v>25</v>
      </c>
      <c r="E81" s="11" t="s">
        <v>338</v>
      </c>
      <c r="F81" s="7" t="s">
        <v>216</v>
      </c>
      <c r="G81" s="2" t="s">
        <v>27</v>
      </c>
      <c r="M81" s="2" t="s">
        <v>339</v>
      </c>
      <c r="P81" s="2" t="s">
        <v>218</v>
      </c>
      <c r="Q81" s="1" t="str">
        <f t="shared" si="4"/>
        <v>*/GoodsShipment/GoodsShipmentItem[0]/Commodity/descriptionOfGoods</v>
      </c>
    </row>
    <row r="82" spans="1:17" ht="12" customHeight="1" outlineLevel="4" x14ac:dyDescent="0.35">
      <c r="A82" s="3" t="str">
        <f t="shared" si="3"/>
        <v>CC433B</v>
      </c>
      <c r="B82" s="4">
        <v>4</v>
      </c>
      <c r="C82" s="3" t="s">
        <v>24</v>
      </c>
      <c r="D82" s="3" t="s">
        <v>25</v>
      </c>
      <c r="E82" s="12" t="s">
        <v>340</v>
      </c>
      <c r="F82" s="4"/>
      <c r="G82" s="3" t="s">
        <v>27</v>
      </c>
      <c r="H82" s="4"/>
      <c r="I82" s="4"/>
      <c r="J82" s="4"/>
      <c r="K82" s="4"/>
      <c r="L82" s="4"/>
      <c r="M82" s="3" t="s">
        <v>341</v>
      </c>
      <c r="N82" s="4"/>
      <c r="O82" s="4"/>
      <c r="P82" s="3" t="s">
        <v>342</v>
      </c>
      <c r="Q82" s="1" t="str">
        <f t="shared" si="4"/>
        <v>*/GoodsShipment/GoodsShipmentItem[0]/Commodity/GoodsMeasure</v>
      </c>
    </row>
    <row r="83" spans="1:17" ht="12" customHeight="1" outlineLevel="5" x14ac:dyDescent="0.35">
      <c r="A83" s="2" t="str">
        <f t="shared" si="3"/>
        <v>CC433B</v>
      </c>
      <c r="B83" s="1">
        <v>5</v>
      </c>
      <c r="C83" s="1" t="s">
        <v>19</v>
      </c>
      <c r="D83" s="2" t="s">
        <v>30</v>
      </c>
      <c r="E83" s="13" t="s">
        <v>310</v>
      </c>
      <c r="F83" s="7" t="s">
        <v>311</v>
      </c>
      <c r="G83" s="2" t="s">
        <v>22</v>
      </c>
      <c r="H83" s="2" t="s">
        <v>551</v>
      </c>
      <c r="M83" s="2" t="s">
        <v>312</v>
      </c>
      <c r="P83" s="2" t="s">
        <v>313</v>
      </c>
      <c r="Q83" s="1" t="str">
        <f t="shared" si="4"/>
        <v>*/GoodsShipment/GoodsShipmentItem[0]/Commodity/GoodsMeasure/grossMass</v>
      </c>
    </row>
    <row r="84" spans="1:17" ht="12" customHeight="1" outlineLevel="3" x14ac:dyDescent="0.35">
      <c r="A84" s="3" t="str">
        <f t="shared" si="3"/>
        <v>CC433B</v>
      </c>
      <c r="B84" s="4">
        <v>3</v>
      </c>
      <c r="C84" s="3" t="s">
        <v>24</v>
      </c>
      <c r="D84" s="3" t="s">
        <v>193</v>
      </c>
      <c r="E84" s="10" t="s">
        <v>343</v>
      </c>
      <c r="F84" s="4"/>
      <c r="G84" s="3" t="s">
        <v>22</v>
      </c>
      <c r="H84" s="3" t="s">
        <v>984</v>
      </c>
      <c r="I84" s="4"/>
      <c r="J84" s="4"/>
      <c r="K84" s="4"/>
      <c r="L84" s="4"/>
      <c r="M84" s="3" t="s">
        <v>343</v>
      </c>
      <c r="N84" s="4"/>
      <c r="O84" s="4"/>
      <c r="P84" s="3" t="s">
        <v>344</v>
      </c>
      <c r="Q84" s="1" t="str">
        <f t="shared" si="4"/>
        <v>*/GoodsShipment/GoodsShipmentItem[0]/Packaging[0]</v>
      </c>
    </row>
    <row r="85" spans="1:17" ht="12" customHeight="1" outlineLevel="4" x14ac:dyDescent="0.35">
      <c r="A85" s="2" t="str">
        <f t="shared" si="3"/>
        <v>CC433B</v>
      </c>
      <c r="B85" s="1">
        <v>4</v>
      </c>
      <c r="C85" s="1" t="s">
        <v>19</v>
      </c>
      <c r="D85" s="2" t="s">
        <v>25</v>
      </c>
      <c r="E85" s="11" t="s">
        <v>56</v>
      </c>
      <c r="F85" s="7" t="s">
        <v>57</v>
      </c>
      <c r="G85" s="2" t="s">
        <v>27</v>
      </c>
      <c r="H85" s="2" t="s">
        <v>393</v>
      </c>
      <c r="M85" s="2" t="s">
        <v>58</v>
      </c>
      <c r="P85" s="2" t="s">
        <v>59</v>
      </c>
      <c r="Q85" s="1" t="str">
        <f t="shared" si="4"/>
        <v>*/GoodsShipment/GoodsShipmentItem[0]/Packaging[0]/sequenceNumber</v>
      </c>
    </row>
    <row r="86" spans="1:17" ht="12" customHeight="1" outlineLevel="4" x14ac:dyDescent="0.35">
      <c r="A86" s="2" t="str">
        <f t="shared" si="3"/>
        <v>CC433B</v>
      </c>
      <c r="B86" s="1">
        <v>4</v>
      </c>
      <c r="C86" s="1" t="s">
        <v>19</v>
      </c>
      <c r="D86" s="2" t="s">
        <v>25</v>
      </c>
      <c r="E86" s="11" t="s">
        <v>345</v>
      </c>
      <c r="F86" s="7" t="s">
        <v>325</v>
      </c>
      <c r="G86" s="2" t="s">
        <v>27</v>
      </c>
      <c r="J86" s="2" t="s">
        <v>708</v>
      </c>
      <c r="M86" s="2" t="s">
        <v>346</v>
      </c>
      <c r="P86" s="2" t="s">
        <v>347</v>
      </c>
      <c r="Q86" s="1" t="str">
        <f t="shared" si="4"/>
        <v>*/GoodsShipment/GoodsShipmentItem[0]/Packaging[0]/typeOfPackages</v>
      </c>
    </row>
    <row r="87" spans="1:17" ht="12" customHeight="1" outlineLevel="4" x14ac:dyDescent="0.35">
      <c r="A87" s="2" t="str">
        <f t="shared" si="3"/>
        <v>CC433B</v>
      </c>
      <c r="B87" s="1">
        <v>4</v>
      </c>
      <c r="C87" s="1" t="s">
        <v>19</v>
      </c>
      <c r="D87" s="2" t="s">
        <v>30</v>
      </c>
      <c r="E87" s="11" t="s">
        <v>348</v>
      </c>
      <c r="F87" s="7" t="s">
        <v>349</v>
      </c>
      <c r="G87" s="2" t="s">
        <v>396</v>
      </c>
      <c r="H87" s="2" t="s">
        <v>419</v>
      </c>
      <c r="I87" s="2" t="s">
        <v>985</v>
      </c>
      <c r="M87" s="2" t="s">
        <v>350</v>
      </c>
      <c r="P87" s="2" t="s">
        <v>351</v>
      </c>
      <c r="Q87" s="1" t="str">
        <f t="shared" si="4"/>
        <v>*/GoodsShipment/GoodsShipmentItem[0]/Packaging[0]/numberOfPackages</v>
      </c>
    </row>
    <row r="88" spans="1:17" ht="12" customHeight="1" outlineLevel="3" x14ac:dyDescent="0.35">
      <c r="A88" s="3" t="str">
        <f t="shared" si="3"/>
        <v>CC433B</v>
      </c>
      <c r="B88" s="4">
        <v>3</v>
      </c>
      <c r="C88" s="3" t="s">
        <v>24</v>
      </c>
      <c r="D88" s="3" t="s">
        <v>193</v>
      </c>
      <c r="E88" s="10" t="s">
        <v>303</v>
      </c>
      <c r="F88" s="4"/>
      <c r="G88" s="3" t="s">
        <v>22</v>
      </c>
      <c r="H88" s="3" t="s">
        <v>489</v>
      </c>
      <c r="I88" s="4"/>
      <c r="J88" s="4"/>
      <c r="K88" s="4"/>
      <c r="L88" s="4"/>
      <c r="M88" s="3" t="s">
        <v>304</v>
      </c>
      <c r="N88" s="4"/>
      <c r="O88" s="4"/>
      <c r="P88" s="3" t="s">
        <v>352</v>
      </c>
      <c r="Q88" s="1" t="str">
        <f t="shared" si="4"/>
        <v>*/GoodsShipment/GoodsShipmentItem[0]/PreviousDocument[0]</v>
      </c>
    </row>
    <row r="89" spans="1:17" ht="12" customHeight="1" outlineLevel="4" x14ac:dyDescent="0.35">
      <c r="A89" s="2" t="str">
        <f t="shared" si="3"/>
        <v>CC433B</v>
      </c>
      <c r="B89" s="1">
        <v>4</v>
      </c>
      <c r="C89" s="1" t="s">
        <v>19</v>
      </c>
      <c r="D89" s="2" t="s">
        <v>25</v>
      </c>
      <c r="E89" s="11" t="s">
        <v>56</v>
      </c>
      <c r="F89" s="7" t="s">
        <v>57</v>
      </c>
      <c r="G89" s="2" t="s">
        <v>27</v>
      </c>
      <c r="H89" s="2" t="s">
        <v>393</v>
      </c>
      <c r="M89" s="2" t="s">
        <v>58</v>
      </c>
      <c r="P89" s="2" t="s">
        <v>59</v>
      </c>
      <c r="Q89" s="1" t="str">
        <f t="shared" si="4"/>
        <v>*/GoodsShipment/GoodsShipmentItem[0]/PreviousDocument[0]/sequenceNumber</v>
      </c>
    </row>
    <row r="90" spans="1:17" ht="12" customHeight="1" outlineLevel="4" x14ac:dyDescent="0.35">
      <c r="A90" s="2" t="str">
        <f t="shared" si="3"/>
        <v>CC433B</v>
      </c>
      <c r="B90" s="1">
        <v>4</v>
      </c>
      <c r="C90" s="1" t="s">
        <v>19</v>
      </c>
      <c r="D90" s="2" t="s">
        <v>25</v>
      </c>
      <c r="E90" s="11" t="s">
        <v>2</v>
      </c>
      <c r="F90" s="7" t="s">
        <v>306</v>
      </c>
      <c r="G90" s="2" t="s">
        <v>27</v>
      </c>
      <c r="H90" s="2" t="s">
        <v>477</v>
      </c>
      <c r="J90" s="2" t="s">
        <v>491</v>
      </c>
      <c r="M90" s="2" t="s">
        <v>61</v>
      </c>
      <c r="P90" s="2" t="s">
        <v>307</v>
      </c>
      <c r="Q90" s="1" t="str">
        <f t="shared" si="4"/>
        <v>*/GoodsShipment/GoodsShipmentItem[0]/PreviousDocument[0]/type</v>
      </c>
    </row>
    <row r="91" spans="1:17" ht="12" customHeight="1" outlineLevel="4" x14ac:dyDescent="0.35">
      <c r="A91" s="2" t="str">
        <f t="shared" si="3"/>
        <v>CC433B</v>
      </c>
      <c r="B91" s="1">
        <v>4</v>
      </c>
      <c r="C91" s="1" t="s">
        <v>19</v>
      </c>
      <c r="D91" s="2" t="s">
        <v>30</v>
      </c>
      <c r="E91" s="11" t="s">
        <v>142</v>
      </c>
      <c r="F91" s="7" t="s">
        <v>50</v>
      </c>
      <c r="G91" s="2" t="s">
        <v>396</v>
      </c>
      <c r="H91" s="2" t="s">
        <v>492</v>
      </c>
      <c r="I91" s="2" t="s">
        <v>493</v>
      </c>
      <c r="J91" s="2" t="s">
        <v>416</v>
      </c>
      <c r="M91" s="2" t="s">
        <v>143</v>
      </c>
      <c r="P91" s="2" t="s">
        <v>52</v>
      </c>
      <c r="Q91" s="1" t="str">
        <f t="shared" si="4"/>
        <v>*/GoodsShipment/GoodsShipmentItem[0]/PreviousDocument[0]/ccQualifier</v>
      </c>
    </row>
    <row r="92" spans="1:17" ht="12" customHeight="1" outlineLevel="4" x14ac:dyDescent="0.35">
      <c r="A92" s="2" t="str">
        <f t="shared" si="3"/>
        <v>CC433B</v>
      </c>
      <c r="B92" s="1">
        <v>4</v>
      </c>
      <c r="C92" s="1" t="s">
        <v>19</v>
      </c>
      <c r="D92" s="2" t="s">
        <v>25</v>
      </c>
      <c r="E92" s="11" t="s">
        <v>63</v>
      </c>
      <c r="F92" s="7" t="s">
        <v>83</v>
      </c>
      <c r="G92" s="2" t="s">
        <v>27</v>
      </c>
      <c r="H92" s="2" t="s">
        <v>494</v>
      </c>
      <c r="M92" s="2" t="s">
        <v>65</v>
      </c>
      <c r="P92" s="2" t="s">
        <v>308</v>
      </c>
      <c r="Q92" s="1" t="str">
        <f t="shared" si="4"/>
        <v>*/GoodsShipment/GoodsShipmentItem[0]/PreviousDocument[0]/referenceNumber</v>
      </c>
    </row>
    <row r="93" spans="1:17" ht="12" customHeight="1" outlineLevel="4" x14ac:dyDescent="0.35">
      <c r="A93" s="2" t="str">
        <f t="shared" si="3"/>
        <v>CC433B</v>
      </c>
      <c r="B93" s="1">
        <v>4</v>
      </c>
      <c r="C93" s="1" t="s">
        <v>19</v>
      </c>
      <c r="D93" s="2" t="s">
        <v>30</v>
      </c>
      <c r="E93" s="11" t="s">
        <v>345</v>
      </c>
      <c r="F93" s="7" t="s">
        <v>325</v>
      </c>
      <c r="G93" s="2" t="s">
        <v>22</v>
      </c>
      <c r="H93" s="2" t="s">
        <v>714</v>
      </c>
      <c r="J93" s="2" t="s">
        <v>708</v>
      </c>
      <c r="M93" s="2" t="s">
        <v>346</v>
      </c>
      <c r="P93" s="2" t="s">
        <v>347</v>
      </c>
      <c r="Q93" s="1" t="str">
        <f t="shared" si="4"/>
        <v>*/GoodsShipment/GoodsShipmentItem[0]/PreviousDocument[0]/typeOfPackages</v>
      </c>
    </row>
    <row r="94" spans="1:17" ht="12" customHeight="1" outlineLevel="4" x14ac:dyDescent="0.35">
      <c r="A94" s="2" t="str">
        <f t="shared" si="3"/>
        <v>CC433B</v>
      </c>
      <c r="B94" s="1">
        <v>4</v>
      </c>
      <c r="C94" s="1" t="s">
        <v>19</v>
      </c>
      <c r="D94" s="2" t="s">
        <v>30</v>
      </c>
      <c r="E94" s="11" t="s">
        <v>348</v>
      </c>
      <c r="F94" s="7" t="s">
        <v>349</v>
      </c>
      <c r="G94" s="2" t="s">
        <v>22</v>
      </c>
      <c r="H94" s="2" t="s">
        <v>419</v>
      </c>
      <c r="M94" s="2" t="s">
        <v>350</v>
      </c>
      <c r="P94" s="2" t="s">
        <v>351</v>
      </c>
      <c r="Q94" s="1" t="str">
        <f t="shared" si="4"/>
        <v>*/GoodsShipment/GoodsShipmentItem[0]/PreviousDocument[0]/numberOfPackages</v>
      </c>
    </row>
    <row r="95" spans="1:17" ht="12" customHeight="1" outlineLevel="4" x14ac:dyDescent="0.35">
      <c r="A95" s="2" t="str">
        <f t="shared" si="3"/>
        <v>CC433B</v>
      </c>
      <c r="B95" s="1">
        <v>4</v>
      </c>
      <c r="C95" s="1" t="s">
        <v>19</v>
      </c>
      <c r="D95" s="2" t="s">
        <v>30</v>
      </c>
      <c r="E95" s="11" t="s">
        <v>353</v>
      </c>
      <c r="F95" s="7" t="s">
        <v>60</v>
      </c>
      <c r="G95" s="2" t="s">
        <v>396</v>
      </c>
      <c r="H95" s="2" t="s">
        <v>714</v>
      </c>
      <c r="I95" s="2" t="s">
        <v>701</v>
      </c>
      <c r="J95" s="2" t="s">
        <v>715</v>
      </c>
      <c r="M95" s="2" t="s">
        <v>354</v>
      </c>
      <c r="P95" s="2" t="s">
        <v>355</v>
      </c>
      <c r="Q95" s="1" t="str">
        <f t="shared" si="4"/>
        <v>*/GoodsShipment/GoodsShipmentItem[0]/PreviousDocument[0]/measurementUnitAndQualifier</v>
      </c>
    </row>
    <row r="96" spans="1:17" ht="12" customHeight="1" outlineLevel="4" x14ac:dyDescent="0.35">
      <c r="A96" s="2" t="str">
        <f t="shared" si="3"/>
        <v>CC433B</v>
      </c>
      <c r="B96" s="1">
        <v>4</v>
      </c>
      <c r="C96" s="1" t="s">
        <v>19</v>
      </c>
      <c r="D96" s="2" t="s">
        <v>30</v>
      </c>
      <c r="E96" s="11" t="s">
        <v>356</v>
      </c>
      <c r="F96" s="7" t="s">
        <v>50</v>
      </c>
      <c r="G96" s="2" t="s">
        <v>396</v>
      </c>
      <c r="H96" s="2" t="s">
        <v>492</v>
      </c>
      <c r="I96" s="2" t="s">
        <v>493</v>
      </c>
      <c r="J96" s="2" t="s">
        <v>416</v>
      </c>
      <c r="M96" s="2" t="s">
        <v>357</v>
      </c>
      <c r="P96" s="2" t="s">
        <v>52</v>
      </c>
      <c r="Q96" s="1" t="str">
        <f t="shared" si="4"/>
        <v>*/GoodsShipment/GoodsShipmentItem[0]/PreviousDocument[0]/ccQualifierForMeasurementUnitAndQualifier</v>
      </c>
    </row>
    <row r="97" spans="1:17" ht="12" customHeight="1" outlineLevel="4" x14ac:dyDescent="0.35">
      <c r="A97" s="2" t="str">
        <f t="shared" si="3"/>
        <v>CC433B</v>
      </c>
      <c r="B97" s="1">
        <v>4</v>
      </c>
      <c r="C97" s="1" t="s">
        <v>19</v>
      </c>
      <c r="D97" s="2" t="s">
        <v>30</v>
      </c>
      <c r="E97" s="11" t="s">
        <v>358</v>
      </c>
      <c r="F97" s="7" t="s">
        <v>311</v>
      </c>
      <c r="G97" s="2" t="s">
        <v>22</v>
      </c>
      <c r="H97" s="2" t="s">
        <v>714</v>
      </c>
      <c r="M97" s="2" t="s">
        <v>359</v>
      </c>
      <c r="P97" s="2" t="s">
        <v>313</v>
      </c>
      <c r="Q97" s="1" t="str">
        <f t="shared" si="4"/>
        <v>*/GoodsShipment/GoodsShipmentItem[0]/PreviousDocument[0]/quantity</v>
      </c>
    </row>
    <row r="98" spans="1:17" ht="12" customHeight="1" outlineLevel="4" x14ac:dyDescent="0.35">
      <c r="A98" s="2" t="str">
        <f t="shared" si="3"/>
        <v>CC433B</v>
      </c>
      <c r="B98" s="1">
        <v>4</v>
      </c>
      <c r="C98" s="1" t="s">
        <v>19</v>
      </c>
      <c r="D98" s="2" t="s">
        <v>30</v>
      </c>
      <c r="E98" s="11" t="s">
        <v>360</v>
      </c>
      <c r="F98" s="7" t="s">
        <v>57</v>
      </c>
      <c r="G98" s="2" t="s">
        <v>22</v>
      </c>
      <c r="H98" s="2" t="s">
        <v>716</v>
      </c>
      <c r="M98" s="2" t="s">
        <v>361</v>
      </c>
      <c r="P98" s="2" t="s">
        <v>255</v>
      </c>
      <c r="Q98" s="1" t="str">
        <f t="shared" si="4"/>
        <v>*/GoodsShipment/GoodsShipmentItem[0]/PreviousDocument[0]/goodsItemIdentifier</v>
      </c>
    </row>
    <row r="99" spans="1:17" ht="12" customHeight="1" x14ac:dyDescent="0.35"/>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ED03D-0A65-4C91-9814-6DEF883AA26C}">
  <sheetPr codeName="Ark9">
    <tabColor rgb="FF00B0F0"/>
    <outlinePr summaryBelow="0" summaryRight="0"/>
  </sheetPr>
  <dimension ref="A1:Q24"/>
  <sheetViews>
    <sheetView zoomScaleNormal="100" workbookViewId="0">
      <pane xSplit="1" ySplit="1" topLeftCell="D2" activePane="bottomRight" state="frozen"/>
      <selection activeCell="D2" sqref="D2"/>
      <selection pane="topRight" activeCell="D2" sqref="D2"/>
      <selection pane="bottomLeft" activeCell="D2" sqref="D2"/>
      <selection pane="bottomRight" activeCell="D2" sqref="D2"/>
    </sheetView>
  </sheetViews>
  <sheetFormatPr defaultColWidth="11.54296875" defaultRowHeight="12" outlineLevelRow="3" x14ac:dyDescent="0.35"/>
  <cols>
    <col min="1" max="3" width="0" style="1" hidden="1" customWidth="1"/>
    <col min="4" max="4" width="6.54296875" style="1" customWidth="1"/>
    <col min="5" max="5" width="70.54296875" style="1" customWidth="1"/>
    <col min="6" max="11" width="8.54296875" style="1" customWidth="1"/>
    <col min="12" max="14" width="24.54296875" style="1" customWidth="1"/>
    <col min="15" max="15" width="24.54296875" style="1" hidden="1" customWidth="1"/>
    <col min="16" max="17" width="24.54296875" style="1" customWidth="1"/>
    <col min="18" max="16384" width="11.54296875" style="1"/>
  </cols>
  <sheetData>
    <row r="1" spans="1:17" ht="12"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P1" s="1" t="s">
        <v>14</v>
      </c>
      <c r="Q1" s="1" t="s">
        <v>208</v>
      </c>
    </row>
    <row r="2" spans="1:17" ht="12" customHeight="1" x14ac:dyDescent="0.35">
      <c r="A2" s="2" t="str">
        <f t="shared" ref="A2:A23" si="0">$E$2</f>
        <v>CC446B</v>
      </c>
      <c r="B2" s="1">
        <v>0</v>
      </c>
      <c r="C2" s="2" t="s">
        <v>16</v>
      </c>
      <c r="E2" s="2" t="s">
        <v>362</v>
      </c>
      <c r="M2" s="2" t="s">
        <v>17</v>
      </c>
      <c r="P2" s="2" t="s">
        <v>363</v>
      </c>
      <c r="Q2" s="1" t="str">
        <f>IF($B2=0,$M2,_xlfn.TEXTBEFORE(Q1,"/",$B2,,,Q1)&amp;"/"&amp;$M2)&amp;IF(_xlfn.TEXTAFTER($D2,"..",,,,1)&lt;&gt;"1","[0]","")</f>
        <v>*</v>
      </c>
    </row>
    <row r="3" spans="1:17" ht="12" customHeight="1" outlineLevel="1" x14ac:dyDescent="0.35">
      <c r="A3" s="3" t="str">
        <f t="shared" si="0"/>
        <v>CC446B</v>
      </c>
      <c r="B3" s="4">
        <v>1</v>
      </c>
      <c r="C3" s="3" t="s">
        <v>24</v>
      </c>
      <c r="D3" s="3" t="s">
        <v>20</v>
      </c>
      <c r="E3" s="5" t="s">
        <v>21</v>
      </c>
      <c r="F3" s="4"/>
      <c r="G3" s="3" t="s">
        <v>22</v>
      </c>
      <c r="H3" s="4"/>
      <c r="I3" s="4"/>
      <c r="J3" s="4"/>
      <c r="K3" s="4"/>
      <c r="L3" s="4"/>
      <c r="M3" s="3" t="s">
        <v>21</v>
      </c>
      <c r="N3" s="4"/>
      <c r="O3" s="4"/>
      <c r="P3" s="3" t="s">
        <v>23</v>
      </c>
      <c r="Q3" s="1" t="str">
        <f t="shared" ref="Q3:Q23" si="1">IF($B3=0,$M3,_xlfn.TEXTBEFORE(Q2,"/",$B3,,,Q2)&amp;"/"&amp;$M3)&amp;IF(_xlfn.TEXTAFTER($D3,"..",,,,1)&lt;&gt;"1","[0]","")</f>
        <v>*/Extensions[0]</v>
      </c>
    </row>
    <row r="4" spans="1:17" ht="12" customHeight="1" outlineLevel="2" x14ac:dyDescent="0.35">
      <c r="A4" s="2" t="str">
        <f t="shared" si="0"/>
        <v>CC446B</v>
      </c>
      <c r="B4" s="1">
        <v>2</v>
      </c>
      <c r="C4" s="1" t="s">
        <v>19</v>
      </c>
      <c r="D4" s="2" t="s">
        <v>25</v>
      </c>
      <c r="E4" s="6" t="s">
        <v>774</v>
      </c>
      <c r="F4" s="1" t="s">
        <v>775</v>
      </c>
      <c r="G4" s="2" t="s">
        <v>27</v>
      </c>
      <c r="M4" s="2" t="s">
        <v>776</v>
      </c>
      <c r="Q4" s="1" t="str">
        <f t="shared" si="1"/>
        <v>*/Extensions[0]/SequenceNumeric</v>
      </c>
    </row>
    <row r="5" spans="1:17" ht="12" customHeight="1" outlineLevel="2" x14ac:dyDescent="0.35">
      <c r="A5" s="2" t="str">
        <f t="shared" si="0"/>
        <v>CC446B</v>
      </c>
      <c r="B5" s="1">
        <v>2</v>
      </c>
      <c r="C5" s="1" t="s">
        <v>19</v>
      </c>
      <c r="D5" s="2" t="s">
        <v>30</v>
      </c>
      <c r="E5" s="6" t="s">
        <v>777</v>
      </c>
      <c r="F5" s="1" t="s">
        <v>778</v>
      </c>
      <c r="G5" s="2" t="s">
        <v>22</v>
      </c>
      <c r="M5" s="2" t="s">
        <v>779</v>
      </c>
      <c r="Q5" s="1" t="str">
        <f t="shared" si="1"/>
        <v>*/Extensions[0]/ID</v>
      </c>
    </row>
    <row r="6" spans="1:17" ht="12" customHeight="1" outlineLevel="2" x14ac:dyDescent="0.35">
      <c r="A6" s="2" t="str">
        <f t="shared" si="0"/>
        <v>CC446B</v>
      </c>
      <c r="B6" s="1">
        <v>2</v>
      </c>
      <c r="C6" s="1" t="s">
        <v>19</v>
      </c>
      <c r="D6" s="2" t="s">
        <v>25</v>
      </c>
      <c r="E6" s="6" t="s">
        <v>780</v>
      </c>
      <c r="F6" s="1" t="s">
        <v>778</v>
      </c>
      <c r="G6" s="2" t="s">
        <v>27</v>
      </c>
      <c r="M6" s="2" t="s">
        <v>780</v>
      </c>
      <c r="Q6" s="1" t="str">
        <f t="shared" si="1"/>
        <v>*/Extensions[0]/Key</v>
      </c>
    </row>
    <row r="7" spans="1:17" ht="12" customHeight="1" outlineLevel="2" x14ac:dyDescent="0.35">
      <c r="A7" s="2" t="str">
        <f t="shared" si="0"/>
        <v>CC446B</v>
      </c>
      <c r="B7" s="1">
        <v>2</v>
      </c>
      <c r="C7" s="1" t="s">
        <v>19</v>
      </c>
      <c r="D7" s="2" t="s">
        <v>25</v>
      </c>
      <c r="E7" s="6" t="s">
        <v>781</v>
      </c>
      <c r="F7" s="1" t="s">
        <v>778</v>
      </c>
      <c r="G7" s="2" t="s">
        <v>27</v>
      </c>
      <c r="M7" s="2" t="s">
        <v>781</v>
      </c>
      <c r="Q7" s="1" t="str">
        <f t="shared" si="1"/>
        <v>*/Extensions[0]/Value</v>
      </c>
    </row>
    <row r="8" spans="1:17" ht="12" customHeight="1" outlineLevel="2" x14ac:dyDescent="0.35">
      <c r="A8" s="2" t="str">
        <f t="shared" si="0"/>
        <v>CC446B</v>
      </c>
      <c r="B8" s="1">
        <v>2</v>
      </c>
      <c r="C8" s="1" t="s">
        <v>19</v>
      </c>
      <c r="D8" s="2" t="s">
        <v>25</v>
      </c>
      <c r="E8" s="6" t="s">
        <v>782</v>
      </c>
      <c r="F8" s="7" t="s">
        <v>783</v>
      </c>
      <c r="G8" s="2" t="s">
        <v>27</v>
      </c>
      <c r="M8" s="2" t="s">
        <v>784</v>
      </c>
      <c r="Q8" s="1" t="str">
        <f t="shared" si="1"/>
        <v>*/Extensions[0]/DataType</v>
      </c>
    </row>
    <row r="9" spans="1:17" ht="12" customHeight="1" outlineLevel="2" x14ac:dyDescent="0.35">
      <c r="A9" s="21" t="str">
        <f t="shared" si="0"/>
        <v>CC446B</v>
      </c>
      <c r="B9" s="22">
        <v>2</v>
      </c>
      <c r="C9" s="22" t="s">
        <v>19</v>
      </c>
      <c r="D9" s="21" t="s">
        <v>20</v>
      </c>
      <c r="E9" s="23" t="s">
        <v>21</v>
      </c>
      <c r="F9" s="22"/>
      <c r="G9" s="21" t="s">
        <v>22</v>
      </c>
      <c r="H9" s="22"/>
      <c r="I9" s="22"/>
      <c r="J9" s="22"/>
      <c r="K9" s="22"/>
      <c r="L9" s="22"/>
      <c r="M9" s="21" t="s">
        <v>21</v>
      </c>
      <c r="N9" s="22"/>
      <c r="O9" s="22"/>
      <c r="P9" s="21" t="s">
        <v>785</v>
      </c>
      <c r="Q9" s="1" t="str">
        <f t="shared" si="1"/>
        <v>*/Extensions[0]/Extensions[0]</v>
      </c>
    </row>
    <row r="10" spans="1:17" ht="12" customHeight="1" outlineLevel="1" x14ac:dyDescent="0.35">
      <c r="A10" s="3" t="str">
        <f t="shared" si="0"/>
        <v>CC446B</v>
      </c>
      <c r="B10" s="4">
        <v>1</v>
      </c>
      <c r="C10" s="3" t="s">
        <v>24</v>
      </c>
      <c r="D10" s="3" t="s">
        <v>25</v>
      </c>
      <c r="E10" s="5" t="s">
        <v>26</v>
      </c>
      <c r="F10" s="4"/>
      <c r="G10" s="3" t="s">
        <v>27</v>
      </c>
      <c r="H10" s="4"/>
      <c r="I10" s="4"/>
      <c r="J10" s="4"/>
      <c r="K10" s="4"/>
      <c r="L10" s="4"/>
      <c r="M10" s="3" t="s">
        <v>28</v>
      </c>
      <c r="N10" s="4"/>
      <c r="O10" s="4"/>
      <c r="P10" s="3" t="s">
        <v>364</v>
      </c>
      <c r="Q10" s="1" t="str">
        <f t="shared" si="1"/>
        <v>*/ImportOperation</v>
      </c>
    </row>
    <row r="11" spans="1:17" ht="12" customHeight="1" outlineLevel="2" x14ac:dyDescent="0.35">
      <c r="A11" s="2" t="str">
        <f t="shared" si="0"/>
        <v>CC446B</v>
      </c>
      <c r="B11" s="1">
        <v>2</v>
      </c>
      <c r="C11" s="1" t="s">
        <v>19</v>
      </c>
      <c r="D11" s="2" t="s">
        <v>30</v>
      </c>
      <c r="E11" s="6" t="s">
        <v>236</v>
      </c>
      <c r="F11" s="7" t="s">
        <v>36</v>
      </c>
      <c r="G11" s="2" t="s">
        <v>22</v>
      </c>
      <c r="M11" s="2" t="s">
        <v>237</v>
      </c>
      <c r="P11" s="2" t="s">
        <v>38</v>
      </c>
      <c r="Q11" s="1" t="str">
        <f t="shared" si="1"/>
        <v>*/ImportOperation/customsRegistrationNumber</v>
      </c>
    </row>
    <row r="12" spans="1:17" ht="12" customHeight="1" outlineLevel="2" x14ac:dyDescent="0.35">
      <c r="A12" s="2" t="str">
        <f t="shared" si="0"/>
        <v>CC446B</v>
      </c>
      <c r="B12" s="1">
        <v>2</v>
      </c>
      <c r="C12" s="1" t="s">
        <v>19</v>
      </c>
      <c r="D12" s="2" t="s">
        <v>25</v>
      </c>
      <c r="E12" s="6" t="s">
        <v>35</v>
      </c>
      <c r="F12" s="7" t="s">
        <v>36</v>
      </c>
      <c r="G12" s="2" t="s">
        <v>27</v>
      </c>
      <c r="M12" s="2" t="s">
        <v>37</v>
      </c>
      <c r="P12" s="2" t="s">
        <v>38</v>
      </c>
      <c r="Q12" s="1" t="str">
        <f>IF($B12=0,$M12,_xlfn.TEXTBEFORE(Q11,"/",$B12,,,Q11)&amp;"/"&amp;$M12)&amp;IF(_xlfn.TEXTAFTER($D12,"..",,,,1)&lt;&gt;"1","[0]","")</f>
        <v>*/ImportOperation/MRN</v>
      </c>
    </row>
    <row r="13" spans="1:17" ht="12" customHeight="1" outlineLevel="2" x14ac:dyDescent="0.35">
      <c r="A13" s="2" t="str">
        <f t="shared" si="0"/>
        <v>CC446B</v>
      </c>
      <c r="B13" s="1">
        <v>2</v>
      </c>
      <c r="C13" s="1" t="s">
        <v>19</v>
      </c>
      <c r="D13" s="2" t="s">
        <v>25</v>
      </c>
      <c r="E13" s="6" t="s">
        <v>365</v>
      </c>
      <c r="F13" s="7" t="s">
        <v>123</v>
      </c>
      <c r="G13" s="2" t="s">
        <v>27</v>
      </c>
      <c r="J13" s="2" t="s">
        <v>539</v>
      </c>
      <c r="M13" s="2" t="s">
        <v>366</v>
      </c>
      <c r="P13" s="2" t="s">
        <v>367</v>
      </c>
      <c r="Q13" s="1" t="str">
        <f t="shared" si="1"/>
        <v>*/ImportOperation/documentsAvailable</v>
      </c>
    </row>
    <row r="14" spans="1:17" ht="12" customHeight="1" outlineLevel="1" x14ac:dyDescent="0.35">
      <c r="A14" s="3" t="str">
        <f t="shared" si="0"/>
        <v>CC446B</v>
      </c>
      <c r="B14" s="4">
        <v>1</v>
      </c>
      <c r="C14" s="3" t="s">
        <v>24</v>
      </c>
      <c r="D14" s="3" t="s">
        <v>193</v>
      </c>
      <c r="E14" s="5" t="s">
        <v>368</v>
      </c>
      <c r="F14" s="4"/>
      <c r="G14" s="3" t="s">
        <v>396</v>
      </c>
      <c r="H14" s="4"/>
      <c r="I14" s="3" t="s">
        <v>986</v>
      </c>
      <c r="J14" s="4"/>
      <c r="K14" s="4"/>
      <c r="L14" s="4"/>
      <c r="M14" s="3" t="s">
        <v>369</v>
      </c>
      <c r="N14" s="4"/>
      <c r="O14" s="4"/>
      <c r="P14" s="3" t="s">
        <v>370</v>
      </c>
      <c r="Q14" s="1" t="str">
        <f t="shared" si="1"/>
        <v>*/RequestedDocuments[0]</v>
      </c>
    </row>
    <row r="15" spans="1:17" ht="12" customHeight="1" outlineLevel="2" x14ac:dyDescent="0.35">
      <c r="A15" s="2" t="str">
        <f t="shared" si="0"/>
        <v>CC446B</v>
      </c>
      <c r="B15" s="1">
        <v>2</v>
      </c>
      <c r="C15" s="1" t="s">
        <v>19</v>
      </c>
      <c r="D15" s="2" t="s">
        <v>25</v>
      </c>
      <c r="E15" s="6" t="s">
        <v>56</v>
      </c>
      <c r="F15" s="7" t="s">
        <v>57</v>
      </c>
      <c r="G15" s="2" t="s">
        <v>27</v>
      </c>
      <c r="H15" s="2" t="s">
        <v>393</v>
      </c>
      <c r="M15" s="2" t="s">
        <v>58</v>
      </c>
      <c r="P15" s="2" t="s">
        <v>59</v>
      </c>
      <c r="Q15" s="1" t="str">
        <f t="shared" si="1"/>
        <v>*/RequestedDocuments[0]/sequenceNumber</v>
      </c>
    </row>
    <row r="16" spans="1:17" ht="12" customHeight="1" outlineLevel="2" x14ac:dyDescent="0.35">
      <c r="A16" s="2" t="str">
        <f t="shared" si="0"/>
        <v>CC446B</v>
      </c>
      <c r="B16" s="1">
        <v>2</v>
      </c>
      <c r="C16" s="1" t="s">
        <v>19</v>
      </c>
      <c r="D16" s="2" t="s">
        <v>25</v>
      </c>
      <c r="E16" s="6" t="s">
        <v>2</v>
      </c>
      <c r="F16" s="7" t="s">
        <v>306</v>
      </c>
      <c r="G16" s="2" t="s">
        <v>27</v>
      </c>
      <c r="H16" s="2" t="s">
        <v>987</v>
      </c>
      <c r="J16" s="7" t="s">
        <v>988</v>
      </c>
      <c r="M16" s="2" t="s">
        <v>61</v>
      </c>
      <c r="P16" s="2" t="s">
        <v>307</v>
      </c>
      <c r="Q16" s="1" t="str">
        <f t="shared" si="1"/>
        <v>*/RequestedDocuments[0]/type</v>
      </c>
    </row>
    <row r="17" spans="1:17" ht="12" customHeight="1" outlineLevel="2" x14ac:dyDescent="0.35">
      <c r="A17" s="2" t="str">
        <f t="shared" si="0"/>
        <v>CC446B</v>
      </c>
      <c r="B17" s="1">
        <v>2</v>
      </c>
      <c r="C17" s="1" t="s">
        <v>19</v>
      </c>
      <c r="D17" s="2" t="s">
        <v>30</v>
      </c>
      <c r="E17" s="6" t="s">
        <v>142</v>
      </c>
      <c r="F17" s="7" t="s">
        <v>50</v>
      </c>
      <c r="G17" s="2" t="s">
        <v>396</v>
      </c>
      <c r="H17" s="2" t="s">
        <v>512</v>
      </c>
      <c r="I17" s="2" t="s">
        <v>493</v>
      </c>
      <c r="J17" s="2" t="s">
        <v>416</v>
      </c>
      <c r="M17" s="2" t="s">
        <v>143</v>
      </c>
      <c r="P17" s="2" t="s">
        <v>52</v>
      </c>
      <c r="Q17" s="1" t="str">
        <f t="shared" si="1"/>
        <v>*/RequestedDocuments[0]/ccQualifier</v>
      </c>
    </row>
    <row r="18" spans="1:17" ht="12" customHeight="1" outlineLevel="2" x14ac:dyDescent="0.35">
      <c r="A18" s="2" t="str">
        <f t="shared" si="0"/>
        <v>CC446B</v>
      </c>
      <c r="B18" s="1">
        <v>2</v>
      </c>
      <c r="C18" s="1" t="s">
        <v>19</v>
      </c>
      <c r="D18" s="2" t="s">
        <v>30</v>
      </c>
      <c r="E18" s="6" t="s">
        <v>63</v>
      </c>
      <c r="F18" s="7" t="s">
        <v>83</v>
      </c>
      <c r="G18" s="2" t="s">
        <v>22</v>
      </c>
      <c r="M18" s="2" t="s">
        <v>65</v>
      </c>
      <c r="P18" s="2" t="s">
        <v>308</v>
      </c>
      <c r="Q18" s="1" t="str">
        <f t="shared" si="1"/>
        <v>*/RequestedDocuments[0]/referenceNumber</v>
      </c>
    </row>
    <row r="19" spans="1:17" ht="12" customHeight="1" outlineLevel="2" x14ac:dyDescent="0.35">
      <c r="A19" s="2" t="str">
        <f t="shared" si="0"/>
        <v>CC446B</v>
      </c>
      <c r="B19" s="1">
        <v>2</v>
      </c>
      <c r="C19" s="1" t="s">
        <v>19</v>
      </c>
      <c r="D19" s="2" t="s">
        <v>30</v>
      </c>
      <c r="E19" s="6" t="s">
        <v>209</v>
      </c>
      <c r="F19" s="7" t="s">
        <v>216</v>
      </c>
      <c r="G19" s="2" t="s">
        <v>22</v>
      </c>
      <c r="M19" s="2" t="s">
        <v>371</v>
      </c>
      <c r="P19" s="2" t="s">
        <v>218</v>
      </c>
      <c r="Q19" s="1" t="str">
        <f t="shared" si="1"/>
        <v>*/RequestedDocuments[0]/description</v>
      </c>
    </row>
    <row r="20" spans="1:17" ht="12" customHeight="1" outlineLevel="2" x14ac:dyDescent="0.35">
      <c r="A20" s="3" t="str">
        <f t="shared" si="0"/>
        <v>CC446B</v>
      </c>
      <c r="B20" s="4">
        <v>2</v>
      </c>
      <c r="C20" s="3" t="s">
        <v>24</v>
      </c>
      <c r="D20" s="3" t="s">
        <v>53</v>
      </c>
      <c r="E20" s="8" t="s">
        <v>372</v>
      </c>
      <c r="F20" s="4"/>
      <c r="G20" s="3" t="s">
        <v>396</v>
      </c>
      <c r="H20" s="4"/>
      <c r="I20" s="3" t="s">
        <v>986</v>
      </c>
      <c r="J20" s="4"/>
      <c r="K20" s="4"/>
      <c r="L20" s="4"/>
      <c r="M20" s="3" t="s">
        <v>373</v>
      </c>
      <c r="N20" s="4"/>
      <c r="O20" s="4"/>
      <c r="P20" s="3" t="s">
        <v>374</v>
      </c>
      <c r="Q20" s="1" t="str">
        <f t="shared" si="1"/>
        <v>*/RequestedDocuments[0]/DocumentsImage[0]</v>
      </c>
    </row>
    <row r="21" spans="1:17" ht="12" customHeight="1" outlineLevel="3" x14ac:dyDescent="0.35">
      <c r="A21" s="2" t="str">
        <f t="shared" si="0"/>
        <v>CC446B</v>
      </c>
      <c r="B21" s="1">
        <v>3</v>
      </c>
      <c r="C21" s="1" t="s">
        <v>19</v>
      </c>
      <c r="D21" s="2" t="s">
        <v>25</v>
      </c>
      <c r="E21" s="9" t="s">
        <v>56</v>
      </c>
      <c r="F21" s="7" t="s">
        <v>57</v>
      </c>
      <c r="G21" s="2" t="s">
        <v>27</v>
      </c>
      <c r="H21" s="2" t="s">
        <v>393</v>
      </c>
      <c r="M21" s="2" t="s">
        <v>58</v>
      </c>
      <c r="P21" s="2" t="s">
        <v>59</v>
      </c>
      <c r="Q21" s="1" t="str">
        <f t="shared" si="1"/>
        <v>*/RequestedDocuments[0]/DocumentsImage[0]/sequenceNumber</v>
      </c>
    </row>
    <row r="22" spans="1:17" ht="12" customHeight="1" outlineLevel="3" x14ac:dyDescent="0.35">
      <c r="A22" s="2" t="str">
        <f t="shared" si="0"/>
        <v>CC446B</v>
      </c>
      <c r="B22" s="1">
        <v>3</v>
      </c>
      <c r="C22" s="1" t="s">
        <v>19</v>
      </c>
      <c r="D22" s="2" t="s">
        <v>25</v>
      </c>
      <c r="E22" s="9" t="s">
        <v>375</v>
      </c>
      <c r="F22" s="7" t="s">
        <v>376</v>
      </c>
      <c r="G22" s="2" t="s">
        <v>27</v>
      </c>
      <c r="J22" s="2" t="s">
        <v>989</v>
      </c>
      <c r="M22" s="2" t="s">
        <v>377</v>
      </c>
      <c r="P22" s="2" t="s">
        <v>378</v>
      </c>
      <c r="Q22" s="1" t="str">
        <f t="shared" si="1"/>
        <v>*/RequestedDocuments[0]/DocumentsImage[0]/fileType</v>
      </c>
    </row>
    <row r="23" spans="1:17" ht="12" customHeight="1" outlineLevel="3" x14ac:dyDescent="0.35">
      <c r="A23" s="2" t="str">
        <f t="shared" si="0"/>
        <v>CC446B</v>
      </c>
      <c r="B23" s="1">
        <v>3</v>
      </c>
      <c r="C23" s="1" t="s">
        <v>19</v>
      </c>
      <c r="D23" s="2" t="s">
        <v>25</v>
      </c>
      <c r="E23" s="9" t="s">
        <v>379</v>
      </c>
      <c r="F23" s="1" t="s">
        <v>990</v>
      </c>
      <c r="G23" s="2" t="s">
        <v>27</v>
      </c>
      <c r="M23" s="2" t="s">
        <v>380</v>
      </c>
      <c r="P23" s="2" t="s">
        <v>381</v>
      </c>
      <c r="Q23" s="1" t="str">
        <f t="shared" si="1"/>
        <v>*/RequestedDocuments[0]/DocumentsImage[0]/documentImage</v>
      </c>
    </row>
    <row r="24" spans="1:17" ht="12" customHeight="1" x14ac:dyDescent="0.35"/>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AC09A-E70A-4F5F-9834-06657BA58FC1}">
  <sheetPr codeName="Ark23">
    <tabColor rgb="FFC00000"/>
    <outlinePr summaryBelow="0" summaryRight="0"/>
  </sheetPr>
  <dimension ref="A1:R36"/>
  <sheetViews>
    <sheetView zoomScaleNormal="100" workbookViewId="0">
      <pane xSplit="1" ySplit="1" topLeftCell="D2" activePane="bottomRight" state="frozen"/>
      <selection sqref="A1:XFD1048576"/>
      <selection pane="topRight" sqref="A1:XFD1048576"/>
      <selection pane="bottomLeft" sqref="A1:XFD1048576"/>
      <selection pane="bottomRight" activeCell="D2" sqref="D2"/>
    </sheetView>
  </sheetViews>
  <sheetFormatPr defaultColWidth="11.54296875" defaultRowHeight="12" outlineLevelRow="3" x14ac:dyDescent="0.35"/>
  <cols>
    <col min="1" max="3" width="0" style="1" hidden="1" customWidth="1"/>
    <col min="4" max="4" width="6.6328125" style="1" customWidth="1"/>
    <col min="5" max="5" width="70.6328125" style="1" customWidth="1"/>
    <col min="6" max="11" width="8.6328125" style="1" customWidth="1"/>
    <col min="12" max="14" width="24.6328125" style="1" customWidth="1"/>
    <col min="15" max="15" width="24.6328125" style="1" hidden="1" customWidth="1"/>
    <col min="16" max="17" width="24.6328125" style="1" customWidth="1"/>
    <col min="18" max="16384" width="11.54296875" style="1"/>
  </cols>
  <sheetData>
    <row r="1" spans="1:18" ht="12"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P1" s="1" t="s">
        <v>14</v>
      </c>
      <c r="Q1" s="1" t="s">
        <v>208</v>
      </c>
      <c r="R1" s="1" t="s">
        <v>209</v>
      </c>
    </row>
    <row r="2" spans="1:18" ht="12" customHeight="1" x14ac:dyDescent="0.35">
      <c r="A2" s="2" t="str">
        <f>$E$2</f>
        <v>CC404B</v>
      </c>
      <c r="B2" s="1">
        <v>0</v>
      </c>
      <c r="C2" s="2" t="s">
        <v>16</v>
      </c>
      <c r="E2" s="2" t="s">
        <v>1233</v>
      </c>
      <c r="M2" s="2" t="s">
        <v>17</v>
      </c>
      <c r="P2" s="2" t="s">
        <v>1234</v>
      </c>
      <c r="Q2" s="1" t="str">
        <f>IF($B2=0,$M2,_xlfn.TEXTBEFORE(Q1,"/",$B2,,,Q1)&amp;"/"&amp;$M2)&amp;IF(_xlfn.TEXTAFTER($D2,"..",,,,1)&lt;&gt;"1","[0]","")</f>
        <v>*</v>
      </c>
    </row>
    <row r="3" spans="1:18" ht="12" customHeight="1" outlineLevel="1" x14ac:dyDescent="0.35">
      <c r="A3" s="3" t="str">
        <f>$E$2</f>
        <v>CC404B</v>
      </c>
      <c r="B3" s="4">
        <v>1</v>
      </c>
      <c r="C3" s="3" t="s">
        <v>24</v>
      </c>
      <c r="D3" s="3" t="s">
        <v>20</v>
      </c>
      <c r="E3" s="5" t="s">
        <v>21</v>
      </c>
      <c r="F3" s="4"/>
      <c r="G3" s="3" t="s">
        <v>22</v>
      </c>
      <c r="H3" s="4"/>
      <c r="I3" s="4"/>
      <c r="J3" s="4"/>
      <c r="K3" s="4"/>
      <c r="L3" s="4"/>
      <c r="M3" s="3" t="s">
        <v>21</v>
      </c>
      <c r="N3" s="4"/>
      <c r="O3" s="4"/>
      <c r="P3" s="3" t="s">
        <v>23</v>
      </c>
      <c r="Q3" s="1" t="str">
        <f>IF($B3=0,$M3,_xlfn.TEXTBEFORE(Q2,"/",$B3,,,Q2)&amp;"/"&amp;$M3)&amp;IF(_xlfn.TEXTAFTER($D3,"..",,,,1)&lt;&gt;"1","[0]","")</f>
        <v>*/Extensions[0]</v>
      </c>
    </row>
    <row r="4" spans="1:18" ht="12" customHeight="1" outlineLevel="2" x14ac:dyDescent="0.35">
      <c r="A4" s="2" t="str">
        <f>$E$2</f>
        <v>CC404B</v>
      </c>
      <c r="B4" s="1">
        <v>2</v>
      </c>
      <c r="C4" s="1" t="s">
        <v>19</v>
      </c>
      <c r="D4" s="2" t="s">
        <v>25</v>
      </c>
      <c r="E4" s="6" t="s">
        <v>774</v>
      </c>
      <c r="F4" s="1" t="s">
        <v>775</v>
      </c>
      <c r="G4" s="2" t="s">
        <v>27</v>
      </c>
      <c r="M4" s="2" t="s">
        <v>776</v>
      </c>
      <c r="Q4" s="1" t="str">
        <f t="shared" ref="Q4:Q35" si="0">IF($B4=0,$M4,_xlfn.TEXTBEFORE(Q3,"/",$B4,,,Q3)&amp;"/"&amp;$M4)&amp;IF(_xlfn.TEXTAFTER($D4,"..",,,,1)&lt;&gt;"1","[0]","")</f>
        <v>*/Extensions[0]/SequenceNumeric</v>
      </c>
    </row>
    <row r="5" spans="1:18" ht="12" customHeight="1" outlineLevel="2" x14ac:dyDescent="0.35">
      <c r="A5" s="2" t="str">
        <f>$E$2</f>
        <v>CC404B</v>
      </c>
      <c r="B5" s="1">
        <v>2</v>
      </c>
      <c r="C5" s="1" t="s">
        <v>19</v>
      </c>
      <c r="D5" s="2" t="s">
        <v>30</v>
      </c>
      <c r="E5" s="6" t="s">
        <v>777</v>
      </c>
      <c r="F5" s="1" t="s">
        <v>778</v>
      </c>
      <c r="G5" s="2" t="s">
        <v>22</v>
      </c>
      <c r="M5" s="2" t="s">
        <v>779</v>
      </c>
      <c r="Q5" s="1" t="str">
        <f t="shared" si="0"/>
        <v>*/Extensions[0]/ID</v>
      </c>
    </row>
    <row r="6" spans="1:18" ht="12" customHeight="1" outlineLevel="2" x14ac:dyDescent="0.35">
      <c r="A6" s="2" t="str">
        <f>$E$2</f>
        <v>CC404B</v>
      </c>
      <c r="B6" s="1">
        <v>2</v>
      </c>
      <c r="C6" s="1" t="s">
        <v>19</v>
      </c>
      <c r="D6" s="2" t="s">
        <v>25</v>
      </c>
      <c r="E6" s="6" t="s">
        <v>780</v>
      </c>
      <c r="F6" s="1" t="s">
        <v>778</v>
      </c>
      <c r="G6" s="2" t="s">
        <v>27</v>
      </c>
      <c r="M6" s="2" t="s">
        <v>780</v>
      </c>
      <c r="Q6" s="1" t="str">
        <f t="shared" si="0"/>
        <v>*/Extensions[0]/Key</v>
      </c>
    </row>
    <row r="7" spans="1:18" ht="12" customHeight="1" outlineLevel="2" x14ac:dyDescent="0.35">
      <c r="A7" s="2" t="str">
        <f>$E$2</f>
        <v>CC404B</v>
      </c>
      <c r="B7" s="1">
        <v>2</v>
      </c>
      <c r="C7" s="1" t="s">
        <v>19</v>
      </c>
      <c r="D7" s="2" t="s">
        <v>25</v>
      </c>
      <c r="E7" s="6" t="s">
        <v>781</v>
      </c>
      <c r="F7" s="1" t="s">
        <v>778</v>
      </c>
      <c r="G7" s="2" t="s">
        <v>27</v>
      </c>
      <c r="M7" s="2" t="s">
        <v>781</v>
      </c>
      <c r="Q7" s="1" t="str">
        <f t="shared" si="0"/>
        <v>*/Extensions[0]/Value</v>
      </c>
    </row>
    <row r="8" spans="1:18" ht="12" customHeight="1" outlineLevel="2" x14ac:dyDescent="0.35">
      <c r="A8" s="2" t="str">
        <f>$E$2</f>
        <v>CC404B</v>
      </c>
      <c r="B8" s="1">
        <v>2</v>
      </c>
      <c r="C8" s="1" t="s">
        <v>19</v>
      </c>
      <c r="D8" s="2" t="s">
        <v>25</v>
      </c>
      <c r="E8" s="6" t="s">
        <v>782</v>
      </c>
      <c r="F8" s="7" t="s">
        <v>783</v>
      </c>
      <c r="G8" s="2" t="s">
        <v>27</v>
      </c>
      <c r="M8" s="2" t="s">
        <v>784</v>
      </c>
      <c r="Q8" s="1" t="str">
        <f t="shared" si="0"/>
        <v>*/Extensions[0]/DataType</v>
      </c>
    </row>
    <row r="9" spans="1:18" ht="12" customHeight="1" outlineLevel="2" x14ac:dyDescent="0.35">
      <c r="A9" s="21" t="str">
        <f>$E$2</f>
        <v>CC404B</v>
      </c>
      <c r="B9" s="22">
        <v>2</v>
      </c>
      <c r="C9" s="22" t="s">
        <v>19</v>
      </c>
      <c r="D9" s="21" t="s">
        <v>20</v>
      </c>
      <c r="E9" s="23" t="s">
        <v>21</v>
      </c>
      <c r="F9" s="22"/>
      <c r="G9" s="21" t="s">
        <v>22</v>
      </c>
      <c r="H9" s="22"/>
      <c r="I9" s="22"/>
      <c r="J9" s="22"/>
      <c r="K9" s="22"/>
      <c r="L9" s="22"/>
      <c r="M9" s="21" t="s">
        <v>21</v>
      </c>
      <c r="N9" s="22"/>
      <c r="O9" s="22"/>
      <c r="P9" s="21" t="s">
        <v>785</v>
      </c>
      <c r="Q9" s="1" t="str">
        <f t="shared" si="0"/>
        <v>*/Extensions[0]/Extensions[0]</v>
      </c>
    </row>
    <row r="10" spans="1:18" ht="12" customHeight="1" outlineLevel="1" x14ac:dyDescent="0.35">
      <c r="A10" s="3" t="str">
        <f>$E$2</f>
        <v>CC404B</v>
      </c>
      <c r="B10" s="4">
        <v>1</v>
      </c>
      <c r="C10" s="3" t="s">
        <v>24</v>
      </c>
      <c r="D10" s="3" t="s">
        <v>25</v>
      </c>
      <c r="E10" s="5" t="s">
        <v>26</v>
      </c>
      <c r="F10" s="4"/>
      <c r="G10" s="3" t="s">
        <v>27</v>
      </c>
      <c r="H10" s="4"/>
      <c r="I10" s="4"/>
      <c r="J10" s="4"/>
      <c r="K10" s="4"/>
      <c r="L10" s="4"/>
      <c r="M10" s="3" t="s">
        <v>28</v>
      </c>
      <c r="N10" s="4"/>
      <c r="O10" s="4"/>
      <c r="P10" s="3" t="s">
        <v>1235</v>
      </c>
      <c r="Q10" s="1" t="str">
        <f t="shared" si="0"/>
        <v>*/ImportOperation</v>
      </c>
    </row>
    <row r="11" spans="1:18" ht="12" customHeight="1" outlineLevel="2" x14ac:dyDescent="0.35">
      <c r="A11" s="2" t="str">
        <f>$E$2</f>
        <v>CC404B</v>
      </c>
      <c r="B11" s="1">
        <v>2</v>
      </c>
      <c r="C11" s="1" t="s">
        <v>19</v>
      </c>
      <c r="D11" s="2" t="s">
        <v>30</v>
      </c>
      <c r="E11" s="6" t="s">
        <v>31</v>
      </c>
      <c r="F11" s="7" t="s">
        <v>32</v>
      </c>
      <c r="G11" s="2" t="s">
        <v>396</v>
      </c>
      <c r="I11" s="2" t="s">
        <v>441</v>
      </c>
      <c r="M11" s="2" t="s">
        <v>33</v>
      </c>
      <c r="P11" s="2" t="s">
        <v>34</v>
      </c>
      <c r="Q11" s="1" t="str">
        <f t="shared" si="0"/>
        <v>*/ImportOperation/LRN</v>
      </c>
    </row>
    <row r="12" spans="1:18" ht="12" customHeight="1" outlineLevel="2" x14ac:dyDescent="0.35">
      <c r="A12" s="2" t="str">
        <f>$E$2</f>
        <v>CC404B</v>
      </c>
      <c r="B12" s="1">
        <v>2</v>
      </c>
      <c r="C12" s="1" t="s">
        <v>19</v>
      </c>
      <c r="D12" s="2" t="s">
        <v>30</v>
      </c>
      <c r="E12" s="6" t="s">
        <v>35</v>
      </c>
      <c r="F12" s="7" t="s">
        <v>36</v>
      </c>
      <c r="G12" s="2" t="s">
        <v>396</v>
      </c>
      <c r="I12" s="2" t="s">
        <v>441</v>
      </c>
      <c r="M12" s="2" t="s">
        <v>37</v>
      </c>
      <c r="P12" s="2" t="s">
        <v>38</v>
      </c>
      <c r="Q12" s="1" t="str">
        <f t="shared" si="0"/>
        <v>*/ImportOperation/MRN</v>
      </c>
    </row>
    <row r="13" spans="1:18" ht="12" customHeight="1" outlineLevel="2" x14ac:dyDescent="0.35">
      <c r="A13" s="2" t="str">
        <f>$E$2</f>
        <v>CC404B</v>
      </c>
      <c r="B13" s="1">
        <v>2</v>
      </c>
      <c r="C13" s="1" t="s">
        <v>19</v>
      </c>
      <c r="D13" s="2" t="s">
        <v>25</v>
      </c>
      <c r="E13" s="6" t="s">
        <v>1236</v>
      </c>
      <c r="F13" s="2" t="s">
        <v>47</v>
      </c>
      <c r="G13" s="2" t="s">
        <v>27</v>
      </c>
      <c r="H13" s="2" t="s">
        <v>786</v>
      </c>
      <c r="M13" s="2" t="s">
        <v>1237</v>
      </c>
      <c r="P13" s="2" t="s">
        <v>188</v>
      </c>
      <c r="Q13" s="1" t="str">
        <f t="shared" si="0"/>
        <v>*/ImportOperation/amendmentDateAndTime</v>
      </c>
    </row>
    <row r="14" spans="1:18" ht="12" customHeight="1" outlineLevel="2" x14ac:dyDescent="0.35">
      <c r="A14" s="2" t="str">
        <f>$E$2</f>
        <v>CC404B</v>
      </c>
      <c r="B14" s="1">
        <v>2</v>
      </c>
      <c r="C14" s="1" t="s">
        <v>19</v>
      </c>
      <c r="D14" s="2" t="s">
        <v>25</v>
      </c>
      <c r="E14" s="6" t="s">
        <v>1238</v>
      </c>
      <c r="F14" s="2" t="s">
        <v>47</v>
      </c>
      <c r="G14" s="2" t="s">
        <v>27</v>
      </c>
      <c r="H14" s="2" t="s">
        <v>786</v>
      </c>
      <c r="M14" s="2" t="s">
        <v>1239</v>
      </c>
      <c r="P14" s="2" t="s">
        <v>188</v>
      </c>
      <c r="Q14" s="1" t="str">
        <f t="shared" si="0"/>
        <v>*/ImportOperation/amendmentAcceptanceDateAndTime</v>
      </c>
    </row>
    <row r="15" spans="1:18" ht="12" customHeight="1" outlineLevel="1" x14ac:dyDescent="0.35">
      <c r="A15" s="3" t="str">
        <f>$E$2</f>
        <v>CC404B</v>
      </c>
      <c r="B15" s="4">
        <v>1</v>
      </c>
      <c r="C15" s="3" t="s">
        <v>24</v>
      </c>
      <c r="D15" s="3" t="s">
        <v>30</v>
      </c>
      <c r="E15" s="5" t="s">
        <v>76</v>
      </c>
      <c r="F15" s="4"/>
      <c r="G15" s="3" t="s">
        <v>22</v>
      </c>
      <c r="H15" s="4"/>
      <c r="I15" s="4"/>
      <c r="J15" s="4"/>
      <c r="K15" s="4"/>
      <c r="L15" s="4"/>
      <c r="M15" s="3" t="s">
        <v>77</v>
      </c>
      <c r="N15" s="4"/>
      <c r="O15" s="4"/>
      <c r="P15" s="3" t="s">
        <v>78</v>
      </c>
      <c r="Q15" s="1" t="str">
        <f t="shared" si="0"/>
        <v>*/SupervisingCustomsOffice</v>
      </c>
    </row>
    <row r="16" spans="1:18" ht="12" customHeight="1" outlineLevel="2" x14ac:dyDescent="0.35">
      <c r="A16" s="2" t="str">
        <f>$E$2</f>
        <v>CC404B</v>
      </c>
      <c r="B16" s="1">
        <v>2</v>
      </c>
      <c r="C16" s="1" t="s">
        <v>19</v>
      </c>
      <c r="D16" s="2" t="s">
        <v>25</v>
      </c>
      <c r="E16" s="6" t="s">
        <v>63</v>
      </c>
      <c r="F16" s="7" t="s">
        <v>74</v>
      </c>
      <c r="G16" s="2" t="s">
        <v>27</v>
      </c>
      <c r="J16" s="2" t="s">
        <v>399</v>
      </c>
      <c r="M16" s="2" t="s">
        <v>65</v>
      </c>
      <c r="P16" s="2" t="s">
        <v>75</v>
      </c>
      <c r="Q16" s="1" t="str">
        <f t="shared" si="0"/>
        <v>*/SupervisingCustomsOffice/referenceNumber</v>
      </c>
    </row>
    <row r="17" spans="1:17" ht="12" customHeight="1" outlineLevel="1" x14ac:dyDescent="0.35">
      <c r="A17" s="3" t="str">
        <f>$E$2</f>
        <v>CC404B</v>
      </c>
      <c r="B17" s="4">
        <v>1</v>
      </c>
      <c r="C17" s="3" t="s">
        <v>24</v>
      </c>
      <c r="D17" s="3" t="s">
        <v>25</v>
      </c>
      <c r="E17" s="5" t="s">
        <v>101</v>
      </c>
      <c r="F17" s="4"/>
      <c r="G17" s="3" t="s">
        <v>27</v>
      </c>
      <c r="H17" s="4"/>
      <c r="I17" s="4"/>
      <c r="J17" s="4"/>
      <c r="K17" s="4"/>
      <c r="L17" s="4"/>
      <c r="M17" s="3" t="s">
        <v>101</v>
      </c>
      <c r="N17" s="4"/>
      <c r="O17" s="4"/>
      <c r="P17" s="3" t="s">
        <v>102</v>
      </c>
      <c r="Q17" s="1" t="str">
        <f t="shared" si="0"/>
        <v>*/Declarant</v>
      </c>
    </row>
    <row r="18" spans="1:17" ht="12" customHeight="1" outlineLevel="2" x14ac:dyDescent="0.35">
      <c r="A18" s="2" t="str">
        <f>$E$2</f>
        <v>CC404B</v>
      </c>
      <c r="B18" s="1">
        <v>2</v>
      </c>
      <c r="C18" s="1" t="s">
        <v>19</v>
      </c>
      <c r="D18" s="2" t="s">
        <v>25</v>
      </c>
      <c r="E18" s="6" t="s">
        <v>81</v>
      </c>
      <c r="F18" s="7" t="s">
        <v>68</v>
      </c>
      <c r="G18" s="2" t="s">
        <v>27</v>
      </c>
      <c r="H18" s="2" t="s">
        <v>397</v>
      </c>
      <c r="M18" s="2" t="s">
        <v>82</v>
      </c>
      <c r="P18" s="2" t="s">
        <v>70</v>
      </c>
      <c r="Q18" s="1" t="str">
        <f t="shared" si="0"/>
        <v>*/Declarant/identificationNumber</v>
      </c>
    </row>
    <row r="19" spans="1:17" ht="12" customHeight="1" outlineLevel="2" x14ac:dyDescent="0.35">
      <c r="A19" s="2" t="str">
        <f>$E$2</f>
        <v>CC404B</v>
      </c>
      <c r="B19" s="1">
        <v>2</v>
      </c>
      <c r="C19" s="1" t="s">
        <v>19</v>
      </c>
      <c r="D19" s="2" t="s">
        <v>30</v>
      </c>
      <c r="E19" s="6" t="s">
        <v>4</v>
      </c>
      <c r="F19" s="7" t="s">
        <v>83</v>
      </c>
      <c r="G19" s="2" t="s">
        <v>396</v>
      </c>
      <c r="I19" s="2" t="s">
        <v>401</v>
      </c>
      <c r="M19" s="2" t="s">
        <v>84</v>
      </c>
      <c r="P19" s="2" t="s">
        <v>85</v>
      </c>
      <c r="Q19" s="1" t="str">
        <f t="shared" si="0"/>
        <v>*/Declarant/name</v>
      </c>
    </row>
    <row r="20" spans="1:17" ht="12" customHeight="1" outlineLevel="2" x14ac:dyDescent="0.35">
      <c r="A20" s="3" t="str">
        <f>$E$2</f>
        <v>CC404B</v>
      </c>
      <c r="B20" s="4">
        <v>2</v>
      </c>
      <c r="C20" s="3" t="s">
        <v>24</v>
      </c>
      <c r="D20" s="3" t="s">
        <v>30</v>
      </c>
      <c r="E20" s="8" t="s">
        <v>86</v>
      </c>
      <c r="F20" s="4"/>
      <c r="G20" s="3" t="s">
        <v>396</v>
      </c>
      <c r="H20" s="4"/>
      <c r="I20" s="3" t="s">
        <v>401</v>
      </c>
      <c r="J20" s="4"/>
      <c r="K20" s="4"/>
      <c r="L20" s="4"/>
      <c r="M20" s="3" t="s">
        <v>86</v>
      </c>
      <c r="N20" s="4"/>
      <c r="O20" s="4"/>
      <c r="P20" s="3" t="s">
        <v>87</v>
      </c>
      <c r="Q20" s="1" t="str">
        <f t="shared" si="0"/>
        <v>*/Declarant/Address</v>
      </c>
    </row>
    <row r="21" spans="1:17" ht="12" customHeight="1" outlineLevel="3" x14ac:dyDescent="0.35">
      <c r="A21" s="2" t="str">
        <f>$E$2</f>
        <v>CC404B</v>
      </c>
      <c r="B21" s="1">
        <v>3</v>
      </c>
      <c r="C21" s="1" t="s">
        <v>19</v>
      </c>
      <c r="D21" s="2" t="s">
        <v>25</v>
      </c>
      <c r="E21" s="9" t="s">
        <v>88</v>
      </c>
      <c r="F21" s="7" t="s">
        <v>83</v>
      </c>
      <c r="G21" s="2" t="s">
        <v>27</v>
      </c>
      <c r="M21" s="2" t="s">
        <v>89</v>
      </c>
      <c r="P21" s="2" t="s">
        <v>90</v>
      </c>
      <c r="Q21" s="1" t="str">
        <f t="shared" si="0"/>
        <v>*/Declarant/Address/streetAndNumber</v>
      </c>
    </row>
    <row r="22" spans="1:17" ht="12" customHeight="1" outlineLevel="3" x14ac:dyDescent="0.35">
      <c r="A22" s="2" t="str">
        <f>$E$2</f>
        <v>CC404B</v>
      </c>
      <c r="B22" s="1">
        <v>3</v>
      </c>
      <c r="C22" s="1" t="s">
        <v>19</v>
      </c>
      <c r="D22" s="2" t="s">
        <v>30</v>
      </c>
      <c r="E22" s="9" t="s">
        <v>91</v>
      </c>
      <c r="F22" s="7" t="s">
        <v>92</v>
      </c>
      <c r="G22" s="2" t="s">
        <v>396</v>
      </c>
      <c r="I22" s="2" t="s">
        <v>402</v>
      </c>
      <c r="M22" s="2" t="s">
        <v>93</v>
      </c>
      <c r="P22" s="2" t="s">
        <v>94</v>
      </c>
      <c r="Q22" s="1" t="str">
        <f t="shared" si="0"/>
        <v>*/Declarant/Address/postcode</v>
      </c>
    </row>
    <row r="23" spans="1:17" ht="12" customHeight="1" outlineLevel="3" x14ac:dyDescent="0.35">
      <c r="A23" s="2" t="str">
        <f>$E$2</f>
        <v>CC404B</v>
      </c>
      <c r="B23" s="1">
        <v>3</v>
      </c>
      <c r="C23" s="1" t="s">
        <v>19</v>
      </c>
      <c r="D23" s="2" t="s">
        <v>25</v>
      </c>
      <c r="E23" s="9" t="s">
        <v>95</v>
      </c>
      <c r="F23" s="7" t="s">
        <v>96</v>
      </c>
      <c r="G23" s="2" t="s">
        <v>27</v>
      </c>
      <c r="M23" s="2" t="s">
        <v>97</v>
      </c>
      <c r="P23" s="2" t="s">
        <v>98</v>
      </c>
      <c r="Q23" s="1" t="str">
        <f t="shared" si="0"/>
        <v>*/Declarant/Address/city</v>
      </c>
    </row>
    <row r="24" spans="1:17" ht="12" customHeight="1" outlineLevel="3" x14ac:dyDescent="0.35">
      <c r="A24" s="2" t="str">
        <f>$E$2</f>
        <v>CC404B</v>
      </c>
      <c r="B24" s="1">
        <v>3</v>
      </c>
      <c r="C24" s="1" t="s">
        <v>19</v>
      </c>
      <c r="D24" s="2" t="s">
        <v>25</v>
      </c>
      <c r="E24" s="9" t="s">
        <v>99</v>
      </c>
      <c r="F24" s="7" t="s">
        <v>50</v>
      </c>
      <c r="G24" s="2" t="s">
        <v>27</v>
      </c>
      <c r="J24" s="2" t="s">
        <v>403</v>
      </c>
      <c r="M24" s="2" t="s">
        <v>100</v>
      </c>
      <c r="P24" s="2" t="s">
        <v>52</v>
      </c>
      <c r="Q24" s="1" t="str">
        <f t="shared" si="0"/>
        <v>*/Declarant/Address/country</v>
      </c>
    </row>
    <row r="25" spans="1:17" ht="12" customHeight="1" outlineLevel="2" x14ac:dyDescent="0.35">
      <c r="A25" s="3" t="str">
        <f>$E$2</f>
        <v>CC404B</v>
      </c>
      <c r="B25" s="4">
        <v>2</v>
      </c>
      <c r="C25" s="3" t="s">
        <v>24</v>
      </c>
      <c r="D25" s="3" t="s">
        <v>30</v>
      </c>
      <c r="E25" s="8" t="s">
        <v>105</v>
      </c>
      <c r="F25" s="4"/>
      <c r="G25" s="3" t="s">
        <v>22</v>
      </c>
      <c r="H25" s="3" t="s">
        <v>409</v>
      </c>
      <c r="I25" s="4"/>
      <c r="J25" s="4"/>
      <c r="K25" s="4"/>
      <c r="L25" s="4"/>
      <c r="M25" s="3" t="s">
        <v>106</v>
      </c>
      <c r="N25" s="4"/>
      <c r="O25" s="4"/>
      <c r="P25" s="3" t="s">
        <v>107</v>
      </c>
      <c r="Q25" s="1" t="str">
        <f t="shared" si="0"/>
        <v>*/Declarant/ContactPerson</v>
      </c>
    </row>
    <row r="26" spans="1:17" ht="12" customHeight="1" outlineLevel="3" x14ac:dyDescent="0.35">
      <c r="A26" s="2" t="str">
        <f>$E$2</f>
        <v>CC404B</v>
      </c>
      <c r="B26" s="1">
        <v>3</v>
      </c>
      <c r="C26" s="1" t="s">
        <v>19</v>
      </c>
      <c r="D26" s="2" t="s">
        <v>25</v>
      </c>
      <c r="E26" s="9" t="s">
        <v>4</v>
      </c>
      <c r="F26" s="7" t="s">
        <v>83</v>
      </c>
      <c r="G26" s="2" t="s">
        <v>27</v>
      </c>
      <c r="M26" s="2" t="s">
        <v>84</v>
      </c>
      <c r="P26" s="2" t="s">
        <v>85</v>
      </c>
      <c r="Q26" s="1" t="str">
        <f t="shared" si="0"/>
        <v>*/Declarant/ContactPerson/name</v>
      </c>
    </row>
    <row r="27" spans="1:17" ht="12" customHeight="1" outlineLevel="3" x14ac:dyDescent="0.35">
      <c r="A27" s="2" t="str">
        <f>$E$2</f>
        <v>CC404B</v>
      </c>
      <c r="B27" s="1">
        <v>3</v>
      </c>
      <c r="C27" s="1" t="s">
        <v>19</v>
      </c>
      <c r="D27" s="2" t="s">
        <v>25</v>
      </c>
      <c r="E27" s="9" t="s">
        <v>108</v>
      </c>
      <c r="F27" s="7" t="s">
        <v>96</v>
      </c>
      <c r="G27" s="2" t="s">
        <v>27</v>
      </c>
      <c r="M27" s="2" t="s">
        <v>109</v>
      </c>
      <c r="P27" s="2" t="s">
        <v>110</v>
      </c>
      <c r="Q27" s="1" t="str">
        <f t="shared" si="0"/>
        <v>*/Declarant/ContactPerson/phoneNumber</v>
      </c>
    </row>
    <row r="28" spans="1:17" ht="12" customHeight="1" outlineLevel="3" x14ac:dyDescent="0.35">
      <c r="A28" s="2" t="str">
        <f>$E$2</f>
        <v>CC404B</v>
      </c>
      <c r="B28" s="1">
        <v>3</v>
      </c>
      <c r="C28" s="1" t="s">
        <v>19</v>
      </c>
      <c r="D28" s="2" t="s">
        <v>25</v>
      </c>
      <c r="E28" s="9" t="s">
        <v>111</v>
      </c>
      <c r="F28" s="7" t="s">
        <v>112</v>
      </c>
      <c r="G28" s="2" t="s">
        <v>27</v>
      </c>
      <c r="M28" s="2" t="s">
        <v>113</v>
      </c>
      <c r="P28" s="2" t="s">
        <v>114</v>
      </c>
      <c r="Q28" s="1" t="str">
        <f t="shared" si="0"/>
        <v>*/Declarant/ContactPerson/eMailAddress</v>
      </c>
    </row>
    <row r="29" spans="1:17" ht="12" customHeight="1" outlineLevel="1" x14ac:dyDescent="0.35">
      <c r="A29" s="3" t="str">
        <f>$E$2</f>
        <v>CC404B</v>
      </c>
      <c r="B29" s="4">
        <v>1</v>
      </c>
      <c r="C29" s="3" t="s">
        <v>24</v>
      </c>
      <c r="D29" s="3" t="s">
        <v>30</v>
      </c>
      <c r="E29" s="5" t="s">
        <v>121</v>
      </c>
      <c r="F29" s="4"/>
      <c r="G29" s="3" t="s">
        <v>22</v>
      </c>
      <c r="H29" s="4"/>
      <c r="I29" s="4"/>
      <c r="J29" s="4"/>
      <c r="K29" s="4"/>
      <c r="L29" s="4"/>
      <c r="M29" s="3" t="s">
        <v>121</v>
      </c>
      <c r="N29" s="4"/>
      <c r="O29" s="4"/>
      <c r="P29" s="3" t="s">
        <v>1240</v>
      </c>
      <c r="Q29" s="1" t="str">
        <f t="shared" si="0"/>
        <v>*/Representative</v>
      </c>
    </row>
    <row r="30" spans="1:17" ht="12" customHeight="1" outlineLevel="2" x14ac:dyDescent="0.35">
      <c r="A30" s="2" t="str">
        <f>$E$2</f>
        <v>CC404B</v>
      </c>
      <c r="B30" s="1">
        <v>2</v>
      </c>
      <c r="C30" s="1" t="s">
        <v>19</v>
      </c>
      <c r="D30" s="2" t="s">
        <v>25</v>
      </c>
      <c r="E30" s="6" t="s">
        <v>81</v>
      </c>
      <c r="F30" s="7" t="s">
        <v>68</v>
      </c>
      <c r="G30" s="2" t="s">
        <v>27</v>
      </c>
      <c r="H30" s="2" t="s">
        <v>788</v>
      </c>
      <c r="M30" s="2" t="s">
        <v>82</v>
      </c>
      <c r="P30" s="2" t="s">
        <v>70</v>
      </c>
      <c r="Q30" s="1" t="str">
        <f t="shared" si="0"/>
        <v>*/Representative/identificationNumber</v>
      </c>
    </row>
    <row r="31" spans="1:17" ht="12" customHeight="1" outlineLevel="2" x14ac:dyDescent="0.35">
      <c r="A31" s="2" t="str">
        <f>$E$2</f>
        <v>CC404B</v>
      </c>
      <c r="B31" s="1">
        <v>2</v>
      </c>
      <c r="C31" s="1" t="s">
        <v>19</v>
      </c>
      <c r="D31" s="2" t="s">
        <v>25</v>
      </c>
      <c r="E31" s="6" t="s">
        <v>6</v>
      </c>
      <c r="F31" s="7" t="s">
        <v>123</v>
      </c>
      <c r="G31" s="2" t="s">
        <v>27</v>
      </c>
      <c r="H31" s="2" t="s">
        <v>407</v>
      </c>
      <c r="J31" s="2" t="s">
        <v>408</v>
      </c>
      <c r="M31" s="2" t="s">
        <v>124</v>
      </c>
      <c r="P31" s="2" t="s">
        <v>125</v>
      </c>
      <c r="Q31" s="1" t="str">
        <f t="shared" si="0"/>
        <v>*/Representative/status</v>
      </c>
    </row>
    <row r="32" spans="1:17" ht="12" customHeight="1" outlineLevel="2" x14ac:dyDescent="0.35">
      <c r="A32" s="3" t="str">
        <f>$E$2</f>
        <v>CC404B</v>
      </c>
      <c r="B32" s="4">
        <v>2</v>
      </c>
      <c r="C32" s="3" t="s">
        <v>24</v>
      </c>
      <c r="D32" s="3" t="s">
        <v>30</v>
      </c>
      <c r="E32" s="8" t="s">
        <v>105</v>
      </c>
      <c r="F32" s="4"/>
      <c r="G32" s="3" t="s">
        <v>22</v>
      </c>
      <c r="H32" s="3" t="s">
        <v>409</v>
      </c>
      <c r="I32" s="4"/>
      <c r="J32" s="4"/>
      <c r="K32" s="4"/>
      <c r="L32" s="4"/>
      <c r="M32" s="3" t="s">
        <v>106</v>
      </c>
      <c r="N32" s="4"/>
      <c r="O32" s="4"/>
      <c r="P32" s="3" t="s">
        <v>107</v>
      </c>
      <c r="Q32" s="1" t="str">
        <f t="shared" si="0"/>
        <v>*/Representative/ContactPerson</v>
      </c>
    </row>
    <row r="33" spans="1:17" ht="12" customHeight="1" outlineLevel="3" x14ac:dyDescent="0.35">
      <c r="A33" s="2" t="str">
        <f>$E$2</f>
        <v>CC404B</v>
      </c>
      <c r="B33" s="1">
        <v>3</v>
      </c>
      <c r="C33" s="1" t="s">
        <v>19</v>
      </c>
      <c r="D33" s="2" t="s">
        <v>25</v>
      </c>
      <c r="E33" s="9" t="s">
        <v>4</v>
      </c>
      <c r="F33" s="7" t="s">
        <v>83</v>
      </c>
      <c r="G33" s="2" t="s">
        <v>27</v>
      </c>
      <c r="M33" s="2" t="s">
        <v>84</v>
      </c>
      <c r="P33" s="2" t="s">
        <v>85</v>
      </c>
      <c r="Q33" s="1" t="str">
        <f t="shared" si="0"/>
        <v>*/Representative/ContactPerson/name</v>
      </c>
    </row>
    <row r="34" spans="1:17" ht="12" customHeight="1" outlineLevel="3" x14ac:dyDescent="0.35">
      <c r="A34" s="2" t="str">
        <f>$E$2</f>
        <v>CC404B</v>
      </c>
      <c r="B34" s="1">
        <v>3</v>
      </c>
      <c r="C34" s="1" t="s">
        <v>19</v>
      </c>
      <c r="D34" s="2" t="s">
        <v>25</v>
      </c>
      <c r="E34" s="9" t="s">
        <v>108</v>
      </c>
      <c r="F34" s="7" t="s">
        <v>96</v>
      </c>
      <c r="G34" s="2" t="s">
        <v>27</v>
      </c>
      <c r="M34" s="2" t="s">
        <v>109</v>
      </c>
      <c r="P34" s="2" t="s">
        <v>110</v>
      </c>
      <c r="Q34" s="1" t="str">
        <f t="shared" si="0"/>
        <v>*/Representative/ContactPerson/phoneNumber</v>
      </c>
    </row>
    <row r="35" spans="1:17" ht="12" customHeight="1" outlineLevel="3" x14ac:dyDescent="0.35">
      <c r="A35" s="2" t="str">
        <f>$E$2</f>
        <v>CC404B</v>
      </c>
      <c r="B35" s="1">
        <v>3</v>
      </c>
      <c r="C35" s="1" t="s">
        <v>19</v>
      </c>
      <c r="D35" s="2" t="s">
        <v>25</v>
      </c>
      <c r="E35" s="9" t="s">
        <v>111</v>
      </c>
      <c r="F35" s="7" t="s">
        <v>112</v>
      </c>
      <c r="G35" s="2" t="s">
        <v>27</v>
      </c>
      <c r="M35" s="2" t="s">
        <v>113</v>
      </c>
      <c r="P35" s="2" t="s">
        <v>114</v>
      </c>
      <c r="Q35" s="1" t="str">
        <f t="shared" si="0"/>
        <v>*/Representative/ContactPerson/eMailAddress</v>
      </c>
    </row>
    <row r="36" spans="1:17" ht="12" customHeight="1" x14ac:dyDescent="0.35"/>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72B0F-6DD4-4CC7-9746-0C8BF21C1F8D}">
  <sheetPr codeName="Ark24">
    <tabColor rgb="FFC00000"/>
    <outlinePr summaryBelow="0" summaryRight="0"/>
  </sheetPr>
  <dimension ref="A1:R43"/>
  <sheetViews>
    <sheetView zoomScaleNormal="100" workbookViewId="0">
      <pane xSplit="1" ySplit="1" topLeftCell="D2" activePane="bottomRight" state="frozen"/>
      <selection activeCell="D2" sqref="D2"/>
      <selection pane="topRight" activeCell="D2" sqref="D2"/>
      <selection pane="bottomLeft" activeCell="D2" sqref="D2"/>
      <selection pane="bottomRight" activeCell="D2" sqref="D2"/>
    </sheetView>
  </sheetViews>
  <sheetFormatPr defaultColWidth="11.54296875" defaultRowHeight="12" outlineLevelRow="3" x14ac:dyDescent="0.35"/>
  <cols>
    <col min="1" max="3" width="0" style="1" hidden="1" customWidth="1"/>
    <col min="4" max="4" width="6.6328125" style="1" customWidth="1"/>
    <col min="5" max="5" width="70.6328125" style="1" customWidth="1"/>
    <col min="6" max="11" width="8.6328125" style="1" customWidth="1"/>
    <col min="12" max="14" width="24.6328125" style="1" customWidth="1"/>
    <col min="15" max="15" width="24.6328125" style="1" hidden="1" customWidth="1"/>
    <col min="16" max="17" width="24.6328125" style="1" customWidth="1"/>
    <col min="18" max="16384" width="11.54296875" style="1"/>
  </cols>
  <sheetData>
    <row r="1" spans="1:18" ht="12"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P1" s="1" t="s">
        <v>14</v>
      </c>
      <c r="Q1" s="1" t="s">
        <v>208</v>
      </c>
      <c r="R1" s="1" t="s">
        <v>209</v>
      </c>
    </row>
    <row r="2" spans="1:18" ht="12" customHeight="1" x14ac:dyDescent="0.35">
      <c r="A2" s="2" t="str">
        <f>$E$2</f>
        <v>CC410B</v>
      </c>
      <c r="B2" s="1">
        <v>0</v>
      </c>
      <c r="C2" s="2" t="s">
        <v>16</v>
      </c>
      <c r="E2" s="2" t="s">
        <v>1241</v>
      </c>
      <c r="M2" s="2" t="s">
        <v>17</v>
      </c>
      <c r="P2" s="2" t="s">
        <v>1242</v>
      </c>
      <c r="Q2" s="1" t="str">
        <f>IF($B2=0,$M2,_xlfn.TEXTBEFORE(Q1,"/",$B2,,,Q1)&amp;"/"&amp;$M2)&amp;IF(_xlfn.TEXTAFTER($D2,"..",,,,1)&lt;&gt;"1","[0]","")</f>
        <v>*</v>
      </c>
    </row>
    <row r="3" spans="1:18" ht="12" customHeight="1" outlineLevel="1" x14ac:dyDescent="0.35">
      <c r="A3" s="3" t="str">
        <f>$E$2</f>
        <v>CC410B</v>
      </c>
      <c r="B3" s="4">
        <v>1</v>
      </c>
      <c r="C3" s="3" t="s">
        <v>24</v>
      </c>
      <c r="D3" s="3" t="s">
        <v>20</v>
      </c>
      <c r="E3" s="5" t="s">
        <v>21</v>
      </c>
      <c r="F3" s="4"/>
      <c r="G3" s="3" t="s">
        <v>22</v>
      </c>
      <c r="H3" s="4"/>
      <c r="I3" s="4"/>
      <c r="J3" s="4"/>
      <c r="K3" s="4"/>
      <c r="L3" s="4"/>
      <c r="M3" s="3" t="s">
        <v>21</v>
      </c>
      <c r="N3" s="4"/>
      <c r="O3" s="4"/>
      <c r="P3" s="3" t="s">
        <v>23</v>
      </c>
      <c r="Q3" s="1" t="str">
        <f>IF($B3=0,$M3,_xlfn.TEXTBEFORE(Q2,"/",$B3,,,Q2)&amp;"/"&amp;$M3)&amp;IF(_xlfn.TEXTAFTER($D3,"..",,,,1)&lt;&gt;"1","[0]","")</f>
        <v>*/Extensions[0]</v>
      </c>
    </row>
    <row r="4" spans="1:18" ht="12" customHeight="1" outlineLevel="2" x14ac:dyDescent="0.35">
      <c r="A4" s="2" t="str">
        <f>$E$2</f>
        <v>CC410B</v>
      </c>
      <c r="B4" s="1">
        <v>2</v>
      </c>
      <c r="C4" s="1" t="s">
        <v>19</v>
      </c>
      <c r="D4" s="2" t="s">
        <v>25</v>
      </c>
      <c r="E4" s="6" t="s">
        <v>774</v>
      </c>
      <c r="F4" s="1" t="s">
        <v>775</v>
      </c>
      <c r="G4" s="2" t="s">
        <v>27</v>
      </c>
      <c r="M4" s="2" t="s">
        <v>776</v>
      </c>
      <c r="Q4" s="1" t="str">
        <f t="shared" ref="Q4:Q42" si="0">IF($B4=0,$M4,_xlfn.TEXTBEFORE(Q3,"/",$B4,,,Q3)&amp;"/"&amp;$M4)&amp;IF(_xlfn.TEXTAFTER($D4,"..",,,,1)&lt;&gt;"1","[0]","")</f>
        <v>*/Extensions[0]/SequenceNumeric</v>
      </c>
    </row>
    <row r="5" spans="1:18" ht="12" customHeight="1" outlineLevel="2" x14ac:dyDescent="0.35">
      <c r="A5" s="2" t="str">
        <f>$E$2</f>
        <v>CC410B</v>
      </c>
      <c r="B5" s="1">
        <v>2</v>
      </c>
      <c r="C5" s="1" t="s">
        <v>19</v>
      </c>
      <c r="D5" s="2" t="s">
        <v>30</v>
      </c>
      <c r="E5" s="6" t="s">
        <v>777</v>
      </c>
      <c r="F5" s="1" t="s">
        <v>778</v>
      </c>
      <c r="G5" s="2" t="s">
        <v>22</v>
      </c>
      <c r="M5" s="2" t="s">
        <v>779</v>
      </c>
      <c r="Q5" s="1" t="str">
        <f t="shared" si="0"/>
        <v>*/Extensions[0]/ID</v>
      </c>
    </row>
    <row r="6" spans="1:18" ht="12" customHeight="1" outlineLevel="2" x14ac:dyDescent="0.35">
      <c r="A6" s="2" t="str">
        <f>$E$2</f>
        <v>CC410B</v>
      </c>
      <c r="B6" s="1">
        <v>2</v>
      </c>
      <c r="C6" s="1" t="s">
        <v>19</v>
      </c>
      <c r="D6" s="2" t="s">
        <v>25</v>
      </c>
      <c r="E6" s="6" t="s">
        <v>780</v>
      </c>
      <c r="F6" s="1" t="s">
        <v>778</v>
      </c>
      <c r="G6" s="2" t="s">
        <v>27</v>
      </c>
      <c r="M6" s="2" t="s">
        <v>780</v>
      </c>
      <c r="Q6" s="1" t="str">
        <f t="shared" si="0"/>
        <v>*/Extensions[0]/Key</v>
      </c>
    </row>
    <row r="7" spans="1:18" ht="12" customHeight="1" outlineLevel="2" x14ac:dyDescent="0.35">
      <c r="A7" s="2" t="str">
        <f>$E$2</f>
        <v>CC410B</v>
      </c>
      <c r="B7" s="1">
        <v>2</v>
      </c>
      <c r="C7" s="1" t="s">
        <v>19</v>
      </c>
      <c r="D7" s="2" t="s">
        <v>25</v>
      </c>
      <c r="E7" s="6" t="s">
        <v>781</v>
      </c>
      <c r="F7" s="1" t="s">
        <v>778</v>
      </c>
      <c r="G7" s="2" t="s">
        <v>27</v>
      </c>
      <c r="M7" s="2" t="s">
        <v>781</v>
      </c>
      <c r="Q7" s="1" t="str">
        <f t="shared" si="0"/>
        <v>*/Extensions[0]/Value</v>
      </c>
    </row>
    <row r="8" spans="1:18" ht="12" customHeight="1" outlineLevel="2" x14ac:dyDescent="0.35">
      <c r="A8" s="2" t="str">
        <f>$E$2</f>
        <v>CC410B</v>
      </c>
      <c r="B8" s="1">
        <v>2</v>
      </c>
      <c r="C8" s="1" t="s">
        <v>19</v>
      </c>
      <c r="D8" s="2" t="s">
        <v>25</v>
      </c>
      <c r="E8" s="6" t="s">
        <v>782</v>
      </c>
      <c r="F8" s="7" t="s">
        <v>783</v>
      </c>
      <c r="G8" s="2" t="s">
        <v>27</v>
      </c>
      <c r="M8" s="2" t="s">
        <v>784</v>
      </c>
      <c r="Q8" s="1" t="str">
        <f t="shared" si="0"/>
        <v>*/Extensions[0]/DataType</v>
      </c>
    </row>
    <row r="9" spans="1:18" ht="12" customHeight="1" outlineLevel="2" x14ac:dyDescent="0.35">
      <c r="A9" s="21" t="str">
        <f>$E$2</f>
        <v>CC410B</v>
      </c>
      <c r="B9" s="22">
        <v>2</v>
      </c>
      <c r="C9" s="22" t="s">
        <v>19</v>
      </c>
      <c r="D9" s="21" t="s">
        <v>20</v>
      </c>
      <c r="E9" s="23" t="s">
        <v>21</v>
      </c>
      <c r="F9" s="22"/>
      <c r="G9" s="21" t="s">
        <v>22</v>
      </c>
      <c r="H9" s="22"/>
      <c r="I9" s="22"/>
      <c r="J9" s="22"/>
      <c r="K9" s="22"/>
      <c r="L9" s="22"/>
      <c r="M9" s="21" t="s">
        <v>21</v>
      </c>
      <c r="N9" s="22"/>
      <c r="O9" s="22"/>
      <c r="P9" s="21" t="s">
        <v>785</v>
      </c>
      <c r="Q9" s="1" t="str">
        <f t="shared" si="0"/>
        <v>*/Extensions[0]/Extensions[0]</v>
      </c>
    </row>
    <row r="10" spans="1:18" ht="12" customHeight="1" outlineLevel="1" x14ac:dyDescent="0.35">
      <c r="A10" s="3" t="str">
        <f>$E$2</f>
        <v>CC410B</v>
      </c>
      <c r="B10" s="4">
        <v>1</v>
      </c>
      <c r="C10" s="3" t="s">
        <v>24</v>
      </c>
      <c r="D10" s="3" t="s">
        <v>25</v>
      </c>
      <c r="E10" s="5" t="s">
        <v>26</v>
      </c>
      <c r="F10" s="4"/>
      <c r="G10" s="3" t="s">
        <v>27</v>
      </c>
      <c r="H10" s="4"/>
      <c r="I10" s="4"/>
      <c r="J10" s="4"/>
      <c r="K10" s="4"/>
      <c r="L10" s="4"/>
      <c r="M10" s="3" t="s">
        <v>28</v>
      </c>
      <c r="N10" s="4"/>
      <c r="O10" s="4"/>
      <c r="P10" s="3" t="s">
        <v>1243</v>
      </c>
      <c r="Q10" s="1" t="str">
        <f t="shared" si="0"/>
        <v>*/ImportOperation</v>
      </c>
    </row>
    <row r="11" spans="1:18" ht="12" customHeight="1" outlineLevel="2" x14ac:dyDescent="0.35">
      <c r="A11" s="2" t="str">
        <f>$E$2</f>
        <v>CC410B</v>
      </c>
      <c r="B11" s="1">
        <v>2</v>
      </c>
      <c r="C11" s="1" t="s">
        <v>19</v>
      </c>
      <c r="D11" s="2" t="s">
        <v>30</v>
      </c>
      <c r="E11" s="6" t="s">
        <v>31</v>
      </c>
      <c r="F11" s="7" t="s">
        <v>32</v>
      </c>
      <c r="G11" s="2" t="s">
        <v>396</v>
      </c>
      <c r="I11" s="2" t="s">
        <v>441</v>
      </c>
      <c r="M11" s="2" t="s">
        <v>33</v>
      </c>
      <c r="P11" s="2" t="s">
        <v>34</v>
      </c>
      <c r="Q11" s="1" t="str">
        <f t="shared" si="0"/>
        <v>*/ImportOperation/LRN</v>
      </c>
    </row>
    <row r="12" spans="1:18" ht="12" customHeight="1" outlineLevel="2" x14ac:dyDescent="0.35">
      <c r="A12" s="2" t="str">
        <f>$E$2</f>
        <v>CC410B</v>
      </c>
      <c r="B12" s="1">
        <v>2</v>
      </c>
      <c r="C12" s="1" t="s">
        <v>19</v>
      </c>
      <c r="D12" s="2" t="s">
        <v>30</v>
      </c>
      <c r="E12" s="6" t="s">
        <v>35</v>
      </c>
      <c r="F12" s="7" t="s">
        <v>36</v>
      </c>
      <c r="G12" s="2" t="s">
        <v>396</v>
      </c>
      <c r="I12" s="2" t="s">
        <v>441</v>
      </c>
      <c r="M12" s="2" t="s">
        <v>37</v>
      </c>
      <c r="P12" s="2" t="s">
        <v>38</v>
      </c>
      <c r="Q12" s="1" t="str">
        <f t="shared" si="0"/>
        <v>*/ImportOperation/MRN</v>
      </c>
    </row>
    <row r="13" spans="1:18" ht="12" customHeight="1" outlineLevel="2" x14ac:dyDescent="0.35">
      <c r="A13" s="2" t="str">
        <f>$E$2</f>
        <v>CC410B</v>
      </c>
      <c r="B13" s="1">
        <v>2</v>
      </c>
      <c r="C13" s="1" t="s">
        <v>19</v>
      </c>
      <c r="D13" s="2" t="s">
        <v>25</v>
      </c>
      <c r="E13" s="6" t="s">
        <v>1244</v>
      </c>
      <c r="F13" s="2" t="s">
        <v>47</v>
      </c>
      <c r="G13" s="2" t="s">
        <v>27</v>
      </c>
      <c r="H13" s="2" t="s">
        <v>786</v>
      </c>
      <c r="M13" s="2" t="s">
        <v>1245</v>
      </c>
      <c r="P13" s="2" t="s">
        <v>188</v>
      </c>
      <c r="Q13" s="1" t="str">
        <f t="shared" si="0"/>
        <v>*/ImportOperation/invalidationDecisionDateAndTime</v>
      </c>
    </row>
    <row r="14" spans="1:18" ht="12" customHeight="1" outlineLevel="2" x14ac:dyDescent="0.35">
      <c r="A14" s="2" t="str">
        <f>$E$2</f>
        <v>CC410B</v>
      </c>
      <c r="B14" s="1">
        <v>2</v>
      </c>
      <c r="C14" s="1" t="s">
        <v>19</v>
      </c>
      <c r="D14" s="2" t="s">
        <v>25</v>
      </c>
      <c r="E14" s="6" t="s">
        <v>213</v>
      </c>
      <c r="F14" s="2" t="s">
        <v>47</v>
      </c>
      <c r="G14" s="2" t="s">
        <v>27</v>
      </c>
      <c r="H14" s="2" t="s">
        <v>786</v>
      </c>
      <c r="M14" s="2" t="s">
        <v>214</v>
      </c>
      <c r="P14" s="2" t="s">
        <v>188</v>
      </c>
      <c r="Q14" s="1" t="str">
        <f t="shared" si="0"/>
        <v>*/ImportOperation/invalidationRequestDateAndTime</v>
      </c>
    </row>
    <row r="15" spans="1:18" ht="12" customHeight="1" outlineLevel="2" x14ac:dyDescent="0.35">
      <c r="A15" s="2" t="str">
        <f>$E$2</f>
        <v>CC410B</v>
      </c>
      <c r="B15" s="1">
        <v>2</v>
      </c>
      <c r="C15" s="1" t="s">
        <v>19</v>
      </c>
      <c r="D15" s="2" t="s">
        <v>25</v>
      </c>
      <c r="E15" s="6" t="s">
        <v>1246</v>
      </c>
      <c r="F15" s="7" t="s">
        <v>123</v>
      </c>
      <c r="G15" s="2" t="s">
        <v>27</v>
      </c>
      <c r="J15" s="2" t="s">
        <v>539</v>
      </c>
      <c r="M15" s="2" t="s">
        <v>1247</v>
      </c>
      <c r="P15" s="2" t="s">
        <v>367</v>
      </c>
      <c r="Q15" s="1" t="str">
        <f t="shared" si="0"/>
        <v>*/ImportOperation/invalidationInitiatedByCustoms</v>
      </c>
    </row>
    <row r="16" spans="1:18" ht="12" customHeight="1" outlineLevel="2" x14ac:dyDescent="0.35">
      <c r="A16" s="2" t="str">
        <f>$E$2</f>
        <v>CC410B</v>
      </c>
      <c r="B16" s="1">
        <v>2</v>
      </c>
      <c r="C16" s="1" t="s">
        <v>19</v>
      </c>
      <c r="D16" s="2" t="s">
        <v>25</v>
      </c>
      <c r="E16" s="6" t="s">
        <v>1248</v>
      </c>
      <c r="F16" s="7" t="s">
        <v>216</v>
      </c>
      <c r="G16" s="2" t="s">
        <v>27</v>
      </c>
      <c r="M16" s="2" t="s">
        <v>1249</v>
      </c>
      <c r="P16" s="2" t="s">
        <v>218</v>
      </c>
      <c r="Q16" s="1" t="str">
        <f t="shared" si="0"/>
        <v>*/ImportOperation/invalidationJustification</v>
      </c>
    </row>
    <row r="17" spans="1:17" ht="12" customHeight="1" outlineLevel="1" x14ac:dyDescent="0.35">
      <c r="A17" s="3" t="str">
        <f>$E$2</f>
        <v>CC410B</v>
      </c>
      <c r="B17" s="4">
        <v>1</v>
      </c>
      <c r="C17" s="3" t="s">
        <v>24</v>
      </c>
      <c r="D17" s="3" t="s">
        <v>30</v>
      </c>
      <c r="E17" s="5" t="s">
        <v>76</v>
      </c>
      <c r="F17" s="4"/>
      <c r="G17" s="3" t="s">
        <v>22</v>
      </c>
      <c r="H17" s="4"/>
      <c r="I17" s="4"/>
      <c r="J17" s="4"/>
      <c r="K17" s="4"/>
      <c r="L17" s="4"/>
      <c r="M17" s="3" t="s">
        <v>77</v>
      </c>
      <c r="N17" s="4"/>
      <c r="O17" s="4"/>
      <c r="P17" s="3" t="s">
        <v>78</v>
      </c>
      <c r="Q17" s="1" t="str">
        <f t="shared" si="0"/>
        <v>*/SupervisingCustomsOffice</v>
      </c>
    </row>
    <row r="18" spans="1:17" ht="12" customHeight="1" outlineLevel="2" x14ac:dyDescent="0.35">
      <c r="A18" s="2" t="str">
        <f>$E$2</f>
        <v>CC410B</v>
      </c>
      <c r="B18" s="1">
        <v>2</v>
      </c>
      <c r="C18" s="1" t="s">
        <v>19</v>
      </c>
      <c r="D18" s="2" t="s">
        <v>25</v>
      </c>
      <c r="E18" s="6" t="s">
        <v>63</v>
      </c>
      <c r="F18" s="7" t="s">
        <v>74</v>
      </c>
      <c r="G18" s="2" t="s">
        <v>27</v>
      </c>
      <c r="J18" s="2" t="s">
        <v>399</v>
      </c>
      <c r="M18" s="2" t="s">
        <v>65</v>
      </c>
      <c r="P18" s="2" t="s">
        <v>75</v>
      </c>
      <c r="Q18" s="1" t="str">
        <f t="shared" si="0"/>
        <v>*/SupervisingCustomsOffice/referenceNumber</v>
      </c>
    </row>
    <row r="19" spans="1:17" ht="12" customHeight="1" outlineLevel="1" x14ac:dyDescent="0.35">
      <c r="A19" s="3" t="str">
        <f>$E$2</f>
        <v>CC410B</v>
      </c>
      <c r="B19" s="4">
        <v>1</v>
      </c>
      <c r="C19" s="3" t="s">
        <v>24</v>
      </c>
      <c r="D19" s="3" t="s">
        <v>25</v>
      </c>
      <c r="E19" s="5" t="s">
        <v>101</v>
      </c>
      <c r="F19" s="4"/>
      <c r="G19" s="3" t="s">
        <v>27</v>
      </c>
      <c r="H19" s="4"/>
      <c r="I19" s="4"/>
      <c r="J19" s="4"/>
      <c r="K19" s="4"/>
      <c r="L19" s="4"/>
      <c r="M19" s="3" t="s">
        <v>101</v>
      </c>
      <c r="N19" s="4"/>
      <c r="O19" s="4"/>
      <c r="P19" s="3" t="s">
        <v>102</v>
      </c>
      <c r="Q19" s="1" t="str">
        <f t="shared" si="0"/>
        <v>*/Declarant</v>
      </c>
    </row>
    <row r="20" spans="1:17" ht="12" customHeight="1" outlineLevel="2" x14ac:dyDescent="0.35">
      <c r="A20" s="2" t="str">
        <f>$E$2</f>
        <v>CC410B</v>
      </c>
      <c r="B20" s="1">
        <v>2</v>
      </c>
      <c r="C20" s="1" t="s">
        <v>19</v>
      </c>
      <c r="D20" s="2" t="s">
        <v>25</v>
      </c>
      <c r="E20" s="6" t="s">
        <v>81</v>
      </c>
      <c r="F20" s="7" t="s">
        <v>68</v>
      </c>
      <c r="G20" s="2" t="s">
        <v>27</v>
      </c>
      <c r="H20" s="2" t="s">
        <v>397</v>
      </c>
      <c r="M20" s="2" t="s">
        <v>82</v>
      </c>
      <c r="P20" s="2" t="s">
        <v>70</v>
      </c>
      <c r="Q20" s="1" t="str">
        <f t="shared" si="0"/>
        <v>*/Declarant/identificationNumber</v>
      </c>
    </row>
    <row r="21" spans="1:17" ht="12" customHeight="1" outlineLevel="2" x14ac:dyDescent="0.35">
      <c r="A21" s="2" t="str">
        <f>$E$2</f>
        <v>CC410B</v>
      </c>
      <c r="B21" s="1">
        <v>2</v>
      </c>
      <c r="C21" s="1" t="s">
        <v>19</v>
      </c>
      <c r="D21" s="2" t="s">
        <v>30</v>
      </c>
      <c r="E21" s="6" t="s">
        <v>4</v>
      </c>
      <c r="F21" s="7" t="s">
        <v>83</v>
      </c>
      <c r="G21" s="2" t="s">
        <v>396</v>
      </c>
      <c r="I21" s="2" t="s">
        <v>401</v>
      </c>
      <c r="M21" s="2" t="s">
        <v>84</v>
      </c>
      <c r="P21" s="2" t="s">
        <v>85</v>
      </c>
      <c r="Q21" s="1" t="str">
        <f t="shared" si="0"/>
        <v>*/Declarant/name</v>
      </c>
    </row>
    <row r="22" spans="1:17" ht="12" customHeight="1" outlineLevel="2" x14ac:dyDescent="0.35">
      <c r="A22" s="3" t="str">
        <f>$E$2</f>
        <v>CC410B</v>
      </c>
      <c r="B22" s="4">
        <v>2</v>
      </c>
      <c r="C22" s="3" t="s">
        <v>24</v>
      </c>
      <c r="D22" s="3" t="s">
        <v>30</v>
      </c>
      <c r="E22" s="8" t="s">
        <v>86</v>
      </c>
      <c r="F22" s="4"/>
      <c r="G22" s="3" t="s">
        <v>396</v>
      </c>
      <c r="H22" s="4"/>
      <c r="I22" s="3" t="s">
        <v>401</v>
      </c>
      <c r="J22" s="4"/>
      <c r="K22" s="4"/>
      <c r="L22" s="4"/>
      <c r="M22" s="3" t="s">
        <v>86</v>
      </c>
      <c r="N22" s="4"/>
      <c r="O22" s="4"/>
      <c r="P22" s="3" t="s">
        <v>87</v>
      </c>
      <c r="Q22" s="1" t="str">
        <f t="shared" si="0"/>
        <v>*/Declarant/Address</v>
      </c>
    </row>
    <row r="23" spans="1:17" ht="12" customHeight="1" outlineLevel="3" x14ac:dyDescent="0.35">
      <c r="A23" s="2" t="str">
        <f>$E$2</f>
        <v>CC410B</v>
      </c>
      <c r="B23" s="1">
        <v>3</v>
      </c>
      <c r="C23" s="1" t="s">
        <v>19</v>
      </c>
      <c r="D23" s="2" t="s">
        <v>25</v>
      </c>
      <c r="E23" s="9" t="s">
        <v>88</v>
      </c>
      <c r="F23" s="7" t="s">
        <v>83</v>
      </c>
      <c r="G23" s="2" t="s">
        <v>27</v>
      </c>
      <c r="M23" s="2" t="s">
        <v>89</v>
      </c>
      <c r="P23" s="2" t="s">
        <v>90</v>
      </c>
      <c r="Q23" s="1" t="str">
        <f t="shared" si="0"/>
        <v>*/Declarant/Address/streetAndNumber</v>
      </c>
    </row>
    <row r="24" spans="1:17" ht="12" customHeight="1" outlineLevel="3" x14ac:dyDescent="0.35">
      <c r="A24" s="2" t="str">
        <f>$E$2</f>
        <v>CC410B</v>
      </c>
      <c r="B24" s="1">
        <v>3</v>
      </c>
      <c r="C24" s="1" t="s">
        <v>19</v>
      </c>
      <c r="D24" s="2" t="s">
        <v>30</v>
      </c>
      <c r="E24" s="9" t="s">
        <v>91</v>
      </c>
      <c r="F24" s="7" t="s">
        <v>92</v>
      </c>
      <c r="G24" s="2" t="s">
        <v>396</v>
      </c>
      <c r="I24" s="2" t="s">
        <v>402</v>
      </c>
      <c r="M24" s="2" t="s">
        <v>93</v>
      </c>
      <c r="P24" s="2" t="s">
        <v>94</v>
      </c>
      <c r="Q24" s="1" t="str">
        <f t="shared" si="0"/>
        <v>*/Declarant/Address/postcode</v>
      </c>
    </row>
    <row r="25" spans="1:17" ht="12" customHeight="1" outlineLevel="3" x14ac:dyDescent="0.35">
      <c r="A25" s="2" t="str">
        <f>$E$2</f>
        <v>CC410B</v>
      </c>
      <c r="B25" s="1">
        <v>3</v>
      </c>
      <c r="C25" s="1" t="s">
        <v>19</v>
      </c>
      <c r="D25" s="2" t="s">
        <v>25</v>
      </c>
      <c r="E25" s="9" t="s">
        <v>95</v>
      </c>
      <c r="F25" s="7" t="s">
        <v>96</v>
      </c>
      <c r="G25" s="2" t="s">
        <v>27</v>
      </c>
      <c r="M25" s="2" t="s">
        <v>97</v>
      </c>
      <c r="P25" s="2" t="s">
        <v>98</v>
      </c>
      <c r="Q25" s="1" t="str">
        <f t="shared" si="0"/>
        <v>*/Declarant/Address/city</v>
      </c>
    </row>
    <row r="26" spans="1:17" ht="12" customHeight="1" outlineLevel="3" x14ac:dyDescent="0.35">
      <c r="A26" s="2" t="str">
        <f>$E$2</f>
        <v>CC410B</v>
      </c>
      <c r="B26" s="1">
        <v>3</v>
      </c>
      <c r="C26" s="1" t="s">
        <v>19</v>
      </c>
      <c r="D26" s="2" t="s">
        <v>25</v>
      </c>
      <c r="E26" s="9" t="s">
        <v>99</v>
      </c>
      <c r="F26" s="7" t="s">
        <v>50</v>
      </c>
      <c r="G26" s="2" t="s">
        <v>27</v>
      </c>
      <c r="J26" s="2" t="s">
        <v>403</v>
      </c>
      <c r="M26" s="2" t="s">
        <v>100</v>
      </c>
      <c r="P26" s="2" t="s">
        <v>52</v>
      </c>
      <c r="Q26" s="1" t="str">
        <f t="shared" si="0"/>
        <v>*/Declarant/Address/country</v>
      </c>
    </row>
    <row r="27" spans="1:17" ht="12" customHeight="1" outlineLevel="2" x14ac:dyDescent="0.35">
      <c r="A27" s="3" t="str">
        <f>$E$2</f>
        <v>CC410B</v>
      </c>
      <c r="B27" s="4">
        <v>2</v>
      </c>
      <c r="C27" s="3" t="s">
        <v>24</v>
      </c>
      <c r="D27" s="3" t="s">
        <v>30</v>
      </c>
      <c r="E27" s="8" t="s">
        <v>105</v>
      </c>
      <c r="F27" s="4"/>
      <c r="G27" s="3" t="s">
        <v>22</v>
      </c>
      <c r="H27" s="3" t="s">
        <v>409</v>
      </c>
      <c r="I27" s="4"/>
      <c r="J27" s="4"/>
      <c r="K27" s="4"/>
      <c r="L27" s="4"/>
      <c r="M27" s="3" t="s">
        <v>106</v>
      </c>
      <c r="N27" s="4"/>
      <c r="O27" s="4"/>
      <c r="P27" s="3" t="s">
        <v>107</v>
      </c>
      <c r="Q27" s="1" t="str">
        <f t="shared" si="0"/>
        <v>*/Declarant/ContactPerson</v>
      </c>
    </row>
    <row r="28" spans="1:17" ht="12" customHeight="1" outlineLevel="3" x14ac:dyDescent="0.35">
      <c r="A28" s="2" t="str">
        <f>$E$2</f>
        <v>CC410B</v>
      </c>
      <c r="B28" s="1">
        <v>3</v>
      </c>
      <c r="C28" s="1" t="s">
        <v>19</v>
      </c>
      <c r="D28" s="2" t="s">
        <v>25</v>
      </c>
      <c r="E28" s="9" t="s">
        <v>4</v>
      </c>
      <c r="F28" s="7" t="s">
        <v>83</v>
      </c>
      <c r="G28" s="2" t="s">
        <v>27</v>
      </c>
      <c r="M28" s="2" t="s">
        <v>84</v>
      </c>
      <c r="P28" s="2" t="s">
        <v>85</v>
      </c>
      <c r="Q28" s="1" t="str">
        <f t="shared" si="0"/>
        <v>*/Declarant/ContactPerson/name</v>
      </c>
    </row>
    <row r="29" spans="1:17" ht="12" customHeight="1" outlineLevel="3" x14ac:dyDescent="0.35">
      <c r="A29" s="2" t="str">
        <f>$E$2</f>
        <v>CC410B</v>
      </c>
      <c r="B29" s="1">
        <v>3</v>
      </c>
      <c r="C29" s="1" t="s">
        <v>19</v>
      </c>
      <c r="D29" s="2" t="s">
        <v>25</v>
      </c>
      <c r="E29" s="9" t="s">
        <v>108</v>
      </c>
      <c r="F29" s="7" t="s">
        <v>96</v>
      </c>
      <c r="G29" s="2" t="s">
        <v>27</v>
      </c>
      <c r="M29" s="2" t="s">
        <v>109</v>
      </c>
      <c r="P29" s="2" t="s">
        <v>110</v>
      </c>
      <c r="Q29" s="1" t="str">
        <f t="shared" si="0"/>
        <v>*/Declarant/ContactPerson/phoneNumber</v>
      </c>
    </row>
    <row r="30" spans="1:17" ht="12" customHeight="1" outlineLevel="3" x14ac:dyDescent="0.35">
      <c r="A30" s="2" t="str">
        <f>$E$2</f>
        <v>CC410B</v>
      </c>
      <c r="B30" s="1">
        <v>3</v>
      </c>
      <c r="C30" s="1" t="s">
        <v>19</v>
      </c>
      <c r="D30" s="2" t="s">
        <v>25</v>
      </c>
      <c r="E30" s="9" t="s">
        <v>111</v>
      </c>
      <c r="F30" s="7" t="s">
        <v>112</v>
      </c>
      <c r="G30" s="2" t="s">
        <v>27</v>
      </c>
      <c r="M30" s="2" t="s">
        <v>113</v>
      </c>
      <c r="P30" s="2" t="s">
        <v>114</v>
      </c>
      <c r="Q30" s="1" t="str">
        <f t="shared" si="0"/>
        <v>*/Declarant/ContactPerson/eMailAddress</v>
      </c>
    </row>
    <row r="31" spans="1:17" ht="12" customHeight="1" outlineLevel="1" x14ac:dyDescent="0.35">
      <c r="A31" s="3" t="str">
        <f>$E$2</f>
        <v>CC410B</v>
      </c>
      <c r="B31" s="4">
        <v>1</v>
      </c>
      <c r="C31" s="3" t="s">
        <v>24</v>
      </c>
      <c r="D31" s="3" t="s">
        <v>30</v>
      </c>
      <c r="E31" s="5" t="s">
        <v>121</v>
      </c>
      <c r="F31" s="4"/>
      <c r="G31" s="3" t="s">
        <v>22</v>
      </c>
      <c r="H31" s="4"/>
      <c r="I31" s="4"/>
      <c r="J31" s="4"/>
      <c r="K31" s="4"/>
      <c r="L31" s="4"/>
      <c r="M31" s="3" t="s">
        <v>121</v>
      </c>
      <c r="N31" s="4"/>
      <c r="O31" s="4"/>
      <c r="P31" s="3" t="s">
        <v>1240</v>
      </c>
      <c r="Q31" s="1" t="str">
        <f t="shared" si="0"/>
        <v>*/Representative</v>
      </c>
    </row>
    <row r="32" spans="1:17" ht="12" customHeight="1" outlineLevel="2" x14ac:dyDescent="0.35">
      <c r="A32" s="2" t="str">
        <f>$E$2</f>
        <v>CC410B</v>
      </c>
      <c r="B32" s="1">
        <v>2</v>
      </c>
      <c r="C32" s="1" t="s">
        <v>19</v>
      </c>
      <c r="D32" s="2" t="s">
        <v>25</v>
      </c>
      <c r="E32" s="6" t="s">
        <v>81</v>
      </c>
      <c r="F32" s="7" t="s">
        <v>68</v>
      </c>
      <c r="G32" s="2" t="s">
        <v>27</v>
      </c>
      <c r="H32" s="2" t="s">
        <v>788</v>
      </c>
      <c r="M32" s="2" t="s">
        <v>82</v>
      </c>
      <c r="P32" s="2" t="s">
        <v>70</v>
      </c>
      <c r="Q32" s="1" t="str">
        <f t="shared" si="0"/>
        <v>*/Representative/identificationNumber</v>
      </c>
    </row>
    <row r="33" spans="1:17" ht="12" customHeight="1" outlineLevel="2" x14ac:dyDescent="0.35">
      <c r="A33" s="2" t="str">
        <f>$E$2</f>
        <v>CC410B</v>
      </c>
      <c r="B33" s="1">
        <v>2</v>
      </c>
      <c r="C33" s="1" t="s">
        <v>19</v>
      </c>
      <c r="D33" s="2" t="s">
        <v>25</v>
      </c>
      <c r="E33" s="6" t="s">
        <v>6</v>
      </c>
      <c r="F33" s="7" t="s">
        <v>123</v>
      </c>
      <c r="G33" s="2" t="s">
        <v>27</v>
      </c>
      <c r="H33" s="2" t="s">
        <v>407</v>
      </c>
      <c r="J33" s="2" t="s">
        <v>408</v>
      </c>
      <c r="M33" s="2" t="s">
        <v>124</v>
      </c>
      <c r="P33" s="2" t="s">
        <v>125</v>
      </c>
      <c r="Q33" s="1" t="str">
        <f t="shared" si="0"/>
        <v>*/Representative/status</v>
      </c>
    </row>
    <row r="34" spans="1:17" ht="12" customHeight="1" outlineLevel="2" x14ac:dyDescent="0.35">
      <c r="A34" s="3" t="str">
        <f>$E$2</f>
        <v>CC410B</v>
      </c>
      <c r="B34" s="4">
        <v>2</v>
      </c>
      <c r="C34" s="3" t="s">
        <v>24</v>
      </c>
      <c r="D34" s="3" t="s">
        <v>30</v>
      </c>
      <c r="E34" s="8" t="s">
        <v>105</v>
      </c>
      <c r="F34" s="4"/>
      <c r="G34" s="3" t="s">
        <v>22</v>
      </c>
      <c r="H34" s="3" t="s">
        <v>409</v>
      </c>
      <c r="I34" s="4"/>
      <c r="J34" s="4"/>
      <c r="K34" s="4"/>
      <c r="L34" s="4"/>
      <c r="M34" s="3" t="s">
        <v>106</v>
      </c>
      <c r="N34" s="4"/>
      <c r="O34" s="4"/>
      <c r="P34" s="3" t="s">
        <v>107</v>
      </c>
      <c r="Q34" s="1" t="str">
        <f t="shared" si="0"/>
        <v>*/Representative/ContactPerson</v>
      </c>
    </row>
    <row r="35" spans="1:17" ht="12" customHeight="1" outlineLevel="3" x14ac:dyDescent="0.35">
      <c r="A35" s="2" t="str">
        <f>$E$2</f>
        <v>CC410B</v>
      </c>
      <c r="B35" s="1">
        <v>3</v>
      </c>
      <c r="C35" s="1" t="s">
        <v>19</v>
      </c>
      <c r="D35" s="2" t="s">
        <v>25</v>
      </c>
      <c r="E35" s="9" t="s">
        <v>4</v>
      </c>
      <c r="F35" s="7" t="s">
        <v>83</v>
      </c>
      <c r="G35" s="2" t="s">
        <v>27</v>
      </c>
      <c r="M35" s="2" t="s">
        <v>84</v>
      </c>
      <c r="P35" s="2" t="s">
        <v>85</v>
      </c>
      <c r="Q35" s="1" t="str">
        <f t="shared" si="0"/>
        <v>*/Representative/ContactPerson/name</v>
      </c>
    </row>
    <row r="36" spans="1:17" ht="12" customHeight="1" outlineLevel="3" x14ac:dyDescent="0.35">
      <c r="A36" s="2" t="str">
        <f>$E$2</f>
        <v>CC410B</v>
      </c>
      <c r="B36" s="1">
        <v>3</v>
      </c>
      <c r="C36" s="1" t="s">
        <v>19</v>
      </c>
      <c r="D36" s="2" t="s">
        <v>25</v>
      </c>
      <c r="E36" s="9" t="s">
        <v>108</v>
      </c>
      <c r="F36" s="7" t="s">
        <v>96</v>
      </c>
      <c r="G36" s="2" t="s">
        <v>27</v>
      </c>
      <c r="M36" s="2" t="s">
        <v>109</v>
      </c>
      <c r="P36" s="2" t="s">
        <v>110</v>
      </c>
      <c r="Q36" s="1" t="str">
        <f t="shared" si="0"/>
        <v>*/Representative/ContactPerson/phoneNumber</v>
      </c>
    </row>
    <row r="37" spans="1:17" ht="12" customHeight="1" outlineLevel="3" x14ac:dyDescent="0.35">
      <c r="A37" s="2" t="str">
        <f>$E$2</f>
        <v>CC410B</v>
      </c>
      <c r="B37" s="1">
        <v>3</v>
      </c>
      <c r="C37" s="1" t="s">
        <v>19</v>
      </c>
      <c r="D37" s="2" t="s">
        <v>25</v>
      </c>
      <c r="E37" s="9" t="s">
        <v>111</v>
      </c>
      <c r="F37" s="7" t="s">
        <v>112</v>
      </c>
      <c r="G37" s="2" t="s">
        <v>27</v>
      </c>
      <c r="M37" s="2" t="s">
        <v>113</v>
      </c>
      <c r="P37" s="2" t="s">
        <v>114</v>
      </c>
      <c r="Q37" s="1" t="str">
        <f t="shared" si="0"/>
        <v>*/Representative/ContactPerson/eMailAddress</v>
      </c>
    </row>
    <row r="38" spans="1:17" ht="12" customHeight="1" outlineLevel="1" x14ac:dyDescent="0.35">
      <c r="A38" s="3" t="str">
        <f>$E$2</f>
        <v>CC410B</v>
      </c>
      <c r="B38" s="4">
        <v>1</v>
      </c>
      <c r="C38" s="3" t="s">
        <v>24</v>
      </c>
      <c r="D38" s="3" t="s">
        <v>193</v>
      </c>
      <c r="E38" s="5" t="s">
        <v>219</v>
      </c>
      <c r="F38" s="4"/>
      <c r="G38" s="3" t="s">
        <v>22</v>
      </c>
      <c r="H38" s="3" t="s">
        <v>489</v>
      </c>
      <c r="I38" s="4"/>
      <c r="J38" s="4"/>
      <c r="K38" s="4"/>
      <c r="L38" s="4"/>
      <c r="M38" s="3" t="s">
        <v>220</v>
      </c>
      <c r="N38" s="4"/>
      <c r="O38" s="4"/>
      <c r="P38" s="3" t="s">
        <v>221</v>
      </c>
      <c r="Q38" s="1" t="str">
        <f t="shared" si="0"/>
        <v>*/AdditionalInformation[0]</v>
      </c>
    </row>
    <row r="39" spans="1:17" ht="12" customHeight="1" outlineLevel="2" x14ac:dyDescent="0.35">
      <c r="A39" s="2" t="str">
        <f>$E$2</f>
        <v>CC410B</v>
      </c>
      <c r="B39" s="1">
        <v>2</v>
      </c>
      <c r="C39" s="1" t="s">
        <v>19</v>
      </c>
      <c r="D39" s="2" t="s">
        <v>25</v>
      </c>
      <c r="E39" s="6" t="s">
        <v>56</v>
      </c>
      <c r="F39" s="7" t="s">
        <v>57</v>
      </c>
      <c r="G39" s="2" t="s">
        <v>27</v>
      </c>
      <c r="H39" s="2" t="s">
        <v>393</v>
      </c>
      <c r="M39" s="2" t="s">
        <v>58</v>
      </c>
      <c r="P39" s="2" t="s">
        <v>59</v>
      </c>
      <c r="Q39" s="1" t="str">
        <f t="shared" si="0"/>
        <v>*/AdditionalInformation[0]/sequenceNumber</v>
      </c>
    </row>
    <row r="40" spans="1:17" ht="12" customHeight="1" outlineLevel="2" x14ac:dyDescent="0.35">
      <c r="A40" s="2" t="str">
        <f>$E$2</f>
        <v>CC410B</v>
      </c>
      <c r="B40" s="1">
        <v>2</v>
      </c>
      <c r="C40" s="1" t="s">
        <v>19</v>
      </c>
      <c r="D40" s="2" t="s">
        <v>25</v>
      </c>
      <c r="E40" s="6" t="s">
        <v>222</v>
      </c>
      <c r="F40" s="7" t="s">
        <v>223</v>
      </c>
      <c r="G40" s="2" t="s">
        <v>27</v>
      </c>
      <c r="H40" s="2" t="s">
        <v>477</v>
      </c>
      <c r="J40" s="2" t="s">
        <v>513</v>
      </c>
      <c r="M40" s="2" t="s">
        <v>224</v>
      </c>
      <c r="P40" s="2" t="s">
        <v>225</v>
      </c>
      <c r="Q40" s="1" t="str">
        <f t="shared" si="0"/>
        <v>*/AdditionalInformation[0]/code</v>
      </c>
    </row>
    <row r="41" spans="1:17" ht="12" customHeight="1" outlineLevel="2" x14ac:dyDescent="0.35">
      <c r="A41" s="2" t="str">
        <f>$E$2</f>
        <v>CC410B</v>
      </c>
      <c r="B41" s="1">
        <v>2</v>
      </c>
      <c r="C41" s="1" t="s">
        <v>19</v>
      </c>
      <c r="D41" s="2" t="s">
        <v>30</v>
      </c>
      <c r="E41" s="6" t="s">
        <v>142</v>
      </c>
      <c r="F41" s="7" t="s">
        <v>50</v>
      </c>
      <c r="G41" s="2" t="s">
        <v>396</v>
      </c>
      <c r="H41" s="2" t="s">
        <v>512</v>
      </c>
      <c r="I41" s="2" t="s">
        <v>493</v>
      </c>
      <c r="J41" s="2" t="s">
        <v>416</v>
      </c>
      <c r="M41" s="2" t="s">
        <v>143</v>
      </c>
      <c r="P41" s="2" t="s">
        <v>52</v>
      </c>
      <c r="Q41" s="1" t="str">
        <f t="shared" si="0"/>
        <v>*/AdditionalInformation[0]/ccQualifier</v>
      </c>
    </row>
    <row r="42" spans="1:17" ht="12" customHeight="1" outlineLevel="2" x14ac:dyDescent="0.35">
      <c r="A42" s="2" t="str">
        <f>$E$2</f>
        <v>CC410B</v>
      </c>
      <c r="B42" s="1">
        <v>2</v>
      </c>
      <c r="C42" s="1" t="s">
        <v>19</v>
      </c>
      <c r="D42" s="2" t="s">
        <v>30</v>
      </c>
      <c r="E42" s="6" t="s">
        <v>226</v>
      </c>
      <c r="F42" s="7" t="s">
        <v>216</v>
      </c>
      <c r="G42" s="2" t="s">
        <v>22</v>
      </c>
      <c r="M42" s="2" t="s">
        <v>227</v>
      </c>
      <c r="P42" s="2" t="s">
        <v>218</v>
      </c>
      <c r="Q42" s="1" t="str">
        <f t="shared" si="0"/>
        <v>*/AdditionalInformation[0]/text</v>
      </c>
    </row>
    <row r="43" spans="1:17" ht="12" customHeight="1" x14ac:dyDescent="0.35"/>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ED7C9-2C79-4306-B7CC-FBD9615FF70A}">
  <sheetPr codeName="Ark25">
    <tabColor rgb="FFC00000"/>
    <outlinePr summaryBelow="0" summaryRight="0"/>
  </sheetPr>
  <dimension ref="A1:R35"/>
  <sheetViews>
    <sheetView zoomScaleNormal="100" workbookViewId="0">
      <pane xSplit="1" ySplit="1" topLeftCell="D2" activePane="bottomRight" state="frozen"/>
      <selection activeCell="D2" sqref="D2"/>
      <selection pane="topRight" activeCell="D2" sqref="D2"/>
      <selection pane="bottomLeft" activeCell="D2" sqref="D2"/>
      <selection pane="bottomRight" activeCell="D2" sqref="D2"/>
    </sheetView>
  </sheetViews>
  <sheetFormatPr defaultColWidth="11.54296875" defaultRowHeight="12" outlineLevelRow="3" x14ac:dyDescent="0.35"/>
  <cols>
    <col min="1" max="3" width="0" style="1" hidden="1" customWidth="1"/>
    <col min="4" max="4" width="6.6328125" style="1" customWidth="1"/>
    <col min="5" max="5" width="70.6328125" style="1" customWidth="1"/>
    <col min="6" max="11" width="8.6328125" style="1" customWidth="1"/>
    <col min="12" max="14" width="24.6328125" style="1" customWidth="1"/>
    <col min="15" max="15" width="24.6328125" style="1" hidden="1" customWidth="1"/>
    <col min="16" max="17" width="24.6328125" style="1" customWidth="1"/>
    <col min="18" max="16384" width="11.54296875" style="1"/>
  </cols>
  <sheetData>
    <row r="1" spans="1:18" ht="12"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P1" s="1" t="s">
        <v>14</v>
      </c>
      <c r="Q1" s="1" t="s">
        <v>208</v>
      </c>
      <c r="R1" s="1" t="s">
        <v>209</v>
      </c>
    </row>
    <row r="2" spans="1:18" ht="12" customHeight="1" x14ac:dyDescent="0.35">
      <c r="A2" s="2" t="str">
        <f>$E$2</f>
        <v>CC426B</v>
      </c>
      <c r="B2" s="1">
        <v>0</v>
      </c>
      <c r="C2" s="2" t="s">
        <v>16</v>
      </c>
      <c r="E2" s="2" t="s">
        <v>1250</v>
      </c>
      <c r="M2" s="2" t="s">
        <v>17</v>
      </c>
      <c r="P2" s="2" t="s">
        <v>1251</v>
      </c>
      <c r="Q2" s="1" t="str">
        <f>IF($B2=0,$M2,_xlfn.TEXTBEFORE(Q1,"/",$B2,,,Q1)&amp;"/"&amp;$M2)&amp;IF(_xlfn.TEXTAFTER($D2,"..",,,,1)&lt;&gt;"1","[0]","")</f>
        <v>*</v>
      </c>
    </row>
    <row r="3" spans="1:18" ht="12" customHeight="1" outlineLevel="1" x14ac:dyDescent="0.35">
      <c r="A3" s="3" t="str">
        <f>$E$2</f>
        <v>CC426B</v>
      </c>
      <c r="B3" s="4">
        <v>1</v>
      </c>
      <c r="C3" s="3" t="s">
        <v>24</v>
      </c>
      <c r="D3" s="3" t="s">
        <v>20</v>
      </c>
      <c r="E3" s="5" t="s">
        <v>21</v>
      </c>
      <c r="F3" s="4"/>
      <c r="G3" s="3" t="s">
        <v>22</v>
      </c>
      <c r="H3" s="4"/>
      <c r="I3" s="4"/>
      <c r="J3" s="4"/>
      <c r="K3" s="4"/>
      <c r="L3" s="4"/>
      <c r="M3" s="3" t="s">
        <v>21</v>
      </c>
      <c r="N3" s="4"/>
      <c r="O3" s="4"/>
      <c r="P3" s="3" t="s">
        <v>23</v>
      </c>
      <c r="Q3" s="1" t="str">
        <f>IF($B3=0,$M3,_xlfn.TEXTBEFORE(Q2,"/",$B3,,,Q2)&amp;"/"&amp;$M3)&amp;IF(_xlfn.TEXTAFTER($D3,"..",,,,1)&lt;&gt;"1","[0]","")</f>
        <v>*/Extensions[0]</v>
      </c>
    </row>
    <row r="4" spans="1:18" ht="12" customHeight="1" outlineLevel="2" x14ac:dyDescent="0.35">
      <c r="A4" s="2" t="str">
        <f>$E$2</f>
        <v>CC426B</v>
      </c>
      <c r="B4" s="1">
        <v>2</v>
      </c>
      <c r="C4" s="1" t="s">
        <v>19</v>
      </c>
      <c r="D4" s="2" t="s">
        <v>25</v>
      </c>
      <c r="E4" s="6" t="s">
        <v>774</v>
      </c>
      <c r="F4" s="1" t="s">
        <v>775</v>
      </c>
      <c r="G4" s="2" t="s">
        <v>27</v>
      </c>
      <c r="M4" s="2" t="s">
        <v>776</v>
      </c>
      <c r="Q4" s="1" t="str">
        <f>IF($B4=0,$M4,_xlfn.TEXTBEFORE(Q3,"/",$B4,,,Q3)&amp;"/"&amp;$M4)&amp;IF(_xlfn.TEXTAFTER($D4,"..",,,,1)&lt;&gt;"1","[0]","")</f>
        <v>*/Extensions[0]/SequenceNumeric</v>
      </c>
    </row>
    <row r="5" spans="1:18" ht="12" customHeight="1" outlineLevel="2" x14ac:dyDescent="0.35">
      <c r="A5" s="2" t="str">
        <f>$E$2</f>
        <v>CC426B</v>
      </c>
      <c r="B5" s="1">
        <v>2</v>
      </c>
      <c r="C5" s="1" t="s">
        <v>19</v>
      </c>
      <c r="D5" s="2" t="s">
        <v>30</v>
      </c>
      <c r="E5" s="6" t="s">
        <v>777</v>
      </c>
      <c r="F5" s="1" t="s">
        <v>778</v>
      </c>
      <c r="G5" s="2" t="s">
        <v>22</v>
      </c>
      <c r="M5" s="2" t="s">
        <v>779</v>
      </c>
      <c r="Q5" s="1" t="str">
        <f>IF($B5=0,$M5,_xlfn.TEXTBEFORE(Q4,"/",$B5,,,Q4)&amp;"/"&amp;$M5)&amp;IF(_xlfn.TEXTAFTER($D5,"..",,,,1)&lt;&gt;"1","[0]","")</f>
        <v>*/Extensions[0]/ID</v>
      </c>
    </row>
    <row r="6" spans="1:18" ht="12" customHeight="1" outlineLevel="2" x14ac:dyDescent="0.35">
      <c r="A6" s="2" t="str">
        <f>$E$2</f>
        <v>CC426B</v>
      </c>
      <c r="B6" s="1">
        <v>2</v>
      </c>
      <c r="C6" s="1" t="s">
        <v>19</v>
      </c>
      <c r="D6" s="2" t="s">
        <v>25</v>
      </c>
      <c r="E6" s="6" t="s">
        <v>780</v>
      </c>
      <c r="F6" s="1" t="s">
        <v>778</v>
      </c>
      <c r="G6" s="2" t="s">
        <v>27</v>
      </c>
      <c r="M6" s="2" t="s">
        <v>780</v>
      </c>
      <c r="Q6" s="1" t="str">
        <f>IF($B6=0,$M6,_xlfn.TEXTBEFORE(Q5,"/",$B6,,,Q5)&amp;"/"&amp;$M6)&amp;IF(_xlfn.TEXTAFTER($D6,"..",,,,1)&lt;&gt;"1","[0]","")</f>
        <v>*/Extensions[0]/Key</v>
      </c>
    </row>
    <row r="7" spans="1:18" ht="12" customHeight="1" outlineLevel="2" x14ac:dyDescent="0.35">
      <c r="A7" s="2" t="str">
        <f>$E$2</f>
        <v>CC426B</v>
      </c>
      <c r="B7" s="1">
        <v>2</v>
      </c>
      <c r="C7" s="1" t="s">
        <v>19</v>
      </c>
      <c r="D7" s="2" t="s">
        <v>25</v>
      </c>
      <c r="E7" s="6" t="s">
        <v>781</v>
      </c>
      <c r="F7" s="1" t="s">
        <v>778</v>
      </c>
      <c r="G7" s="2" t="s">
        <v>27</v>
      </c>
      <c r="M7" s="2" t="s">
        <v>781</v>
      </c>
      <c r="Q7" s="1" t="str">
        <f>IF($B7=0,$M7,_xlfn.TEXTBEFORE(Q6,"/",$B7,,,Q6)&amp;"/"&amp;$M7)&amp;IF(_xlfn.TEXTAFTER($D7,"..",,,,1)&lt;&gt;"1","[0]","")</f>
        <v>*/Extensions[0]/Value</v>
      </c>
    </row>
    <row r="8" spans="1:18" ht="12" customHeight="1" outlineLevel="2" x14ac:dyDescent="0.35">
      <c r="A8" s="2" t="str">
        <f>$E$2</f>
        <v>CC426B</v>
      </c>
      <c r="B8" s="1">
        <v>2</v>
      </c>
      <c r="C8" s="1" t="s">
        <v>19</v>
      </c>
      <c r="D8" s="2" t="s">
        <v>25</v>
      </c>
      <c r="E8" s="6" t="s">
        <v>782</v>
      </c>
      <c r="F8" s="7" t="s">
        <v>783</v>
      </c>
      <c r="G8" s="2" t="s">
        <v>27</v>
      </c>
      <c r="M8" s="2" t="s">
        <v>784</v>
      </c>
      <c r="Q8" s="1" t="str">
        <f>IF($B8=0,$M8,_xlfn.TEXTBEFORE(Q7,"/",$B8,,,Q7)&amp;"/"&amp;$M8)&amp;IF(_xlfn.TEXTAFTER($D8,"..",,,,1)&lt;&gt;"1","[0]","")</f>
        <v>*/Extensions[0]/DataType</v>
      </c>
    </row>
    <row r="9" spans="1:18" ht="12" customHeight="1" outlineLevel="2" x14ac:dyDescent="0.35">
      <c r="A9" s="21" t="str">
        <f>$E$2</f>
        <v>CC426B</v>
      </c>
      <c r="B9" s="22">
        <v>2</v>
      </c>
      <c r="C9" s="22" t="s">
        <v>19</v>
      </c>
      <c r="D9" s="21" t="s">
        <v>20</v>
      </c>
      <c r="E9" s="23" t="s">
        <v>21</v>
      </c>
      <c r="F9" s="22"/>
      <c r="G9" s="21" t="s">
        <v>22</v>
      </c>
      <c r="H9" s="22"/>
      <c r="I9" s="22"/>
      <c r="J9" s="22"/>
      <c r="K9" s="22"/>
      <c r="L9" s="22"/>
      <c r="M9" s="21" t="s">
        <v>21</v>
      </c>
      <c r="N9" s="22"/>
      <c r="O9" s="22"/>
      <c r="P9" s="21" t="s">
        <v>785</v>
      </c>
      <c r="Q9" s="1" t="str">
        <f>IF($B9=0,$M9,_xlfn.TEXTBEFORE(Q8,"/",$B9,,,Q8)&amp;"/"&amp;$M9)&amp;IF(_xlfn.TEXTAFTER($D9,"..",,,,1)&lt;&gt;"1","[0]","")</f>
        <v>*/Extensions[0]/Extensions[0]</v>
      </c>
    </row>
    <row r="10" spans="1:18" ht="12" customHeight="1" outlineLevel="1" x14ac:dyDescent="0.35">
      <c r="A10" s="3" t="str">
        <f>$E$2</f>
        <v>CC426B</v>
      </c>
      <c r="B10" s="4">
        <v>1</v>
      </c>
      <c r="C10" s="3" t="s">
        <v>24</v>
      </c>
      <c r="D10" s="3" t="s">
        <v>25</v>
      </c>
      <c r="E10" s="5" t="s">
        <v>26</v>
      </c>
      <c r="F10" s="4"/>
      <c r="G10" s="3" t="s">
        <v>27</v>
      </c>
      <c r="H10" s="4"/>
      <c r="I10" s="4"/>
      <c r="J10" s="4"/>
      <c r="K10" s="4"/>
      <c r="L10" s="4"/>
      <c r="M10" s="3" t="s">
        <v>28</v>
      </c>
      <c r="N10" s="4"/>
      <c r="O10" s="4"/>
      <c r="P10" s="3" t="s">
        <v>1252</v>
      </c>
      <c r="Q10" s="1" t="str">
        <f>IF($B10=0,$M10,_xlfn.TEXTBEFORE(Q9,"/",$B10,,,Q9)&amp;"/"&amp;$M10)&amp;IF(_xlfn.TEXTAFTER($D10,"..",,,,1)&lt;&gt;"1","[0]","")</f>
        <v>*/ImportOperation</v>
      </c>
    </row>
    <row r="11" spans="1:18" ht="12" customHeight="1" outlineLevel="2" x14ac:dyDescent="0.35">
      <c r="A11" s="2" t="str">
        <f>$E$2</f>
        <v>CC426B</v>
      </c>
      <c r="B11" s="1">
        <v>2</v>
      </c>
      <c r="C11" s="1" t="s">
        <v>19</v>
      </c>
      <c r="D11" s="2" t="s">
        <v>25</v>
      </c>
      <c r="E11" s="6" t="s">
        <v>31</v>
      </c>
      <c r="F11" s="7" t="s">
        <v>32</v>
      </c>
      <c r="G11" s="2" t="s">
        <v>27</v>
      </c>
      <c r="M11" s="2" t="s">
        <v>33</v>
      </c>
      <c r="P11" s="2" t="s">
        <v>34</v>
      </c>
      <c r="Q11" s="1" t="str">
        <f>IF($B11=0,$M11,_xlfn.TEXTBEFORE(Q10,"/",$B11,,,Q10)&amp;"/"&amp;$M11)&amp;IF(_xlfn.TEXTAFTER($D11,"..",,,,1)&lt;&gt;"1","[0]","")</f>
        <v>*/ImportOperation/LRN</v>
      </c>
    </row>
    <row r="12" spans="1:18" ht="12" customHeight="1" outlineLevel="2" x14ac:dyDescent="0.35">
      <c r="A12" s="2" t="str">
        <f>$E$2</f>
        <v>CC426B</v>
      </c>
      <c r="B12" s="1">
        <v>2</v>
      </c>
      <c r="C12" s="1" t="s">
        <v>19</v>
      </c>
      <c r="D12" s="2" t="s">
        <v>25</v>
      </c>
      <c r="E12" s="6" t="s">
        <v>1253</v>
      </c>
      <c r="F12" s="2" t="s">
        <v>47</v>
      </c>
      <c r="G12" s="2" t="s">
        <v>27</v>
      </c>
      <c r="H12" s="2" t="s">
        <v>786</v>
      </c>
      <c r="M12" s="2" t="s">
        <v>1254</v>
      </c>
      <c r="P12" s="2" t="s">
        <v>188</v>
      </c>
      <c r="Q12" s="1" t="str">
        <f>IF($B12=0,$M12,_xlfn.TEXTBEFORE(Q11,"/",$B12,,,Q11)&amp;"/"&amp;$M12)&amp;IF(_xlfn.TEXTAFTER($D12,"..",,,,1)&lt;&gt;"1","[0]","")</f>
        <v>*/ImportOperation/declarationRegistrationDateAndTime</v>
      </c>
    </row>
    <row r="13" spans="1:18" ht="12" customHeight="1" outlineLevel="2" x14ac:dyDescent="0.35">
      <c r="A13" s="2" t="str">
        <f>$E$2</f>
        <v>CC426B</v>
      </c>
      <c r="B13" s="1">
        <v>2</v>
      </c>
      <c r="C13" s="1" t="s">
        <v>19</v>
      </c>
      <c r="D13" s="2" t="s">
        <v>25</v>
      </c>
      <c r="E13" s="6" t="s">
        <v>1255</v>
      </c>
      <c r="F13" s="2" t="s">
        <v>505</v>
      </c>
      <c r="G13" s="2" t="s">
        <v>27</v>
      </c>
      <c r="M13" s="2" t="s">
        <v>1256</v>
      </c>
      <c r="P13" s="2" t="s">
        <v>507</v>
      </c>
      <c r="Q13" s="1" t="str">
        <f>IF($B13=0,$M13,_xlfn.TEXTBEFORE(Q12,"/",$B13,,,Q12)&amp;"/"&amp;$M13)&amp;IF(_xlfn.TEXTAFTER($D13,"..",,,,1)&lt;&gt;"1","[0]","")</f>
        <v>*/ImportOperation/presentationNotificationDueDate</v>
      </c>
    </row>
    <row r="14" spans="1:18" ht="12" customHeight="1" outlineLevel="1" x14ac:dyDescent="0.35">
      <c r="A14" s="3" t="str">
        <f>$E$2</f>
        <v>CC426B</v>
      </c>
      <c r="B14" s="4">
        <v>1</v>
      </c>
      <c r="C14" s="3" t="s">
        <v>24</v>
      </c>
      <c r="D14" s="3" t="s">
        <v>30</v>
      </c>
      <c r="E14" s="5" t="s">
        <v>76</v>
      </c>
      <c r="F14" s="4"/>
      <c r="G14" s="3" t="s">
        <v>22</v>
      </c>
      <c r="H14" s="4"/>
      <c r="I14" s="4"/>
      <c r="J14" s="4"/>
      <c r="K14" s="4"/>
      <c r="L14" s="4"/>
      <c r="M14" s="3" t="s">
        <v>77</v>
      </c>
      <c r="N14" s="4"/>
      <c r="O14" s="4"/>
      <c r="P14" s="3" t="s">
        <v>78</v>
      </c>
      <c r="Q14" s="1" t="str">
        <f>IF($B14=0,$M14,_xlfn.TEXTBEFORE(Q13,"/",$B14,,,Q13)&amp;"/"&amp;$M14)&amp;IF(_xlfn.TEXTAFTER($D14,"..",,,,1)&lt;&gt;"1","[0]","")</f>
        <v>*/SupervisingCustomsOffice</v>
      </c>
    </row>
    <row r="15" spans="1:18" ht="12" customHeight="1" outlineLevel="2" x14ac:dyDescent="0.35">
      <c r="A15" s="2" t="str">
        <f>$E$2</f>
        <v>CC426B</v>
      </c>
      <c r="B15" s="1">
        <v>2</v>
      </c>
      <c r="C15" s="1" t="s">
        <v>19</v>
      </c>
      <c r="D15" s="2" t="s">
        <v>25</v>
      </c>
      <c r="E15" s="6" t="s">
        <v>63</v>
      </c>
      <c r="F15" s="7" t="s">
        <v>74</v>
      </c>
      <c r="G15" s="2" t="s">
        <v>27</v>
      </c>
      <c r="J15" s="2" t="s">
        <v>399</v>
      </c>
      <c r="M15" s="2" t="s">
        <v>65</v>
      </c>
      <c r="P15" s="2" t="s">
        <v>75</v>
      </c>
      <c r="Q15" s="1" t="str">
        <f>IF($B15=0,$M15,_xlfn.TEXTBEFORE(Q14,"/",$B15,,,Q14)&amp;"/"&amp;$M15)&amp;IF(_xlfn.TEXTAFTER($D15,"..",,,,1)&lt;&gt;"1","[0]","")</f>
        <v>*/SupervisingCustomsOffice/referenceNumber</v>
      </c>
    </row>
    <row r="16" spans="1:18" ht="12" customHeight="1" outlineLevel="1" x14ac:dyDescent="0.35">
      <c r="A16" s="3" t="str">
        <f>$E$2</f>
        <v>CC426B</v>
      </c>
      <c r="B16" s="4">
        <v>1</v>
      </c>
      <c r="C16" s="3" t="s">
        <v>24</v>
      </c>
      <c r="D16" s="3" t="s">
        <v>25</v>
      </c>
      <c r="E16" s="5" t="s">
        <v>101</v>
      </c>
      <c r="F16" s="4"/>
      <c r="G16" s="3" t="s">
        <v>27</v>
      </c>
      <c r="H16" s="4"/>
      <c r="I16" s="4"/>
      <c r="J16" s="4"/>
      <c r="K16" s="4"/>
      <c r="L16" s="4"/>
      <c r="M16" s="3" t="s">
        <v>101</v>
      </c>
      <c r="N16" s="4"/>
      <c r="O16" s="4"/>
      <c r="P16" s="3" t="s">
        <v>102</v>
      </c>
      <c r="Q16" s="1" t="str">
        <f>IF($B16=0,$M16,_xlfn.TEXTBEFORE(Q15,"/",$B16,,,Q15)&amp;"/"&amp;$M16)&amp;IF(_xlfn.TEXTAFTER($D16,"..",,,,1)&lt;&gt;"1","[0]","")</f>
        <v>*/Declarant</v>
      </c>
    </row>
    <row r="17" spans="1:17" ht="12" customHeight="1" outlineLevel="2" x14ac:dyDescent="0.35">
      <c r="A17" s="2" t="str">
        <f>$E$2</f>
        <v>CC426B</v>
      </c>
      <c r="B17" s="1">
        <v>2</v>
      </c>
      <c r="C17" s="1" t="s">
        <v>19</v>
      </c>
      <c r="D17" s="2" t="s">
        <v>25</v>
      </c>
      <c r="E17" s="6" t="s">
        <v>81</v>
      </c>
      <c r="F17" s="7" t="s">
        <v>68</v>
      </c>
      <c r="G17" s="2" t="s">
        <v>27</v>
      </c>
      <c r="H17" s="2" t="s">
        <v>397</v>
      </c>
      <c r="M17" s="2" t="s">
        <v>82</v>
      </c>
      <c r="P17" s="2" t="s">
        <v>70</v>
      </c>
      <c r="Q17" s="1" t="str">
        <f t="shared" ref="Q17:Q34" si="0">IF($B17=0,$M17,_xlfn.TEXTBEFORE(Q16,"/",$B17,,,Q16)&amp;"/"&amp;$M17)&amp;IF(_xlfn.TEXTAFTER($D17,"..",,,,1)&lt;&gt;"1","[0]","")</f>
        <v>*/Declarant/identificationNumber</v>
      </c>
    </row>
    <row r="18" spans="1:17" ht="12" customHeight="1" outlineLevel="2" x14ac:dyDescent="0.35">
      <c r="A18" s="2" t="str">
        <f>$E$2</f>
        <v>CC426B</v>
      </c>
      <c r="B18" s="1">
        <v>2</v>
      </c>
      <c r="C18" s="1" t="s">
        <v>19</v>
      </c>
      <c r="D18" s="2" t="s">
        <v>30</v>
      </c>
      <c r="E18" s="6" t="s">
        <v>4</v>
      </c>
      <c r="F18" s="7" t="s">
        <v>83</v>
      </c>
      <c r="G18" s="2" t="s">
        <v>396</v>
      </c>
      <c r="I18" s="2" t="s">
        <v>401</v>
      </c>
      <c r="M18" s="2" t="s">
        <v>84</v>
      </c>
      <c r="P18" s="2" t="s">
        <v>85</v>
      </c>
      <c r="Q18" s="1" t="str">
        <f t="shared" si="0"/>
        <v>*/Declarant/name</v>
      </c>
    </row>
    <row r="19" spans="1:17" ht="12" customHeight="1" outlineLevel="2" x14ac:dyDescent="0.35">
      <c r="A19" s="3" t="str">
        <f>$E$2</f>
        <v>CC426B</v>
      </c>
      <c r="B19" s="4">
        <v>2</v>
      </c>
      <c r="C19" s="3" t="s">
        <v>24</v>
      </c>
      <c r="D19" s="3" t="s">
        <v>30</v>
      </c>
      <c r="E19" s="8" t="s">
        <v>86</v>
      </c>
      <c r="F19" s="4"/>
      <c r="G19" s="3" t="s">
        <v>396</v>
      </c>
      <c r="H19" s="4"/>
      <c r="I19" s="3" t="s">
        <v>401</v>
      </c>
      <c r="J19" s="4"/>
      <c r="K19" s="4"/>
      <c r="L19" s="4"/>
      <c r="M19" s="3" t="s">
        <v>86</v>
      </c>
      <c r="N19" s="4"/>
      <c r="O19" s="4"/>
      <c r="P19" s="3" t="s">
        <v>87</v>
      </c>
      <c r="Q19" s="1" t="str">
        <f t="shared" si="0"/>
        <v>*/Declarant/Address</v>
      </c>
    </row>
    <row r="20" spans="1:17" ht="12" customHeight="1" outlineLevel="3" x14ac:dyDescent="0.35">
      <c r="A20" s="2" t="str">
        <f>$E$2</f>
        <v>CC426B</v>
      </c>
      <c r="B20" s="1">
        <v>3</v>
      </c>
      <c r="C20" s="1" t="s">
        <v>19</v>
      </c>
      <c r="D20" s="2" t="s">
        <v>25</v>
      </c>
      <c r="E20" s="9" t="s">
        <v>88</v>
      </c>
      <c r="F20" s="7" t="s">
        <v>83</v>
      </c>
      <c r="G20" s="2" t="s">
        <v>27</v>
      </c>
      <c r="M20" s="2" t="s">
        <v>89</v>
      </c>
      <c r="P20" s="2" t="s">
        <v>90</v>
      </c>
      <c r="Q20" s="1" t="str">
        <f t="shared" si="0"/>
        <v>*/Declarant/Address/streetAndNumber</v>
      </c>
    </row>
    <row r="21" spans="1:17" ht="12" customHeight="1" outlineLevel="3" x14ac:dyDescent="0.35">
      <c r="A21" s="2" t="str">
        <f>$E$2</f>
        <v>CC426B</v>
      </c>
      <c r="B21" s="1">
        <v>3</v>
      </c>
      <c r="C21" s="1" t="s">
        <v>19</v>
      </c>
      <c r="D21" s="2" t="s">
        <v>30</v>
      </c>
      <c r="E21" s="9" t="s">
        <v>91</v>
      </c>
      <c r="F21" s="7" t="s">
        <v>92</v>
      </c>
      <c r="G21" s="2" t="s">
        <v>396</v>
      </c>
      <c r="I21" s="2" t="s">
        <v>402</v>
      </c>
      <c r="M21" s="2" t="s">
        <v>93</v>
      </c>
      <c r="P21" s="2" t="s">
        <v>94</v>
      </c>
      <c r="Q21" s="1" t="str">
        <f t="shared" si="0"/>
        <v>*/Declarant/Address/postcode</v>
      </c>
    </row>
    <row r="22" spans="1:17" ht="12" customHeight="1" outlineLevel="3" x14ac:dyDescent="0.35">
      <c r="A22" s="2" t="str">
        <f>$E$2</f>
        <v>CC426B</v>
      </c>
      <c r="B22" s="1">
        <v>3</v>
      </c>
      <c r="C22" s="1" t="s">
        <v>19</v>
      </c>
      <c r="D22" s="2" t="s">
        <v>25</v>
      </c>
      <c r="E22" s="9" t="s">
        <v>95</v>
      </c>
      <c r="F22" s="7" t="s">
        <v>96</v>
      </c>
      <c r="G22" s="2" t="s">
        <v>27</v>
      </c>
      <c r="M22" s="2" t="s">
        <v>97</v>
      </c>
      <c r="P22" s="2" t="s">
        <v>98</v>
      </c>
      <c r="Q22" s="1" t="str">
        <f t="shared" si="0"/>
        <v>*/Declarant/Address/city</v>
      </c>
    </row>
    <row r="23" spans="1:17" ht="12" customHeight="1" outlineLevel="3" x14ac:dyDescent="0.35">
      <c r="A23" s="2" t="str">
        <f>$E$2</f>
        <v>CC426B</v>
      </c>
      <c r="B23" s="1">
        <v>3</v>
      </c>
      <c r="C23" s="1" t="s">
        <v>19</v>
      </c>
      <c r="D23" s="2" t="s">
        <v>25</v>
      </c>
      <c r="E23" s="9" t="s">
        <v>99</v>
      </c>
      <c r="F23" s="7" t="s">
        <v>50</v>
      </c>
      <c r="G23" s="2" t="s">
        <v>27</v>
      </c>
      <c r="J23" s="2" t="s">
        <v>403</v>
      </c>
      <c r="M23" s="2" t="s">
        <v>100</v>
      </c>
      <c r="P23" s="2" t="s">
        <v>52</v>
      </c>
      <c r="Q23" s="1" t="str">
        <f t="shared" si="0"/>
        <v>*/Declarant/Address/country</v>
      </c>
    </row>
    <row r="24" spans="1:17" ht="12" customHeight="1" outlineLevel="2" x14ac:dyDescent="0.35">
      <c r="A24" s="3" t="str">
        <f>$E$2</f>
        <v>CC426B</v>
      </c>
      <c r="B24" s="4">
        <v>2</v>
      </c>
      <c r="C24" s="3" t="s">
        <v>24</v>
      </c>
      <c r="D24" s="3" t="s">
        <v>30</v>
      </c>
      <c r="E24" s="8" t="s">
        <v>105</v>
      </c>
      <c r="F24" s="4"/>
      <c r="G24" s="3" t="s">
        <v>22</v>
      </c>
      <c r="H24" s="3" t="s">
        <v>409</v>
      </c>
      <c r="I24" s="4"/>
      <c r="J24" s="4"/>
      <c r="K24" s="4"/>
      <c r="L24" s="4"/>
      <c r="M24" s="3" t="s">
        <v>106</v>
      </c>
      <c r="N24" s="4"/>
      <c r="O24" s="4"/>
      <c r="P24" s="3" t="s">
        <v>107</v>
      </c>
      <c r="Q24" s="1" t="str">
        <f t="shared" si="0"/>
        <v>*/Declarant/ContactPerson</v>
      </c>
    </row>
    <row r="25" spans="1:17" ht="12" customHeight="1" outlineLevel="3" x14ac:dyDescent="0.35">
      <c r="A25" s="2" t="str">
        <f>$E$2</f>
        <v>CC426B</v>
      </c>
      <c r="B25" s="1">
        <v>3</v>
      </c>
      <c r="C25" s="1" t="s">
        <v>19</v>
      </c>
      <c r="D25" s="2" t="s">
        <v>25</v>
      </c>
      <c r="E25" s="9" t="s">
        <v>4</v>
      </c>
      <c r="F25" s="7" t="s">
        <v>83</v>
      </c>
      <c r="G25" s="2" t="s">
        <v>27</v>
      </c>
      <c r="M25" s="2" t="s">
        <v>84</v>
      </c>
      <c r="P25" s="2" t="s">
        <v>85</v>
      </c>
      <c r="Q25" s="1" t="str">
        <f t="shared" si="0"/>
        <v>*/Declarant/ContactPerson/name</v>
      </c>
    </row>
    <row r="26" spans="1:17" ht="12" customHeight="1" outlineLevel="3" x14ac:dyDescent="0.35">
      <c r="A26" s="2" t="str">
        <f>$E$2</f>
        <v>CC426B</v>
      </c>
      <c r="B26" s="1">
        <v>3</v>
      </c>
      <c r="C26" s="1" t="s">
        <v>19</v>
      </c>
      <c r="D26" s="2" t="s">
        <v>25</v>
      </c>
      <c r="E26" s="9" t="s">
        <v>108</v>
      </c>
      <c r="F26" s="7" t="s">
        <v>96</v>
      </c>
      <c r="G26" s="2" t="s">
        <v>27</v>
      </c>
      <c r="M26" s="2" t="s">
        <v>109</v>
      </c>
      <c r="P26" s="2" t="s">
        <v>110</v>
      </c>
      <c r="Q26" s="1" t="str">
        <f t="shared" si="0"/>
        <v>*/Declarant/ContactPerson/phoneNumber</v>
      </c>
    </row>
    <row r="27" spans="1:17" ht="12" customHeight="1" outlineLevel="3" x14ac:dyDescent="0.35">
      <c r="A27" s="2" t="str">
        <f>$E$2</f>
        <v>CC426B</v>
      </c>
      <c r="B27" s="1">
        <v>3</v>
      </c>
      <c r="C27" s="1" t="s">
        <v>19</v>
      </c>
      <c r="D27" s="2" t="s">
        <v>25</v>
      </c>
      <c r="E27" s="9" t="s">
        <v>111</v>
      </c>
      <c r="F27" s="7" t="s">
        <v>112</v>
      </c>
      <c r="G27" s="2" t="s">
        <v>27</v>
      </c>
      <c r="M27" s="2" t="s">
        <v>113</v>
      </c>
      <c r="P27" s="2" t="s">
        <v>114</v>
      </c>
      <c r="Q27" s="1" t="str">
        <f t="shared" si="0"/>
        <v>*/Declarant/ContactPerson/eMailAddress</v>
      </c>
    </row>
    <row r="28" spans="1:17" ht="12" customHeight="1" outlineLevel="1" x14ac:dyDescent="0.35">
      <c r="A28" s="3" t="str">
        <f>$E$2</f>
        <v>CC426B</v>
      </c>
      <c r="B28" s="4">
        <v>1</v>
      </c>
      <c r="C28" s="3" t="s">
        <v>24</v>
      </c>
      <c r="D28" s="3" t="s">
        <v>30</v>
      </c>
      <c r="E28" s="5" t="s">
        <v>121</v>
      </c>
      <c r="F28" s="4"/>
      <c r="G28" s="3" t="s">
        <v>22</v>
      </c>
      <c r="H28" s="4"/>
      <c r="I28" s="4"/>
      <c r="J28" s="4"/>
      <c r="K28" s="4"/>
      <c r="L28" s="4"/>
      <c r="M28" s="3" t="s">
        <v>121</v>
      </c>
      <c r="N28" s="4"/>
      <c r="O28" s="4"/>
      <c r="P28" s="3" t="s">
        <v>1240</v>
      </c>
      <c r="Q28" s="1" t="str">
        <f t="shared" si="0"/>
        <v>*/Representative</v>
      </c>
    </row>
    <row r="29" spans="1:17" ht="12" customHeight="1" outlineLevel="2" x14ac:dyDescent="0.35">
      <c r="A29" s="2" t="str">
        <f>$E$2</f>
        <v>CC426B</v>
      </c>
      <c r="B29" s="1">
        <v>2</v>
      </c>
      <c r="C29" s="1" t="s">
        <v>19</v>
      </c>
      <c r="D29" s="2" t="s">
        <v>25</v>
      </c>
      <c r="E29" s="6" t="s">
        <v>81</v>
      </c>
      <c r="F29" s="7" t="s">
        <v>68</v>
      </c>
      <c r="G29" s="2" t="s">
        <v>27</v>
      </c>
      <c r="H29" s="2" t="s">
        <v>788</v>
      </c>
      <c r="M29" s="2" t="s">
        <v>82</v>
      </c>
      <c r="P29" s="2" t="s">
        <v>70</v>
      </c>
      <c r="Q29" s="1" t="str">
        <f t="shared" si="0"/>
        <v>*/Representative/identificationNumber</v>
      </c>
    </row>
    <row r="30" spans="1:17" ht="12" customHeight="1" outlineLevel="2" x14ac:dyDescent="0.35">
      <c r="A30" s="2" t="str">
        <f>$E$2</f>
        <v>CC426B</v>
      </c>
      <c r="B30" s="1">
        <v>2</v>
      </c>
      <c r="C30" s="1" t="s">
        <v>19</v>
      </c>
      <c r="D30" s="2" t="s">
        <v>25</v>
      </c>
      <c r="E30" s="6" t="s">
        <v>6</v>
      </c>
      <c r="F30" s="7" t="s">
        <v>123</v>
      </c>
      <c r="G30" s="2" t="s">
        <v>27</v>
      </c>
      <c r="H30" s="2" t="s">
        <v>407</v>
      </c>
      <c r="J30" s="2" t="s">
        <v>408</v>
      </c>
      <c r="M30" s="2" t="s">
        <v>124</v>
      </c>
      <c r="P30" s="2" t="s">
        <v>125</v>
      </c>
      <c r="Q30" s="1" t="str">
        <f t="shared" si="0"/>
        <v>*/Representative/status</v>
      </c>
    </row>
    <row r="31" spans="1:17" ht="12" customHeight="1" outlineLevel="2" x14ac:dyDescent="0.35">
      <c r="A31" s="3" t="str">
        <f>$E$2</f>
        <v>CC426B</v>
      </c>
      <c r="B31" s="4">
        <v>2</v>
      </c>
      <c r="C31" s="3" t="s">
        <v>24</v>
      </c>
      <c r="D31" s="3" t="s">
        <v>30</v>
      </c>
      <c r="E31" s="8" t="s">
        <v>105</v>
      </c>
      <c r="F31" s="4"/>
      <c r="G31" s="3" t="s">
        <v>22</v>
      </c>
      <c r="H31" s="3" t="s">
        <v>409</v>
      </c>
      <c r="I31" s="4"/>
      <c r="J31" s="4"/>
      <c r="K31" s="4"/>
      <c r="L31" s="4"/>
      <c r="M31" s="3" t="s">
        <v>106</v>
      </c>
      <c r="N31" s="4"/>
      <c r="O31" s="4"/>
      <c r="P31" s="3" t="s">
        <v>107</v>
      </c>
      <c r="Q31" s="1" t="str">
        <f t="shared" si="0"/>
        <v>*/Representative/ContactPerson</v>
      </c>
    </row>
    <row r="32" spans="1:17" ht="12" customHeight="1" outlineLevel="3" x14ac:dyDescent="0.35">
      <c r="A32" s="2" t="str">
        <f>$E$2</f>
        <v>CC426B</v>
      </c>
      <c r="B32" s="1">
        <v>3</v>
      </c>
      <c r="C32" s="1" t="s">
        <v>19</v>
      </c>
      <c r="D32" s="2" t="s">
        <v>25</v>
      </c>
      <c r="E32" s="9" t="s">
        <v>4</v>
      </c>
      <c r="F32" s="7" t="s">
        <v>83</v>
      </c>
      <c r="G32" s="2" t="s">
        <v>27</v>
      </c>
      <c r="M32" s="2" t="s">
        <v>84</v>
      </c>
      <c r="P32" s="2" t="s">
        <v>85</v>
      </c>
      <c r="Q32" s="1" t="str">
        <f t="shared" si="0"/>
        <v>*/Representative/ContactPerson/name</v>
      </c>
    </row>
    <row r="33" spans="1:17" ht="12" customHeight="1" outlineLevel="3" x14ac:dyDescent="0.35">
      <c r="A33" s="2" t="str">
        <f>$E$2</f>
        <v>CC426B</v>
      </c>
      <c r="B33" s="1">
        <v>3</v>
      </c>
      <c r="C33" s="1" t="s">
        <v>19</v>
      </c>
      <c r="D33" s="2" t="s">
        <v>25</v>
      </c>
      <c r="E33" s="9" t="s">
        <v>108</v>
      </c>
      <c r="F33" s="7" t="s">
        <v>96</v>
      </c>
      <c r="G33" s="2" t="s">
        <v>27</v>
      </c>
      <c r="M33" s="2" t="s">
        <v>109</v>
      </c>
      <c r="P33" s="2" t="s">
        <v>110</v>
      </c>
      <c r="Q33" s="1" t="str">
        <f t="shared" si="0"/>
        <v>*/Representative/ContactPerson/phoneNumber</v>
      </c>
    </row>
    <row r="34" spans="1:17" ht="12" customHeight="1" outlineLevel="3" x14ac:dyDescent="0.35">
      <c r="A34" s="2" t="str">
        <f>$E$2</f>
        <v>CC426B</v>
      </c>
      <c r="B34" s="1">
        <v>3</v>
      </c>
      <c r="C34" s="1" t="s">
        <v>19</v>
      </c>
      <c r="D34" s="2" t="s">
        <v>25</v>
      </c>
      <c r="E34" s="9" t="s">
        <v>111</v>
      </c>
      <c r="F34" s="7" t="s">
        <v>112</v>
      </c>
      <c r="G34" s="2" t="s">
        <v>27</v>
      </c>
      <c r="M34" s="2" t="s">
        <v>113</v>
      </c>
      <c r="P34" s="2" t="s">
        <v>114</v>
      </c>
      <c r="Q34" s="1" t="str">
        <f t="shared" si="0"/>
        <v>*/Representative/ContactPerson/eMailAddress</v>
      </c>
    </row>
    <row r="35" spans="1:17" ht="12" customHeight="1" x14ac:dyDescent="0.35"/>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1810-BB50-46AC-81F0-B1A1810888A8}">
  <sheetPr codeName="Ark26">
    <tabColor rgb="FFC00000"/>
    <outlinePr summaryBelow="0" summaryRight="0"/>
  </sheetPr>
  <dimension ref="A1:R35"/>
  <sheetViews>
    <sheetView zoomScaleNormal="100" workbookViewId="0">
      <pane xSplit="1" ySplit="1" topLeftCell="D2" activePane="bottomRight" state="frozen"/>
      <selection activeCell="D2" sqref="D2"/>
      <selection pane="topRight" activeCell="D2" sqref="D2"/>
      <selection pane="bottomLeft" activeCell="D2" sqref="D2"/>
      <selection pane="bottomRight" activeCell="D2" sqref="D2"/>
    </sheetView>
  </sheetViews>
  <sheetFormatPr defaultColWidth="11.54296875" defaultRowHeight="12" outlineLevelRow="3" x14ac:dyDescent="0.35"/>
  <cols>
    <col min="1" max="3" width="0" style="1" hidden="1" customWidth="1"/>
    <col min="4" max="4" width="6.6328125" style="1" customWidth="1"/>
    <col min="5" max="5" width="70.6328125" style="1" customWidth="1"/>
    <col min="6" max="11" width="8.6328125" style="1" customWidth="1"/>
    <col min="12" max="14" width="24.6328125" style="1" customWidth="1"/>
    <col min="15" max="15" width="24.6328125" style="1" hidden="1" customWidth="1"/>
    <col min="16" max="17" width="24.6328125" style="1" customWidth="1"/>
    <col min="18" max="16384" width="11.54296875" style="1"/>
  </cols>
  <sheetData>
    <row r="1" spans="1:18" ht="12"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P1" s="1" t="s">
        <v>14</v>
      </c>
      <c r="Q1" s="1" t="s">
        <v>208</v>
      </c>
      <c r="R1" s="1" t="s">
        <v>209</v>
      </c>
    </row>
    <row r="2" spans="1:18" ht="12" customHeight="1" x14ac:dyDescent="0.35">
      <c r="A2" s="2" t="str">
        <f>$E$2</f>
        <v>CC428B</v>
      </c>
      <c r="B2" s="1">
        <v>0</v>
      </c>
      <c r="C2" s="2" t="s">
        <v>16</v>
      </c>
      <c r="E2" s="2" t="s">
        <v>1257</v>
      </c>
      <c r="M2" s="2" t="s">
        <v>17</v>
      </c>
      <c r="P2" s="2" t="s">
        <v>1258</v>
      </c>
      <c r="Q2" s="1" t="str">
        <f>IF($B2=0,$M2,_xlfn.TEXTBEFORE(Q1,"/",$B2,,,Q1)&amp;"/"&amp;$M2)&amp;IF(_xlfn.TEXTAFTER($D2,"..",,,,1)&lt;&gt;"1","[0]","")</f>
        <v>*</v>
      </c>
    </row>
    <row r="3" spans="1:18" ht="12" customHeight="1" outlineLevel="1" x14ac:dyDescent="0.35">
      <c r="A3" s="3" t="str">
        <f>$E$2</f>
        <v>CC428B</v>
      </c>
      <c r="B3" s="4">
        <v>1</v>
      </c>
      <c r="C3" s="3" t="s">
        <v>24</v>
      </c>
      <c r="D3" s="3" t="s">
        <v>20</v>
      </c>
      <c r="E3" s="5" t="s">
        <v>21</v>
      </c>
      <c r="F3" s="4"/>
      <c r="G3" s="3" t="s">
        <v>22</v>
      </c>
      <c r="H3" s="4"/>
      <c r="I3" s="4"/>
      <c r="J3" s="4"/>
      <c r="K3" s="4"/>
      <c r="L3" s="4"/>
      <c r="M3" s="3" t="s">
        <v>21</v>
      </c>
      <c r="N3" s="4"/>
      <c r="O3" s="4"/>
      <c r="P3" s="3" t="s">
        <v>23</v>
      </c>
      <c r="Q3" s="1" t="str">
        <f>IF($B3=0,$M3,_xlfn.TEXTBEFORE(Q2,"/",$B3,,,Q2)&amp;"/"&amp;$M3)&amp;IF(_xlfn.TEXTAFTER($D3,"..",,,,1)&lt;&gt;"1","[0]","")</f>
        <v>*/Extensions[0]</v>
      </c>
    </row>
    <row r="4" spans="1:18" ht="12" customHeight="1" outlineLevel="2" x14ac:dyDescent="0.35">
      <c r="A4" s="2" t="str">
        <f>$E$2</f>
        <v>CC428B</v>
      </c>
      <c r="B4" s="1">
        <v>2</v>
      </c>
      <c r="C4" s="1" t="s">
        <v>19</v>
      </c>
      <c r="D4" s="2" t="s">
        <v>25</v>
      </c>
      <c r="E4" s="6" t="s">
        <v>774</v>
      </c>
      <c r="F4" s="1" t="s">
        <v>775</v>
      </c>
      <c r="G4" s="2" t="s">
        <v>27</v>
      </c>
      <c r="M4" s="2" t="s">
        <v>776</v>
      </c>
      <c r="Q4" s="1" t="str">
        <f>IF($B4=0,$M4,_xlfn.TEXTBEFORE(Q3,"/",$B4,,,Q3)&amp;"/"&amp;$M4)&amp;IF(_xlfn.TEXTAFTER($D4,"..",,,,1)&lt;&gt;"1","[0]","")</f>
        <v>*/Extensions[0]/SequenceNumeric</v>
      </c>
    </row>
    <row r="5" spans="1:18" ht="12" customHeight="1" outlineLevel="2" x14ac:dyDescent="0.35">
      <c r="A5" s="2" t="str">
        <f>$E$2</f>
        <v>CC428B</v>
      </c>
      <c r="B5" s="1">
        <v>2</v>
      </c>
      <c r="C5" s="1" t="s">
        <v>19</v>
      </c>
      <c r="D5" s="2" t="s">
        <v>30</v>
      </c>
      <c r="E5" s="6" t="s">
        <v>777</v>
      </c>
      <c r="F5" s="1" t="s">
        <v>778</v>
      </c>
      <c r="G5" s="2" t="s">
        <v>22</v>
      </c>
      <c r="M5" s="2" t="s">
        <v>779</v>
      </c>
      <c r="Q5" s="1" t="str">
        <f>IF($B5=0,$M5,_xlfn.TEXTBEFORE(Q4,"/",$B5,,,Q4)&amp;"/"&amp;$M5)&amp;IF(_xlfn.TEXTAFTER($D5,"..",,,,1)&lt;&gt;"1","[0]","")</f>
        <v>*/Extensions[0]/ID</v>
      </c>
    </row>
    <row r="6" spans="1:18" ht="12" customHeight="1" outlineLevel="2" x14ac:dyDescent="0.35">
      <c r="A6" s="2" t="str">
        <f>$E$2</f>
        <v>CC428B</v>
      </c>
      <c r="B6" s="1">
        <v>2</v>
      </c>
      <c r="C6" s="1" t="s">
        <v>19</v>
      </c>
      <c r="D6" s="2" t="s">
        <v>25</v>
      </c>
      <c r="E6" s="6" t="s">
        <v>780</v>
      </c>
      <c r="F6" s="1" t="s">
        <v>778</v>
      </c>
      <c r="G6" s="2" t="s">
        <v>27</v>
      </c>
      <c r="M6" s="2" t="s">
        <v>780</v>
      </c>
      <c r="Q6" s="1" t="str">
        <f>IF($B6=0,$M6,_xlfn.TEXTBEFORE(Q5,"/",$B6,,,Q5)&amp;"/"&amp;$M6)&amp;IF(_xlfn.TEXTAFTER($D6,"..",,,,1)&lt;&gt;"1","[0]","")</f>
        <v>*/Extensions[0]/Key</v>
      </c>
    </row>
    <row r="7" spans="1:18" ht="12" customHeight="1" outlineLevel="2" x14ac:dyDescent="0.35">
      <c r="A7" s="2" t="str">
        <f>$E$2</f>
        <v>CC428B</v>
      </c>
      <c r="B7" s="1">
        <v>2</v>
      </c>
      <c r="C7" s="1" t="s">
        <v>19</v>
      </c>
      <c r="D7" s="2" t="s">
        <v>25</v>
      </c>
      <c r="E7" s="6" t="s">
        <v>781</v>
      </c>
      <c r="F7" s="1" t="s">
        <v>778</v>
      </c>
      <c r="G7" s="2" t="s">
        <v>27</v>
      </c>
      <c r="M7" s="2" t="s">
        <v>781</v>
      </c>
      <c r="Q7" s="1" t="str">
        <f>IF($B7=0,$M7,_xlfn.TEXTBEFORE(Q6,"/",$B7,,,Q6)&amp;"/"&amp;$M7)&amp;IF(_xlfn.TEXTAFTER($D7,"..",,,,1)&lt;&gt;"1","[0]","")</f>
        <v>*/Extensions[0]/Value</v>
      </c>
    </row>
    <row r="8" spans="1:18" ht="12" customHeight="1" outlineLevel="2" x14ac:dyDescent="0.35">
      <c r="A8" s="2" t="str">
        <f>$E$2</f>
        <v>CC428B</v>
      </c>
      <c r="B8" s="1">
        <v>2</v>
      </c>
      <c r="C8" s="1" t="s">
        <v>19</v>
      </c>
      <c r="D8" s="2" t="s">
        <v>25</v>
      </c>
      <c r="E8" s="6" t="s">
        <v>782</v>
      </c>
      <c r="F8" s="7" t="s">
        <v>783</v>
      </c>
      <c r="G8" s="2" t="s">
        <v>27</v>
      </c>
      <c r="M8" s="2" t="s">
        <v>784</v>
      </c>
      <c r="Q8" s="1" t="str">
        <f>IF($B8=0,$M8,_xlfn.TEXTBEFORE(Q7,"/",$B8,,,Q7)&amp;"/"&amp;$M8)&amp;IF(_xlfn.TEXTAFTER($D8,"..",,,,1)&lt;&gt;"1","[0]","")</f>
        <v>*/Extensions[0]/DataType</v>
      </c>
    </row>
    <row r="9" spans="1:18" ht="12" customHeight="1" outlineLevel="2" x14ac:dyDescent="0.35">
      <c r="A9" s="21" t="str">
        <f>$E$2</f>
        <v>CC428B</v>
      </c>
      <c r="B9" s="22">
        <v>2</v>
      </c>
      <c r="C9" s="22" t="s">
        <v>19</v>
      </c>
      <c r="D9" s="21" t="s">
        <v>20</v>
      </c>
      <c r="E9" s="23" t="s">
        <v>21</v>
      </c>
      <c r="F9" s="22"/>
      <c r="G9" s="21" t="s">
        <v>22</v>
      </c>
      <c r="H9" s="22"/>
      <c r="I9" s="22"/>
      <c r="J9" s="22"/>
      <c r="K9" s="22"/>
      <c r="L9" s="22"/>
      <c r="M9" s="21" t="s">
        <v>21</v>
      </c>
      <c r="N9" s="22"/>
      <c r="O9" s="22"/>
      <c r="P9" s="21" t="s">
        <v>785</v>
      </c>
      <c r="Q9" s="1" t="str">
        <f>IF($B9=0,$M9,_xlfn.TEXTBEFORE(Q8,"/",$B9,,,Q8)&amp;"/"&amp;$M9)&amp;IF(_xlfn.TEXTAFTER($D9,"..",,,,1)&lt;&gt;"1","[0]","")</f>
        <v>*/Extensions[0]/Extensions[0]</v>
      </c>
    </row>
    <row r="10" spans="1:18" ht="12" customHeight="1" outlineLevel="1" x14ac:dyDescent="0.35">
      <c r="A10" s="3" t="str">
        <f>$E$2</f>
        <v>CC428B</v>
      </c>
      <c r="B10" s="4">
        <v>1</v>
      </c>
      <c r="C10" s="3" t="s">
        <v>24</v>
      </c>
      <c r="D10" s="3" t="s">
        <v>25</v>
      </c>
      <c r="E10" s="5" t="s">
        <v>26</v>
      </c>
      <c r="F10" s="4"/>
      <c r="G10" s="3" t="s">
        <v>27</v>
      </c>
      <c r="H10" s="4"/>
      <c r="I10" s="4"/>
      <c r="J10" s="4"/>
      <c r="K10" s="4"/>
      <c r="L10" s="4"/>
      <c r="M10" s="3" t="s">
        <v>28</v>
      </c>
      <c r="N10" s="4"/>
      <c r="O10" s="4"/>
      <c r="P10" s="3" t="s">
        <v>1259</v>
      </c>
      <c r="Q10" s="1" t="str">
        <f>IF($B10=0,$M10,_xlfn.TEXTBEFORE(Q9,"/",$B10,,,Q9)&amp;"/"&amp;$M10)&amp;IF(_xlfn.TEXTAFTER($D10,"..",,,,1)&lt;&gt;"1","[0]","")</f>
        <v>*/ImportOperation</v>
      </c>
    </row>
    <row r="11" spans="1:18" ht="12" customHeight="1" outlineLevel="2" x14ac:dyDescent="0.35">
      <c r="A11" s="2" t="str">
        <f>$E$2</f>
        <v>CC428B</v>
      </c>
      <c r="B11" s="1">
        <v>2</v>
      </c>
      <c r="C11" s="1" t="s">
        <v>19</v>
      </c>
      <c r="D11" s="2" t="s">
        <v>30</v>
      </c>
      <c r="E11" s="6" t="s">
        <v>31</v>
      </c>
      <c r="F11" s="7" t="s">
        <v>32</v>
      </c>
      <c r="G11" s="2" t="s">
        <v>22</v>
      </c>
      <c r="M11" s="2" t="s">
        <v>33</v>
      </c>
      <c r="P11" s="2" t="s">
        <v>34</v>
      </c>
      <c r="Q11" s="1" t="str">
        <f>IF($B11=0,$M11,_xlfn.TEXTBEFORE(Q10,"/",$B11,,,Q10)&amp;"/"&amp;$M11)&amp;IF(_xlfn.TEXTAFTER($D11,"..",,,,1)&lt;&gt;"1","[0]","")</f>
        <v>*/ImportOperation/LRN</v>
      </c>
    </row>
    <row r="12" spans="1:18" ht="12" customHeight="1" outlineLevel="2" x14ac:dyDescent="0.35">
      <c r="A12" s="2" t="str">
        <f>$E$2</f>
        <v>CC428B</v>
      </c>
      <c r="B12" s="1">
        <v>2</v>
      </c>
      <c r="C12" s="1" t="s">
        <v>19</v>
      </c>
      <c r="D12" s="2" t="s">
        <v>25</v>
      </c>
      <c r="E12" s="6" t="s">
        <v>35</v>
      </c>
      <c r="F12" s="7" t="s">
        <v>36</v>
      </c>
      <c r="G12" s="2" t="s">
        <v>27</v>
      </c>
      <c r="M12" s="2" t="s">
        <v>37</v>
      </c>
      <c r="P12" s="2" t="s">
        <v>38</v>
      </c>
      <c r="Q12" s="1" t="str">
        <f>IF($B12=0,$M12,_xlfn.TEXTBEFORE(Q11,"/",$B12,,,Q11)&amp;"/"&amp;$M12)&amp;IF(_xlfn.TEXTAFTER($D12,"..",,,,1)&lt;&gt;"1","[0]","")</f>
        <v>*/ImportOperation/MRN</v>
      </c>
    </row>
    <row r="13" spans="1:18" ht="12" customHeight="1" outlineLevel="2" x14ac:dyDescent="0.35">
      <c r="A13" s="2" t="str">
        <f>$E$2</f>
        <v>CC428B</v>
      </c>
      <c r="B13" s="1">
        <v>2</v>
      </c>
      <c r="C13" s="1" t="s">
        <v>19</v>
      </c>
      <c r="D13" s="2" t="s">
        <v>25</v>
      </c>
      <c r="E13" s="6" t="s">
        <v>1260</v>
      </c>
      <c r="F13" s="2" t="s">
        <v>47</v>
      </c>
      <c r="G13" s="2" t="s">
        <v>27</v>
      </c>
      <c r="H13" s="2" t="s">
        <v>786</v>
      </c>
      <c r="M13" s="2" t="s">
        <v>1261</v>
      </c>
      <c r="P13" s="2" t="s">
        <v>188</v>
      </c>
      <c r="Q13" s="1" t="str">
        <f>IF($B13=0,$M13,_xlfn.TEXTBEFORE(Q12,"/",$B13,,,Q12)&amp;"/"&amp;$M13)&amp;IF(_xlfn.TEXTAFTER($D13,"..",,,,1)&lt;&gt;"1","[0]","")</f>
        <v>*/ImportOperation/declarationAcceptanceDateAndTime</v>
      </c>
    </row>
    <row r="14" spans="1:18" ht="12" customHeight="1" outlineLevel="1" x14ac:dyDescent="0.35">
      <c r="A14" s="3" t="str">
        <f>$E$2</f>
        <v>CC428B</v>
      </c>
      <c r="B14" s="4">
        <v>1</v>
      </c>
      <c r="C14" s="3" t="s">
        <v>24</v>
      </c>
      <c r="D14" s="3" t="s">
        <v>30</v>
      </c>
      <c r="E14" s="5" t="s">
        <v>76</v>
      </c>
      <c r="F14" s="4"/>
      <c r="G14" s="3" t="s">
        <v>22</v>
      </c>
      <c r="H14" s="4"/>
      <c r="I14" s="4"/>
      <c r="J14" s="4"/>
      <c r="K14" s="4"/>
      <c r="L14" s="4"/>
      <c r="M14" s="3" t="s">
        <v>77</v>
      </c>
      <c r="N14" s="4"/>
      <c r="O14" s="4"/>
      <c r="P14" s="3" t="s">
        <v>78</v>
      </c>
      <c r="Q14" s="1" t="str">
        <f>IF($B14=0,$M14,_xlfn.TEXTBEFORE(Q13,"/",$B14,,,Q13)&amp;"/"&amp;$M14)&amp;IF(_xlfn.TEXTAFTER($D14,"..",,,,1)&lt;&gt;"1","[0]","")</f>
        <v>*/SupervisingCustomsOffice</v>
      </c>
    </row>
    <row r="15" spans="1:18" ht="12" customHeight="1" outlineLevel="2" x14ac:dyDescent="0.35">
      <c r="A15" s="2" t="str">
        <f>$E$2</f>
        <v>CC428B</v>
      </c>
      <c r="B15" s="1">
        <v>2</v>
      </c>
      <c r="C15" s="1" t="s">
        <v>19</v>
      </c>
      <c r="D15" s="2" t="s">
        <v>25</v>
      </c>
      <c r="E15" s="6" t="s">
        <v>63</v>
      </c>
      <c r="F15" s="7" t="s">
        <v>74</v>
      </c>
      <c r="G15" s="2" t="s">
        <v>27</v>
      </c>
      <c r="J15" s="2" t="s">
        <v>399</v>
      </c>
      <c r="M15" s="2" t="s">
        <v>65</v>
      </c>
      <c r="P15" s="2" t="s">
        <v>75</v>
      </c>
      <c r="Q15" s="1" t="str">
        <f>IF($B15=0,$M15,_xlfn.TEXTBEFORE(Q14,"/",$B15,,,Q14)&amp;"/"&amp;$M15)&amp;IF(_xlfn.TEXTAFTER($D15,"..",,,,1)&lt;&gt;"1","[0]","")</f>
        <v>*/SupervisingCustomsOffice/referenceNumber</v>
      </c>
    </row>
    <row r="16" spans="1:18" ht="12" customHeight="1" outlineLevel="1" x14ac:dyDescent="0.35">
      <c r="A16" s="3" t="str">
        <f>$E$2</f>
        <v>CC428B</v>
      </c>
      <c r="B16" s="4">
        <v>1</v>
      </c>
      <c r="C16" s="3" t="s">
        <v>24</v>
      </c>
      <c r="D16" s="3" t="s">
        <v>25</v>
      </c>
      <c r="E16" s="5" t="s">
        <v>101</v>
      </c>
      <c r="F16" s="4"/>
      <c r="G16" s="3" t="s">
        <v>27</v>
      </c>
      <c r="H16" s="4"/>
      <c r="I16" s="4"/>
      <c r="J16" s="4"/>
      <c r="K16" s="4"/>
      <c r="L16" s="4"/>
      <c r="M16" s="3" t="s">
        <v>101</v>
      </c>
      <c r="N16" s="4"/>
      <c r="O16" s="4"/>
      <c r="P16" s="3" t="s">
        <v>102</v>
      </c>
      <c r="Q16" s="1" t="str">
        <f>IF($B16=0,$M16,_xlfn.TEXTBEFORE(Q15,"/",$B16,,,Q15)&amp;"/"&amp;$M16)&amp;IF(_xlfn.TEXTAFTER($D16,"..",,,,1)&lt;&gt;"1","[0]","")</f>
        <v>*/Declarant</v>
      </c>
    </row>
    <row r="17" spans="1:17" ht="12" customHeight="1" outlineLevel="2" x14ac:dyDescent="0.35">
      <c r="A17" s="2" t="str">
        <f>$E$2</f>
        <v>CC428B</v>
      </c>
      <c r="B17" s="1">
        <v>2</v>
      </c>
      <c r="C17" s="1" t="s">
        <v>19</v>
      </c>
      <c r="D17" s="2" t="s">
        <v>25</v>
      </c>
      <c r="E17" s="6" t="s">
        <v>81</v>
      </c>
      <c r="F17" s="7" t="s">
        <v>68</v>
      </c>
      <c r="G17" s="2" t="s">
        <v>27</v>
      </c>
      <c r="H17" s="2" t="s">
        <v>397</v>
      </c>
      <c r="M17" s="2" t="s">
        <v>82</v>
      </c>
      <c r="P17" s="2" t="s">
        <v>70</v>
      </c>
      <c r="Q17" s="1" t="str">
        <f t="shared" ref="Q17:Q34" si="0">IF($B17=0,$M17,_xlfn.TEXTBEFORE(Q16,"/",$B17,,,Q16)&amp;"/"&amp;$M17)&amp;IF(_xlfn.TEXTAFTER($D17,"..",,,,1)&lt;&gt;"1","[0]","")</f>
        <v>*/Declarant/identificationNumber</v>
      </c>
    </row>
    <row r="18" spans="1:17" ht="12" customHeight="1" outlineLevel="2" x14ac:dyDescent="0.35">
      <c r="A18" s="2" t="str">
        <f>$E$2</f>
        <v>CC428B</v>
      </c>
      <c r="B18" s="1">
        <v>2</v>
      </c>
      <c r="C18" s="1" t="s">
        <v>19</v>
      </c>
      <c r="D18" s="2" t="s">
        <v>30</v>
      </c>
      <c r="E18" s="6" t="s">
        <v>4</v>
      </c>
      <c r="F18" s="7" t="s">
        <v>83</v>
      </c>
      <c r="G18" s="2" t="s">
        <v>396</v>
      </c>
      <c r="I18" s="2" t="s">
        <v>401</v>
      </c>
      <c r="M18" s="2" t="s">
        <v>84</v>
      </c>
      <c r="P18" s="2" t="s">
        <v>85</v>
      </c>
      <c r="Q18" s="1" t="str">
        <f t="shared" si="0"/>
        <v>*/Declarant/name</v>
      </c>
    </row>
    <row r="19" spans="1:17" ht="12" customHeight="1" outlineLevel="2" x14ac:dyDescent="0.35">
      <c r="A19" s="3" t="str">
        <f>$E$2</f>
        <v>CC428B</v>
      </c>
      <c r="B19" s="4">
        <v>2</v>
      </c>
      <c r="C19" s="3" t="s">
        <v>24</v>
      </c>
      <c r="D19" s="3" t="s">
        <v>30</v>
      </c>
      <c r="E19" s="8" t="s">
        <v>86</v>
      </c>
      <c r="F19" s="4"/>
      <c r="G19" s="3" t="s">
        <v>396</v>
      </c>
      <c r="H19" s="4"/>
      <c r="I19" s="3" t="s">
        <v>401</v>
      </c>
      <c r="J19" s="4"/>
      <c r="K19" s="4"/>
      <c r="L19" s="4"/>
      <c r="M19" s="3" t="s">
        <v>86</v>
      </c>
      <c r="N19" s="4"/>
      <c r="O19" s="4"/>
      <c r="P19" s="3" t="s">
        <v>87</v>
      </c>
      <c r="Q19" s="1" t="str">
        <f t="shared" si="0"/>
        <v>*/Declarant/Address</v>
      </c>
    </row>
    <row r="20" spans="1:17" ht="12" customHeight="1" outlineLevel="3" x14ac:dyDescent="0.35">
      <c r="A20" s="2" t="str">
        <f>$E$2</f>
        <v>CC428B</v>
      </c>
      <c r="B20" s="1">
        <v>3</v>
      </c>
      <c r="C20" s="1" t="s">
        <v>19</v>
      </c>
      <c r="D20" s="2" t="s">
        <v>25</v>
      </c>
      <c r="E20" s="9" t="s">
        <v>88</v>
      </c>
      <c r="F20" s="7" t="s">
        <v>83</v>
      </c>
      <c r="G20" s="2" t="s">
        <v>27</v>
      </c>
      <c r="M20" s="2" t="s">
        <v>89</v>
      </c>
      <c r="P20" s="2" t="s">
        <v>90</v>
      </c>
      <c r="Q20" s="1" t="str">
        <f t="shared" si="0"/>
        <v>*/Declarant/Address/streetAndNumber</v>
      </c>
    </row>
    <row r="21" spans="1:17" ht="12" customHeight="1" outlineLevel="3" x14ac:dyDescent="0.35">
      <c r="A21" s="2" t="str">
        <f>$E$2</f>
        <v>CC428B</v>
      </c>
      <c r="B21" s="1">
        <v>3</v>
      </c>
      <c r="C21" s="1" t="s">
        <v>19</v>
      </c>
      <c r="D21" s="2" t="s">
        <v>30</v>
      </c>
      <c r="E21" s="9" t="s">
        <v>91</v>
      </c>
      <c r="F21" s="7" t="s">
        <v>92</v>
      </c>
      <c r="G21" s="2" t="s">
        <v>396</v>
      </c>
      <c r="I21" s="2" t="s">
        <v>402</v>
      </c>
      <c r="M21" s="2" t="s">
        <v>93</v>
      </c>
      <c r="P21" s="2" t="s">
        <v>94</v>
      </c>
      <c r="Q21" s="1" t="str">
        <f t="shared" si="0"/>
        <v>*/Declarant/Address/postcode</v>
      </c>
    </row>
    <row r="22" spans="1:17" ht="12" customHeight="1" outlineLevel="3" x14ac:dyDescent="0.35">
      <c r="A22" s="2" t="str">
        <f>$E$2</f>
        <v>CC428B</v>
      </c>
      <c r="B22" s="1">
        <v>3</v>
      </c>
      <c r="C22" s="1" t="s">
        <v>19</v>
      </c>
      <c r="D22" s="2" t="s">
        <v>25</v>
      </c>
      <c r="E22" s="9" t="s">
        <v>95</v>
      </c>
      <c r="F22" s="7" t="s">
        <v>96</v>
      </c>
      <c r="G22" s="2" t="s">
        <v>27</v>
      </c>
      <c r="M22" s="2" t="s">
        <v>97</v>
      </c>
      <c r="P22" s="2" t="s">
        <v>98</v>
      </c>
      <c r="Q22" s="1" t="str">
        <f t="shared" si="0"/>
        <v>*/Declarant/Address/city</v>
      </c>
    </row>
    <row r="23" spans="1:17" ht="12" customHeight="1" outlineLevel="3" x14ac:dyDescent="0.35">
      <c r="A23" s="2" t="str">
        <f>$E$2</f>
        <v>CC428B</v>
      </c>
      <c r="B23" s="1">
        <v>3</v>
      </c>
      <c r="C23" s="1" t="s">
        <v>19</v>
      </c>
      <c r="D23" s="2" t="s">
        <v>25</v>
      </c>
      <c r="E23" s="9" t="s">
        <v>99</v>
      </c>
      <c r="F23" s="7" t="s">
        <v>50</v>
      </c>
      <c r="G23" s="2" t="s">
        <v>27</v>
      </c>
      <c r="J23" s="2" t="s">
        <v>403</v>
      </c>
      <c r="M23" s="2" t="s">
        <v>100</v>
      </c>
      <c r="P23" s="2" t="s">
        <v>52</v>
      </c>
      <c r="Q23" s="1" t="str">
        <f t="shared" si="0"/>
        <v>*/Declarant/Address/country</v>
      </c>
    </row>
    <row r="24" spans="1:17" ht="12" customHeight="1" outlineLevel="2" x14ac:dyDescent="0.35">
      <c r="A24" s="3" t="str">
        <f>$E$2</f>
        <v>CC428B</v>
      </c>
      <c r="B24" s="4">
        <v>2</v>
      </c>
      <c r="C24" s="3" t="s">
        <v>24</v>
      </c>
      <c r="D24" s="3" t="s">
        <v>30</v>
      </c>
      <c r="E24" s="8" t="s">
        <v>105</v>
      </c>
      <c r="F24" s="4"/>
      <c r="G24" s="3" t="s">
        <v>22</v>
      </c>
      <c r="H24" s="3" t="s">
        <v>409</v>
      </c>
      <c r="I24" s="4"/>
      <c r="J24" s="4"/>
      <c r="K24" s="4"/>
      <c r="L24" s="4"/>
      <c r="M24" s="3" t="s">
        <v>106</v>
      </c>
      <c r="N24" s="4"/>
      <c r="O24" s="4"/>
      <c r="P24" s="3" t="s">
        <v>107</v>
      </c>
      <c r="Q24" s="1" t="str">
        <f t="shared" si="0"/>
        <v>*/Declarant/ContactPerson</v>
      </c>
    </row>
    <row r="25" spans="1:17" ht="12" customHeight="1" outlineLevel="3" x14ac:dyDescent="0.35">
      <c r="A25" s="2" t="str">
        <f>$E$2</f>
        <v>CC428B</v>
      </c>
      <c r="B25" s="1">
        <v>3</v>
      </c>
      <c r="C25" s="1" t="s">
        <v>19</v>
      </c>
      <c r="D25" s="2" t="s">
        <v>25</v>
      </c>
      <c r="E25" s="9" t="s">
        <v>4</v>
      </c>
      <c r="F25" s="7" t="s">
        <v>83</v>
      </c>
      <c r="G25" s="2" t="s">
        <v>27</v>
      </c>
      <c r="M25" s="2" t="s">
        <v>84</v>
      </c>
      <c r="P25" s="2" t="s">
        <v>85</v>
      </c>
      <c r="Q25" s="1" t="str">
        <f t="shared" si="0"/>
        <v>*/Declarant/ContactPerson/name</v>
      </c>
    </row>
    <row r="26" spans="1:17" ht="12" customHeight="1" outlineLevel="3" x14ac:dyDescent="0.35">
      <c r="A26" s="2" t="str">
        <f>$E$2</f>
        <v>CC428B</v>
      </c>
      <c r="B26" s="1">
        <v>3</v>
      </c>
      <c r="C26" s="1" t="s">
        <v>19</v>
      </c>
      <c r="D26" s="2" t="s">
        <v>25</v>
      </c>
      <c r="E26" s="9" t="s">
        <v>108</v>
      </c>
      <c r="F26" s="7" t="s">
        <v>96</v>
      </c>
      <c r="G26" s="2" t="s">
        <v>27</v>
      </c>
      <c r="M26" s="2" t="s">
        <v>109</v>
      </c>
      <c r="P26" s="2" t="s">
        <v>110</v>
      </c>
      <c r="Q26" s="1" t="str">
        <f t="shared" si="0"/>
        <v>*/Declarant/ContactPerson/phoneNumber</v>
      </c>
    </row>
    <row r="27" spans="1:17" ht="12" customHeight="1" outlineLevel="3" x14ac:dyDescent="0.35">
      <c r="A27" s="2" t="str">
        <f>$E$2</f>
        <v>CC428B</v>
      </c>
      <c r="B27" s="1">
        <v>3</v>
      </c>
      <c r="C27" s="1" t="s">
        <v>19</v>
      </c>
      <c r="D27" s="2" t="s">
        <v>25</v>
      </c>
      <c r="E27" s="9" t="s">
        <v>111</v>
      </c>
      <c r="F27" s="7" t="s">
        <v>112</v>
      </c>
      <c r="G27" s="2" t="s">
        <v>27</v>
      </c>
      <c r="M27" s="2" t="s">
        <v>113</v>
      </c>
      <c r="P27" s="2" t="s">
        <v>114</v>
      </c>
      <c r="Q27" s="1" t="str">
        <f t="shared" si="0"/>
        <v>*/Declarant/ContactPerson/eMailAddress</v>
      </c>
    </row>
    <row r="28" spans="1:17" ht="12" customHeight="1" outlineLevel="1" x14ac:dyDescent="0.35">
      <c r="A28" s="3" t="str">
        <f>$E$2</f>
        <v>CC428B</v>
      </c>
      <c r="B28" s="4">
        <v>1</v>
      </c>
      <c r="C28" s="3" t="s">
        <v>24</v>
      </c>
      <c r="D28" s="3" t="s">
        <v>30</v>
      </c>
      <c r="E28" s="5" t="s">
        <v>121</v>
      </c>
      <c r="F28" s="4"/>
      <c r="G28" s="3" t="s">
        <v>22</v>
      </c>
      <c r="H28" s="4"/>
      <c r="I28" s="4"/>
      <c r="J28" s="4"/>
      <c r="K28" s="4"/>
      <c r="L28" s="4"/>
      <c r="M28" s="3" t="s">
        <v>121</v>
      </c>
      <c r="N28" s="4"/>
      <c r="O28" s="4"/>
      <c r="P28" s="3" t="s">
        <v>1240</v>
      </c>
      <c r="Q28" s="1" t="str">
        <f t="shared" si="0"/>
        <v>*/Representative</v>
      </c>
    </row>
    <row r="29" spans="1:17" ht="12" customHeight="1" outlineLevel="2" x14ac:dyDescent="0.35">
      <c r="A29" s="2" t="str">
        <f>$E$2</f>
        <v>CC428B</v>
      </c>
      <c r="B29" s="1">
        <v>2</v>
      </c>
      <c r="C29" s="1" t="s">
        <v>19</v>
      </c>
      <c r="D29" s="2" t="s">
        <v>25</v>
      </c>
      <c r="E29" s="6" t="s">
        <v>81</v>
      </c>
      <c r="F29" s="7" t="s">
        <v>68</v>
      </c>
      <c r="G29" s="2" t="s">
        <v>27</v>
      </c>
      <c r="H29" s="2" t="s">
        <v>788</v>
      </c>
      <c r="M29" s="2" t="s">
        <v>82</v>
      </c>
      <c r="P29" s="2" t="s">
        <v>70</v>
      </c>
      <c r="Q29" s="1" t="str">
        <f t="shared" si="0"/>
        <v>*/Representative/identificationNumber</v>
      </c>
    </row>
    <row r="30" spans="1:17" ht="12" customHeight="1" outlineLevel="2" x14ac:dyDescent="0.35">
      <c r="A30" s="2" t="str">
        <f>$E$2</f>
        <v>CC428B</v>
      </c>
      <c r="B30" s="1">
        <v>2</v>
      </c>
      <c r="C30" s="1" t="s">
        <v>19</v>
      </c>
      <c r="D30" s="2" t="s">
        <v>25</v>
      </c>
      <c r="E30" s="6" t="s">
        <v>6</v>
      </c>
      <c r="F30" s="7" t="s">
        <v>123</v>
      </c>
      <c r="G30" s="2" t="s">
        <v>27</v>
      </c>
      <c r="H30" s="2" t="s">
        <v>407</v>
      </c>
      <c r="J30" s="2" t="s">
        <v>408</v>
      </c>
      <c r="M30" s="2" t="s">
        <v>124</v>
      </c>
      <c r="P30" s="2" t="s">
        <v>125</v>
      </c>
      <c r="Q30" s="1" t="str">
        <f t="shared" si="0"/>
        <v>*/Representative/status</v>
      </c>
    </row>
    <row r="31" spans="1:17" ht="12" customHeight="1" outlineLevel="2" x14ac:dyDescent="0.35">
      <c r="A31" s="3" t="str">
        <f>$E$2</f>
        <v>CC428B</v>
      </c>
      <c r="B31" s="4">
        <v>2</v>
      </c>
      <c r="C31" s="3" t="s">
        <v>24</v>
      </c>
      <c r="D31" s="3" t="s">
        <v>30</v>
      </c>
      <c r="E31" s="8" t="s">
        <v>105</v>
      </c>
      <c r="F31" s="4"/>
      <c r="G31" s="3" t="s">
        <v>22</v>
      </c>
      <c r="H31" s="3" t="s">
        <v>409</v>
      </c>
      <c r="I31" s="4"/>
      <c r="J31" s="4"/>
      <c r="K31" s="4"/>
      <c r="L31" s="4"/>
      <c r="M31" s="3" t="s">
        <v>106</v>
      </c>
      <c r="N31" s="4"/>
      <c r="O31" s="4"/>
      <c r="P31" s="3" t="s">
        <v>107</v>
      </c>
      <c r="Q31" s="1" t="str">
        <f t="shared" si="0"/>
        <v>*/Representative/ContactPerson</v>
      </c>
    </row>
    <row r="32" spans="1:17" ht="12" customHeight="1" outlineLevel="3" x14ac:dyDescent="0.35">
      <c r="A32" s="2" t="str">
        <f>$E$2</f>
        <v>CC428B</v>
      </c>
      <c r="B32" s="1">
        <v>3</v>
      </c>
      <c r="C32" s="1" t="s">
        <v>19</v>
      </c>
      <c r="D32" s="2" t="s">
        <v>25</v>
      </c>
      <c r="E32" s="9" t="s">
        <v>4</v>
      </c>
      <c r="F32" s="7" t="s">
        <v>83</v>
      </c>
      <c r="G32" s="2" t="s">
        <v>27</v>
      </c>
      <c r="M32" s="2" t="s">
        <v>84</v>
      </c>
      <c r="P32" s="2" t="s">
        <v>85</v>
      </c>
      <c r="Q32" s="1" t="str">
        <f t="shared" si="0"/>
        <v>*/Representative/ContactPerson/name</v>
      </c>
    </row>
    <row r="33" spans="1:17" ht="12" customHeight="1" outlineLevel="3" x14ac:dyDescent="0.35">
      <c r="A33" s="2" t="str">
        <f>$E$2</f>
        <v>CC428B</v>
      </c>
      <c r="B33" s="1">
        <v>3</v>
      </c>
      <c r="C33" s="1" t="s">
        <v>19</v>
      </c>
      <c r="D33" s="2" t="s">
        <v>25</v>
      </c>
      <c r="E33" s="9" t="s">
        <v>108</v>
      </c>
      <c r="F33" s="7" t="s">
        <v>96</v>
      </c>
      <c r="G33" s="2" t="s">
        <v>27</v>
      </c>
      <c r="M33" s="2" t="s">
        <v>109</v>
      </c>
      <c r="P33" s="2" t="s">
        <v>110</v>
      </c>
      <c r="Q33" s="1" t="str">
        <f t="shared" si="0"/>
        <v>*/Representative/ContactPerson/phoneNumber</v>
      </c>
    </row>
    <row r="34" spans="1:17" ht="12" customHeight="1" outlineLevel="3" x14ac:dyDescent="0.35">
      <c r="A34" s="2" t="str">
        <f>$E$2</f>
        <v>CC428B</v>
      </c>
      <c r="B34" s="1">
        <v>3</v>
      </c>
      <c r="C34" s="1" t="s">
        <v>19</v>
      </c>
      <c r="D34" s="2" t="s">
        <v>25</v>
      </c>
      <c r="E34" s="9" t="s">
        <v>111</v>
      </c>
      <c r="F34" s="7" t="s">
        <v>112</v>
      </c>
      <c r="G34" s="2" t="s">
        <v>27</v>
      </c>
      <c r="M34" s="2" t="s">
        <v>113</v>
      </c>
      <c r="P34" s="2" t="s">
        <v>114</v>
      </c>
      <c r="Q34" s="1" t="str">
        <f t="shared" si="0"/>
        <v>*/Representative/ContactPerson/eMailAddress</v>
      </c>
    </row>
    <row r="35" spans="1:17" ht="12" customHeight="1" x14ac:dyDescent="0.35"/>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15F31-A34D-4D86-9D50-EC480E3E81D6}">
  <sheetPr codeName="Ark27">
    <tabColor rgb="FFC00000"/>
    <outlinePr summaryBelow="0" summaryRight="0"/>
  </sheetPr>
  <dimension ref="A1:R370"/>
  <sheetViews>
    <sheetView zoomScaleNormal="100" workbookViewId="0">
      <pane xSplit="1" ySplit="1" topLeftCell="D2" activePane="bottomRight" state="frozen"/>
      <selection activeCell="D2" sqref="D2"/>
      <selection pane="topRight" activeCell="D2" sqref="D2"/>
      <selection pane="bottomLeft" activeCell="D2" sqref="D2"/>
      <selection pane="bottomRight" activeCell="D2" sqref="D2"/>
    </sheetView>
  </sheetViews>
  <sheetFormatPr defaultColWidth="11.54296875" defaultRowHeight="12" outlineLevelRow="7" x14ac:dyDescent="0.35"/>
  <cols>
    <col min="1" max="3" width="0" style="1" hidden="1" customWidth="1"/>
    <col min="4" max="4" width="6.6328125" style="1" customWidth="1"/>
    <col min="5" max="5" width="70.6328125" style="1" customWidth="1"/>
    <col min="6" max="11" width="8.6328125" style="1" customWidth="1"/>
    <col min="12" max="14" width="24.6328125" style="1" customWidth="1"/>
    <col min="15" max="15" width="24.6328125" style="1" hidden="1" customWidth="1"/>
    <col min="16" max="17" width="24.6328125" style="1" customWidth="1"/>
    <col min="18" max="16384" width="11.54296875" style="1"/>
  </cols>
  <sheetData>
    <row r="1" spans="1:18" ht="12"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P1" s="1" t="s">
        <v>14</v>
      </c>
      <c r="Q1" s="1" t="s">
        <v>208</v>
      </c>
      <c r="R1" s="1" t="s">
        <v>209</v>
      </c>
    </row>
    <row r="2" spans="1:18" ht="12" customHeight="1" x14ac:dyDescent="0.35">
      <c r="A2" s="2" t="str">
        <f>$E$2</f>
        <v>CC429B</v>
      </c>
      <c r="B2" s="1">
        <v>0</v>
      </c>
      <c r="C2" s="2" t="s">
        <v>16</v>
      </c>
      <c r="E2" s="2" t="s">
        <v>1262</v>
      </c>
      <c r="M2" s="2" t="s">
        <v>17</v>
      </c>
      <c r="P2" s="2" t="s">
        <v>1263</v>
      </c>
      <c r="Q2" s="1" t="str">
        <f>IF($B2=0,$M2,_xlfn.TEXTBEFORE(Q1,"/",$B2,,,Q1)&amp;"/"&amp;$M2)&amp;IF(_xlfn.TEXTAFTER($D2,"..",,,,1)&lt;&gt;"1","[0]","")</f>
        <v>*</v>
      </c>
    </row>
    <row r="3" spans="1:18" ht="12" customHeight="1" outlineLevel="1" x14ac:dyDescent="0.35">
      <c r="A3" s="3" t="str">
        <f>$E$2</f>
        <v>CC429B</v>
      </c>
      <c r="B3" s="4">
        <v>1</v>
      </c>
      <c r="C3" s="3" t="s">
        <v>24</v>
      </c>
      <c r="D3" s="3" t="s">
        <v>20</v>
      </c>
      <c r="E3" s="5" t="s">
        <v>21</v>
      </c>
      <c r="F3" s="4"/>
      <c r="G3" s="3" t="s">
        <v>22</v>
      </c>
      <c r="H3" s="4"/>
      <c r="I3" s="4"/>
      <c r="J3" s="4"/>
      <c r="K3" s="4"/>
      <c r="L3" s="4"/>
      <c r="M3" s="3" t="s">
        <v>21</v>
      </c>
      <c r="N3" s="4"/>
      <c r="O3" s="4"/>
      <c r="P3" s="3" t="s">
        <v>23</v>
      </c>
      <c r="Q3" s="1" t="str">
        <f>IF($B3=0,$M3,_xlfn.TEXTBEFORE(Q2,"/",$B3,,,Q2)&amp;"/"&amp;$M3)&amp;IF(_xlfn.TEXTAFTER($D3,"..",,,,1)&lt;&gt;"1","[0]","")</f>
        <v>*/Extensions[0]</v>
      </c>
    </row>
    <row r="4" spans="1:18" ht="12" customHeight="1" outlineLevel="2" x14ac:dyDescent="0.35">
      <c r="A4" s="2" t="str">
        <f>$E$2</f>
        <v>CC429B</v>
      </c>
      <c r="B4" s="1">
        <v>2</v>
      </c>
      <c r="C4" s="1" t="s">
        <v>19</v>
      </c>
      <c r="D4" s="2" t="s">
        <v>25</v>
      </c>
      <c r="E4" s="6" t="s">
        <v>774</v>
      </c>
      <c r="F4" s="1" t="s">
        <v>775</v>
      </c>
      <c r="G4" s="2" t="s">
        <v>27</v>
      </c>
      <c r="M4" s="2" t="s">
        <v>776</v>
      </c>
      <c r="Q4" s="1" t="str">
        <f>IF($B4=0,$M4,_xlfn.TEXTBEFORE(Q3,"/",$B4,,,Q3)&amp;"/"&amp;$M4)&amp;IF(_xlfn.TEXTAFTER($D4,"..",,,,1)&lt;&gt;"1","[0]","")</f>
        <v>*/Extensions[0]/SequenceNumeric</v>
      </c>
    </row>
    <row r="5" spans="1:18" ht="12" customHeight="1" outlineLevel="2" x14ac:dyDescent="0.35">
      <c r="A5" s="2" t="str">
        <f>$E$2</f>
        <v>CC429B</v>
      </c>
      <c r="B5" s="1">
        <v>2</v>
      </c>
      <c r="C5" s="1" t="s">
        <v>19</v>
      </c>
      <c r="D5" s="2" t="s">
        <v>30</v>
      </c>
      <c r="E5" s="6" t="s">
        <v>777</v>
      </c>
      <c r="F5" s="1" t="s">
        <v>778</v>
      </c>
      <c r="G5" s="2" t="s">
        <v>22</v>
      </c>
      <c r="M5" s="2" t="s">
        <v>779</v>
      </c>
      <c r="Q5" s="1" t="str">
        <f>IF($B5=0,$M5,_xlfn.TEXTBEFORE(Q4,"/",$B5,,,Q4)&amp;"/"&amp;$M5)&amp;IF(_xlfn.TEXTAFTER($D5,"..",,,,1)&lt;&gt;"1","[0]","")</f>
        <v>*/Extensions[0]/ID</v>
      </c>
    </row>
    <row r="6" spans="1:18" ht="12" customHeight="1" outlineLevel="2" x14ac:dyDescent="0.35">
      <c r="A6" s="2" t="str">
        <f>$E$2</f>
        <v>CC429B</v>
      </c>
      <c r="B6" s="1">
        <v>2</v>
      </c>
      <c r="C6" s="1" t="s">
        <v>19</v>
      </c>
      <c r="D6" s="2" t="s">
        <v>25</v>
      </c>
      <c r="E6" s="6" t="s">
        <v>780</v>
      </c>
      <c r="F6" s="1" t="s">
        <v>778</v>
      </c>
      <c r="G6" s="2" t="s">
        <v>27</v>
      </c>
      <c r="M6" s="2" t="s">
        <v>780</v>
      </c>
      <c r="Q6" s="1" t="str">
        <f>IF($B6=0,$M6,_xlfn.TEXTBEFORE(Q5,"/",$B6,,,Q5)&amp;"/"&amp;$M6)&amp;IF(_xlfn.TEXTAFTER($D6,"..",,,,1)&lt;&gt;"1","[0]","")</f>
        <v>*/Extensions[0]/Key</v>
      </c>
    </row>
    <row r="7" spans="1:18" ht="12" customHeight="1" outlineLevel="2" x14ac:dyDescent="0.35">
      <c r="A7" s="2" t="str">
        <f>$E$2</f>
        <v>CC429B</v>
      </c>
      <c r="B7" s="1">
        <v>2</v>
      </c>
      <c r="C7" s="1" t="s">
        <v>19</v>
      </c>
      <c r="D7" s="2" t="s">
        <v>25</v>
      </c>
      <c r="E7" s="6" t="s">
        <v>781</v>
      </c>
      <c r="F7" s="1" t="s">
        <v>778</v>
      </c>
      <c r="G7" s="2" t="s">
        <v>27</v>
      </c>
      <c r="M7" s="2" t="s">
        <v>781</v>
      </c>
      <c r="Q7" s="1" t="str">
        <f>IF($B7=0,$M7,_xlfn.TEXTBEFORE(Q6,"/",$B7,,,Q6)&amp;"/"&amp;$M7)&amp;IF(_xlfn.TEXTAFTER($D7,"..",,,,1)&lt;&gt;"1","[0]","")</f>
        <v>*/Extensions[0]/Value</v>
      </c>
    </row>
    <row r="8" spans="1:18" ht="12" customHeight="1" outlineLevel="2" x14ac:dyDescent="0.35">
      <c r="A8" s="2" t="str">
        <f>$E$2</f>
        <v>CC429B</v>
      </c>
      <c r="B8" s="1">
        <v>2</v>
      </c>
      <c r="C8" s="1" t="s">
        <v>19</v>
      </c>
      <c r="D8" s="2" t="s">
        <v>25</v>
      </c>
      <c r="E8" s="6" t="s">
        <v>782</v>
      </c>
      <c r="F8" s="7" t="s">
        <v>783</v>
      </c>
      <c r="G8" s="2" t="s">
        <v>27</v>
      </c>
      <c r="M8" s="2" t="s">
        <v>784</v>
      </c>
      <c r="Q8" s="1" t="str">
        <f>IF($B8=0,$M8,_xlfn.TEXTBEFORE(Q7,"/",$B8,,,Q7)&amp;"/"&amp;$M8)&amp;IF(_xlfn.TEXTAFTER($D8,"..",,,,1)&lt;&gt;"1","[0]","")</f>
        <v>*/Extensions[0]/DataType</v>
      </c>
    </row>
    <row r="9" spans="1:18" ht="12" customHeight="1" outlineLevel="2" x14ac:dyDescent="0.35">
      <c r="A9" s="21" t="str">
        <f>$E$2</f>
        <v>CC429B</v>
      </c>
      <c r="B9" s="22">
        <v>2</v>
      </c>
      <c r="C9" s="22" t="s">
        <v>19</v>
      </c>
      <c r="D9" s="21" t="s">
        <v>20</v>
      </c>
      <c r="E9" s="23" t="s">
        <v>21</v>
      </c>
      <c r="F9" s="22"/>
      <c r="G9" s="21" t="s">
        <v>22</v>
      </c>
      <c r="H9" s="22"/>
      <c r="I9" s="22"/>
      <c r="J9" s="22"/>
      <c r="K9" s="22"/>
      <c r="L9" s="22"/>
      <c r="M9" s="21" t="s">
        <v>21</v>
      </c>
      <c r="N9" s="22"/>
      <c r="O9" s="22"/>
      <c r="P9" s="21" t="s">
        <v>785</v>
      </c>
      <c r="Q9" s="1" t="str">
        <f>IF($B9=0,$M9,_xlfn.TEXTBEFORE(Q8,"/",$B9,,,Q8)&amp;"/"&amp;$M9)&amp;IF(_xlfn.TEXTAFTER($D9,"..",,,,1)&lt;&gt;"1","[0]","")</f>
        <v>*/Extensions[0]/Extensions[0]</v>
      </c>
    </row>
    <row r="10" spans="1:18" ht="12" customHeight="1" outlineLevel="1" x14ac:dyDescent="0.35">
      <c r="A10" s="3" t="str">
        <f>$E$2</f>
        <v>CC429B</v>
      </c>
      <c r="B10" s="4">
        <v>1</v>
      </c>
      <c r="C10" s="3" t="s">
        <v>24</v>
      </c>
      <c r="D10" s="3" t="s">
        <v>25</v>
      </c>
      <c r="E10" s="5" t="s">
        <v>26</v>
      </c>
      <c r="F10" s="4"/>
      <c r="G10" s="3" t="s">
        <v>27</v>
      </c>
      <c r="H10" s="4"/>
      <c r="I10" s="4"/>
      <c r="J10" s="4"/>
      <c r="K10" s="4"/>
      <c r="L10" s="4"/>
      <c r="M10" s="3" t="s">
        <v>28</v>
      </c>
      <c r="N10" s="4"/>
      <c r="O10" s="4"/>
      <c r="P10" s="3" t="s">
        <v>1495</v>
      </c>
      <c r="Q10" s="1" t="str">
        <f>IF($B10=0,$M10,_xlfn.TEXTBEFORE(Q9,"/",$B10,,,Q9)&amp;"/"&amp;$M10)&amp;IF(_xlfn.TEXTAFTER($D10,"..",,,,1)&lt;&gt;"1","[0]","")</f>
        <v>*/ImportOperation</v>
      </c>
    </row>
    <row r="11" spans="1:18" ht="12" customHeight="1" outlineLevel="2" x14ac:dyDescent="0.35">
      <c r="A11" s="2" t="str">
        <f>$E$2</f>
        <v>CC429B</v>
      </c>
      <c r="B11" s="1">
        <v>2</v>
      </c>
      <c r="C11" s="1" t="s">
        <v>19</v>
      </c>
      <c r="D11" s="2" t="s">
        <v>30</v>
      </c>
      <c r="E11" s="6" t="s">
        <v>31</v>
      </c>
      <c r="F11" s="7" t="s">
        <v>32</v>
      </c>
      <c r="G11" s="2" t="s">
        <v>22</v>
      </c>
      <c r="M11" s="2" t="s">
        <v>33</v>
      </c>
      <c r="P11" s="2" t="s">
        <v>34</v>
      </c>
      <c r="Q11" s="1" t="str">
        <f>IF($B11=0,$M11,_xlfn.TEXTBEFORE(Q10,"/",$B11,,,Q10)&amp;"/"&amp;$M11)&amp;IF(_xlfn.TEXTAFTER($D11,"..",,,,1)&lt;&gt;"1","[0]","")</f>
        <v>*/ImportOperation/LRN</v>
      </c>
    </row>
    <row r="12" spans="1:18" ht="12" customHeight="1" outlineLevel="2" x14ac:dyDescent="0.35">
      <c r="A12" s="2" t="str">
        <f>$E$2</f>
        <v>CC429B</v>
      </c>
      <c r="B12" s="1">
        <v>2</v>
      </c>
      <c r="C12" s="1" t="s">
        <v>19</v>
      </c>
      <c r="D12" s="2" t="s">
        <v>25</v>
      </c>
      <c r="E12" s="6" t="s">
        <v>35</v>
      </c>
      <c r="F12" s="7" t="s">
        <v>36</v>
      </c>
      <c r="G12" s="2" t="s">
        <v>27</v>
      </c>
      <c r="M12" s="2" t="s">
        <v>37</v>
      </c>
      <c r="P12" s="2" t="s">
        <v>38</v>
      </c>
      <c r="Q12" s="1" t="str">
        <f>IF($B12=0,$M12,_xlfn.TEXTBEFORE(Q11,"/",$B12,,,Q11)&amp;"/"&amp;$M12)&amp;IF(_xlfn.TEXTAFTER($D12,"..",,,,1)&lt;&gt;"1","[0]","")</f>
        <v>*/ImportOperation/MRN</v>
      </c>
    </row>
    <row r="13" spans="1:18" ht="12" customHeight="1" outlineLevel="2" x14ac:dyDescent="0.35">
      <c r="A13" s="2" t="str">
        <f>$E$2</f>
        <v>CC429B</v>
      </c>
      <c r="B13" s="1">
        <v>2</v>
      </c>
      <c r="C13" s="1" t="s">
        <v>19</v>
      </c>
      <c r="D13" s="2" t="s">
        <v>30</v>
      </c>
      <c r="E13" s="6" t="s">
        <v>39</v>
      </c>
      <c r="F13" s="7" t="s">
        <v>40</v>
      </c>
      <c r="G13" s="2" t="s">
        <v>396</v>
      </c>
      <c r="I13" s="2" t="s">
        <v>1264</v>
      </c>
      <c r="J13" s="2" t="s">
        <v>389</v>
      </c>
      <c r="M13" s="2" t="s">
        <v>41</v>
      </c>
      <c r="P13" s="2" t="s">
        <v>42</v>
      </c>
      <c r="Q13" s="1" t="str">
        <f>IF($B13=0,$M13,_xlfn.TEXTBEFORE(Q12,"/",$B13,,,Q12)&amp;"/"&amp;$M13)&amp;IF(_xlfn.TEXTAFTER($D13,"..",,,,1)&lt;&gt;"1","[0]","")</f>
        <v>*/ImportOperation/declarationType</v>
      </c>
    </row>
    <row r="14" spans="1:18" ht="12" customHeight="1" outlineLevel="2" x14ac:dyDescent="0.35">
      <c r="A14" s="2" t="str">
        <f>$E$2</f>
        <v>CC429B</v>
      </c>
      <c r="B14" s="1">
        <v>2</v>
      </c>
      <c r="C14" s="1" t="s">
        <v>19</v>
      </c>
      <c r="D14" s="2" t="s">
        <v>30</v>
      </c>
      <c r="E14" s="6" t="s">
        <v>43</v>
      </c>
      <c r="F14" s="7" t="s">
        <v>44</v>
      </c>
      <c r="G14" s="2" t="s">
        <v>396</v>
      </c>
      <c r="I14" s="2" t="s">
        <v>1264</v>
      </c>
      <c r="J14" s="2" t="s">
        <v>390</v>
      </c>
      <c r="M14" s="2" t="s">
        <v>45</v>
      </c>
      <c r="P14" s="2" t="s">
        <v>46</v>
      </c>
      <c r="Q14" s="1" t="str">
        <f>IF($B14=0,$M14,_xlfn.TEXTBEFORE(Q13,"/",$B14,,,Q13)&amp;"/"&amp;$M14)&amp;IF(_xlfn.TEXTAFTER($D14,"..",,,,1)&lt;&gt;"1","[0]","")</f>
        <v>*/ImportOperation/additionalDeclarationType</v>
      </c>
    </row>
    <row r="15" spans="1:18" ht="12" customHeight="1" outlineLevel="2" x14ac:dyDescent="0.35">
      <c r="A15" s="2" t="str">
        <f>$E$2</f>
        <v>CC429B</v>
      </c>
      <c r="B15" s="1">
        <v>2</v>
      </c>
      <c r="C15" s="1" t="s">
        <v>19</v>
      </c>
      <c r="D15" s="2" t="s">
        <v>25</v>
      </c>
      <c r="E15" s="6" t="s">
        <v>1265</v>
      </c>
      <c r="F15" s="7" t="s">
        <v>505</v>
      </c>
      <c r="G15" s="2" t="s">
        <v>27</v>
      </c>
      <c r="H15" s="2" t="s">
        <v>786</v>
      </c>
      <c r="M15" s="2" t="s">
        <v>1266</v>
      </c>
      <c r="P15" s="2" t="s">
        <v>507</v>
      </c>
      <c r="Q15" s="1" t="str">
        <f>IF($B15=0,$M15,_xlfn.TEXTBEFORE(Q14,"/",$B15,,,Q14)&amp;"/"&amp;$M15)&amp;IF(_xlfn.TEXTAFTER($D15,"..",,,,1)&lt;&gt;"1","[0]","")</f>
        <v>*/ImportOperation/declarationAcceptanceDate</v>
      </c>
    </row>
    <row r="16" spans="1:18" ht="12" customHeight="1" outlineLevel="2" x14ac:dyDescent="0.35">
      <c r="A16" s="2" t="str">
        <f>$E$2</f>
        <v>CC429B</v>
      </c>
      <c r="B16" s="1">
        <v>2</v>
      </c>
      <c r="C16" s="1" t="s">
        <v>19</v>
      </c>
      <c r="D16" s="2" t="s">
        <v>25</v>
      </c>
      <c r="E16" s="6" t="s">
        <v>1267</v>
      </c>
      <c r="F16" s="7" t="s">
        <v>505</v>
      </c>
      <c r="G16" s="2" t="s">
        <v>27</v>
      </c>
      <c r="H16" s="2" t="s">
        <v>786</v>
      </c>
      <c r="M16" s="2" t="s">
        <v>1268</v>
      </c>
      <c r="P16" s="2" t="s">
        <v>507</v>
      </c>
      <c r="Q16" s="1" t="str">
        <f>IF($B16=0,$M16,_xlfn.TEXTBEFORE(Q15,"/",$B16,,,Q15)&amp;"/"&amp;$M16)&amp;IF(_xlfn.TEXTAFTER($D16,"..",,,,1)&lt;&gt;"1","[0]","")</f>
        <v>*/ImportOperation/releaseDate</v>
      </c>
    </row>
    <row r="17" spans="1:17" ht="12" customHeight="1" outlineLevel="1" x14ac:dyDescent="0.35">
      <c r="A17" s="3" t="str">
        <f>$E$2</f>
        <v>CC429B</v>
      </c>
      <c r="B17" s="4">
        <v>1</v>
      </c>
      <c r="C17" s="3" t="s">
        <v>24</v>
      </c>
      <c r="D17" s="3" t="s">
        <v>53</v>
      </c>
      <c r="E17" s="5" t="s">
        <v>54</v>
      </c>
      <c r="F17" s="4"/>
      <c r="G17" s="3" t="s">
        <v>22</v>
      </c>
      <c r="H17" s="3" t="s">
        <v>442</v>
      </c>
      <c r="I17" s="4"/>
      <c r="J17" s="4"/>
      <c r="K17" s="4"/>
      <c r="L17" s="4"/>
      <c r="M17" s="3" t="s">
        <v>54</v>
      </c>
      <c r="N17" s="4"/>
      <c r="O17" s="4"/>
      <c r="P17" s="3" t="s">
        <v>55</v>
      </c>
      <c r="Q17" s="1" t="str">
        <f>IF($B17=0,$M17,_xlfn.TEXTBEFORE(Q16,"/",$B17,,,Q16)&amp;"/"&amp;$M17)&amp;IF(_xlfn.TEXTAFTER($D17,"..",,,,1)&lt;&gt;"1","[0]","")</f>
        <v>*/Authorisation[0]</v>
      </c>
    </row>
    <row r="18" spans="1:17" ht="12" customHeight="1" outlineLevel="2" x14ac:dyDescent="0.35">
      <c r="A18" s="2" t="str">
        <f>$E$2</f>
        <v>CC429B</v>
      </c>
      <c r="B18" s="1">
        <v>2</v>
      </c>
      <c r="C18" s="1" t="s">
        <v>19</v>
      </c>
      <c r="D18" s="2" t="s">
        <v>25</v>
      </c>
      <c r="E18" s="6" t="s">
        <v>56</v>
      </c>
      <c r="F18" s="7" t="s">
        <v>57</v>
      </c>
      <c r="G18" s="2" t="s">
        <v>27</v>
      </c>
      <c r="H18" s="2" t="s">
        <v>393</v>
      </c>
      <c r="M18" s="2" t="s">
        <v>58</v>
      </c>
      <c r="P18" s="2" t="s">
        <v>59</v>
      </c>
      <c r="Q18" s="1" t="str">
        <f>IF($B18=0,$M18,_xlfn.TEXTBEFORE(Q17,"/",$B18,,,Q17)&amp;"/"&amp;$M18)&amp;IF(_xlfn.TEXTAFTER($D18,"..",,,,1)&lt;&gt;"1","[0]","")</f>
        <v>*/Authorisation[0]/sequenceNumber</v>
      </c>
    </row>
    <row r="19" spans="1:17" ht="12" customHeight="1" outlineLevel="2" x14ac:dyDescent="0.35">
      <c r="A19" s="2" t="str">
        <f>$E$2</f>
        <v>CC429B</v>
      </c>
      <c r="B19" s="1">
        <v>2</v>
      </c>
      <c r="C19" s="1" t="s">
        <v>19</v>
      </c>
      <c r="D19" s="2" t="s">
        <v>30</v>
      </c>
      <c r="E19" s="6" t="s">
        <v>2</v>
      </c>
      <c r="F19" s="7" t="s">
        <v>60</v>
      </c>
      <c r="G19" s="2" t="s">
        <v>396</v>
      </c>
      <c r="I19" s="2" t="s">
        <v>395</v>
      </c>
      <c r="J19" s="2" t="s">
        <v>394</v>
      </c>
      <c r="M19" s="2" t="s">
        <v>61</v>
      </c>
      <c r="P19" s="2" t="s">
        <v>62</v>
      </c>
      <c r="Q19" s="1" t="str">
        <f>IF($B19=0,$M19,_xlfn.TEXTBEFORE(Q18,"/",$B19,,,Q18)&amp;"/"&amp;$M19)&amp;IF(_xlfn.TEXTAFTER($D19,"..",,,,1)&lt;&gt;"1","[0]","")</f>
        <v>*/Authorisation[0]/type</v>
      </c>
    </row>
    <row r="20" spans="1:17" ht="12" customHeight="1" outlineLevel="2" x14ac:dyDescent="0.35">
      <c r="A20" s="2" t="str">
        <f>$E$2</f>
        <v>CC429B</v>
      </c>
      <c r="B20" s="1">
        <v>2</v>
      </c>
      <c r="C20" s="1" t="s">
        <v>19</v>
      </c>
      <c r="D20" s="2" t="s">
        <v>25</v>
      </c>
      <c r="E20" s="6" t="s">
        <v>63</v>
      </c>
      <c r="F20" s="7" t="s">
        <v>834</v>
      </c>
      <c r="G20" s="2" t="s">
        <v>27</v>
      </c>
      <c r="M20" s="2" t="s">
        <v>65</v>
      </c>
      <c r="P20" s="2" t="s">
        <v>66</v>
      </c>
      <c r="Q20" s="1" t="str">
        <f>IF($B20=0,$M20,_xlfn.TEXTBEFORE(Q19,"/",$B20,,,Q19)&amp;"/"&amp;$M20)&amp;IF(_xlfn.TEXTAFTER($D20,"..",,,,1)&lt;&gt;"1","[0]","")</f>
        <v>*/Authorisation[0]/referenceNumber</v>
      </c>
    </row>
    <row r="21" spans="1:17" ht="12" customHeight="1" outlineLevel="2" x14ac:dyDescent="0.35">
      <c r="A21" s="2" t="str">
        <f>$E$2</f>
        <v>CC429B</v>
      </c>
      <c r="B21" s="1">
        <v>2</v>
      </c>
      <c r="C21" s="1" t="s">
        <v>19</v>
      </c>
      <c r="D21" s="2" t="s">
        <v>30</v>
      </c>
      <c r="E21" s="6" t="s">
        <v>67</v>
      </c>
      <c r="F21" s="7" t="s">
        <v>68</v>
      </c>
      <c r="G21" s="2" t="s">
        <v>396</v>
      </c>
      <c r="H21" s="2" t="s">
        <v>397</v>
      </c>
      <c r="I21" s="2" t="s">
        <v>398</v>
      </c>
      <c r="M21" s="2" t="s">
        <v>69</v>
      </c>
      <c r="P21" s="2" t="s">
        <v>70</v>
      </c>
      <c r="Q21" s="1" t="str">
        <f>IF($B21=0,$M21,_xlfn.TEXTBEFORE(Q20,"/",$B21,,,Q20)&amp;"/"&amp;$M21)&amp;IF(_xlfn.TEXTAFTER($D21,"..",,,,1)&lt;&gt;"1","[0]","")</f>
        <v>*/Authorisation[0]/holderOfTheAuthorisation</v>
      </c>
    </row>
    <row r="22" spans="1:17" ht="12" customHeight="1" outlineLevel="1" x14ac:dyDescent="0.35">
      <c r="A22" s="3" t="str">
        <f>$E$2</f>
        <v>CC429B</v>
      </c>
      <c r="B22" s="4">
        <v>1</v>
      </c>
      <c r="C22" s="3" t="s">
        <v>24</v>
      </c>
      <c r="D22" s="3" t="s">
        <v>30</v>
      </c>
      <c r="E22" s="5" t="s">
        <v>71</v>
      </c>
      <c r="F22" s="4"/>
      <c r="G22" s="3" t="s">
        <v>22</v>
      </c>
      <c r="H22" s="4"/>
      <c r="I22" s="4"/>
      <c r="J22" s="4"/>
      <c r="K22" s="4"/>
      <c r="L22" s="4"/>
      <c r="M22" s="3" t="s">
        <v>72</v>
      </c>
      <c r="N22" s="4"/>
      <c r="O22" s="4"/>
      <c r="P22" s="3" t="s">
        <v>73</v>
      </c>
      <c r="Q22" s="1" t="str">
        <f>IF($B22=0,$M22,_xlfn.TEXTBEFORE(Q21,"/",$B22,,,Q21)&amp;"/"&amp;$M22)&amp;IF(_xlfn.TEXTAFTER($D22,"..",,,,1)&lt;&gt;"1","[0]","")</f>
        <v>*/CustomsOfficeOfPresentation</v>
      </c>
    </row>
    <row r="23" spans="1:17" ht="12" customHeight="1" outlineLevel="2" x14ac:dyDescent="0.35">
      <c r="A23" s="2" t="str">
        <f>$E$2</f>
        <v>CC429B</v>
      </c>
      <c r="B23" s="1">
        <v>2</v>
      </c>
      <c r="C23" s="1" t="s">
        <v>19</v>
      </c>
      <c r="D23" s="2" t="s">
        <v>25</v>
      </c>
      <c r="E23" s="6" t="s">
        <v>63</v>
      </c>
      <c r="F23" s="7" t="s">
        <v>74</v>
      </c>
      <c r="G23" s="2" t="s">
        <v>27</v>
      </c>
      <c r="J23" s="2" t="s">
        <v>399</v>
      </c>
      <c r="M23" s="2" t="s">
        <v>65</v>
      </c>
      <c r="P23" s="2" t="s">
        <v>75</v>
      </c>
      <c r="Q23" s="1" t="str">
        <f>IF($B23=0,$M23,_xlfn.TEXTBEFORE(Q22,"/",$B23,,,Q22)&amp;"/"&amp;$M23)&amp;IF(_xlfn.TEXTAFTER($D23,"..",,,,1)&lt;&gt;"1","[0]","")</f>
        <v>*/CustomsOfficeOfPresentation/referenceNumber</v>
      </c>
    </row>
    <row r="24" spans="1:17" ht="12" customHeight="1" outlineLevel="1" x14ac:dyDescent="0.35">
      <c r="A24" s="3" t="str">
        <f>$E$2</f>
        <v>CC429B</v>
      </c>
      <c r="B24" s="4">
        <v>1</v>
      </c>
      <c r="C24" s="3" t="s">
        <v>24</v>
      </c>
      <c r="D24" s="3" t="s">
        <v>30</v>
      </c>
      <c r="E24" s="5" t="s">
        <v>76</v>
      </c>
      <c r="F24" s="4"/>
      <c r="G24" s="3" t="s">
        <v>22</v>
      </c>
      <c r="H24" s="3" t="s">
        <v>400</v>
      </c>
      <c r="I24" s="4"/>
      <c r="J24" s="4"/>
      <c r="K24" s="4"/>
      <c r="L24" s="4"/>
      <c r="M24" s="3" t="s">
        <v>77</v>
      </c>
      <c r="N24" s="4"/>
      <c r="O24" s="4"/>
      <c r="P24" s="3" t="s">
        <v>78</v>
      </c>
      <c r="Q24" s="1" t="str">
        <f>IF($B24=0,$M24,_xlfn.TEXTBEFORE(Q23,"/",$B24,,,Q23)&amp;"/"&amp;$M24)&amp;IF(_xlfn.TEXTAFTER($D24,"..",,,,1)&lt;&gt;"1","[0]","")</f>
        <v>*/SupervisingCustomsOffice</v>
      </c>
    </row>
    <row r="25" spans="1:17" ht="12" customHeight="1" outlineLevel="2" x14ac:dyDescent="0.35">
      <c r="A25" s="2" t="str">
        <f>$E$2</f>
        <v>CC429B</v>
      </c>
      <c r="B25" s="1">
        <v>2</v>
      </c>
      <c r="C25" s="1" t="s">
        <v>19</v>
      </c>
      <c r="D25" s="2" t="s">
        <v>25</v>
      </c>
      <c r="E25" s="6" t="s">
        <v>63</v>
      </c>
      <c r="F25" s="7" t="s">
        <v>74</v>
      </c>
      <c r="G25" s="2" t="s">
        <v>27</v>
      </c>
      <c r="J25" s="2" t="s">
        <v>399</v>
      </c>
      <c r="M25" s="2" t="s">
        <v>65</v>
      </c>
      <c r="P25" s="2" t="s">
        <v>75</v>
      </c>
      <c r="Q25" s="1" t="str">
        <f>IF($B25=0,$M25,_xlfn.TEXTBEFORE(Q24,"/",$B25,,,Q24)&amp;"/"&amp;$M25)&amp;IF(_xlfn.TEXTAFTER($D25,"..",,,,1)&lt;&gt;"1","[0]","")</f>
        <v>*/SupervisingCustomsOffice/referenceNumber</v>
      </c>
    </row>
    <row r="26" spans="1:17" ht="12" customHeight="1" outlineLevel="1" x14ac:dyDescent="0.35">
      <c r="A26" s="3" t="str">
        <f>$E$2</f>
        <v>CC429B</v>
      </c>
      <c r="B26" s="4">
        <v>1</v>
      </c>
      <c r="C26" s="3" t="s">
        <v>24</v>
      </c>
      <c r="D26" s="3" t="s">
        <v>30</v>
      </c>
      <c r="E26" s="5" t="s">
        <v>79</v>
      </c>
      <c r="F26" s="4"/>
      <c r="G26" s="3" t="s">
        <v>396</v>
      </c>
      <c r="H26" s="4"/>
      <c r="I26" s="3" t="s">
        <v>1264</v>
      </c>
      <c r="J26" s="4"/>
      <c r="K26" s="4"/>
      <c r="L26" s="4"/>
      <c r="M26" s="3" t="s">
        <v>79</v>
      </c>
      <c r="N26" s="4"/>
      <c r="O26" s="4"/>
      <c r="P26" s="3" t="s">
        <v>80</v>
      </c>
      <c r="Q26" s="1" t="str">
        <f>IF($B26=0,$M26,_xlfn.TEXTBEFORE(Q25,"/",$B26,,,Q25)&amp;"/"&amp;$M26)&amp;IF(_xlfn.TEXTAFTER($D26,"..",,,,1)&lt;&gt;"1","[0]","")</f>
        <v>*/Importer</v>
      </c>
    </row>
    <row r="27" spans="1:17" ht="12" customHeight="1" outlineLevel="2" x14ac:dyDescent="0.35">
      <c r="A27" s="2" t="str">
        <f>$E$2</f>
        <v>CC429B</v>
      </c>
      <c r="B27" s="1">
        <v>2</v>
      </c>
      <c r="C27" s="1" t="s">
        <v>19</v>
      </c>
      <c r="D27" s="2" t="s">
        <v>30</v>
      </c>
      <c r="E27" s="6" t="s">
        <v>81</v>
      </c>
      <c r="F27" s="7" t="s">
        <v>68</v>
      </c>
      <c r="G27" s="2" t="s">
        <v>22</v>
      </c>
      <c r="H27" s="2" t="s">
        <v>397</v>
      </c>
      <c r="M27" s="2" t="s">
        <v>82</v>
      </c>
      <c r="P27" s="2" t="s">
        <v>70</v>
      </c>
      <c r="Q27" s="1" t="str">
        <f>IF($B27=0,$M27,_xlfn.TEXTBEFORE(Q26,"/",$B27,,,Q26)&amp;"/"&amp;$M27)&amp;IF(_xlfn.TEXTAFTER($D27,"..",,,,1)&lt;&gt;"1","[0]","")</f>
        <v>*/Importer/identificationNumber</v>
      </c>
    </row>
    <row r="28" spans="1:17" ht="12" customHeight="1" outlineLevel="2" x14ac:dyDescent="0.35">
      <c r="A28" s="2" t="str">
        <f>$E$2</f>
        <v>CC429B</v>
      </c>
      <c r="B28" s="1">
        <v>2</v>
      </c>
      <c r="C28" s="1" t="s">
        <v>19</v>
      </c>
      <c r="D28" s="2" t="s">
        <v>30</v>
      </c>
      <c r="E28" s="6" t="s">
        <v>4</v>
      </c>
      <c r="F28" s="7" t="s">
        <v>83</v>
      </c>
      <c r="G28" s="2" t="s">
        <v>396</v>
      </c>
      <c r="I28" s="2" t="s">
        <v>401</v>
      </c>
      <c r="M28" s="2" t="s">
        <v>84</v>
      </c>
      <c r="P28" s="2" t="s">
        <v>85</v>
      </c>
      <c r="Q28" s="1" t="str">
        <f>IF($B28=0,$M28,_xlfn.TEXTBEFORE(Q27,"/",$B28,,,Q27)&amp;"/"&amp;$M28)&amp;IF(_xlfn.TEXTAFTER($D28,"..",,,,1)&lt;&gt;"1","[0]","")</f>
        <v>*/Importer/name</v>
      </c>
    </row>
    <row r="29" spans="1:17" ht="12" customHeight="1" outlineLevel="2" x14ac:dyDescent="0.35">
      <c r="A29" s="3" t="str">
        <f>$E$2</f>
        <v>CC429B</v>
      </c>
      <c r="B29" s="4">
        <v>2</v>
      </c>
      <c r="C29" s="3" t="s">
        <v>24</v>
      </c>
      <c r="D29" s="3" t="s">
        <v>30</v>
      </c>
      <c r="E29" s="8" t="s">
        <v>86</v>
      </c>
      <c r="F29" s="4"/>
      <c r="G29" s="3" t="s">
        <v>396</v>
      </c>
      <c r="H29" s="4"/>
      <c r="I29" s="3" t="s">
        <v>401</v>
      </c>
      <c r="J29" s="4"/>
      <c r="K29" s="4"/>
      <c r="L29" s="4"/>
      <c r="M29" s="3" t="s">
        <v>86</v>
      </c>
      <c r="N29" s="4"/>
      <c r="O29" s="4"/>
      <c r="P29" s="3" t="s">
        <v>87</v>
      </c>
      <c r="Q29" s="1" t="str">
        <f>IF($B29=0,$M29,_xlfn.TEXTBEFORE(Q28,"/",$B29,,,Q28)&amp;"/"&amp;$M29)&amp;IF(_xlfn.TEXTAFTER($D29,"..",,,,1)&lt;&gt;"1","[0]","")</f>
        <v>*/Importer/Address</v>
      </c>
    </row>
    <row r="30" spans="1:17" ht="12" customHeight="1" outlineLevel="3" x14ac:dyDescent="0.35">
      <c r="A30" s="2" t="str">
        <f>$E$2</f>
        <v>CC429B</v>
      </c>
      <c r="B30" s="1">
        <v>3</v>
      </c>
      <c r="C30" s="1" t="s">
        <v>19</v>
      </c>
      <c r="D30" s="2" t="s">
        <v>25</v>
      </c>
      <c r="E30" s="9" t="s">
        <v>88</v>
      </c>
      <c r="F30" s="7" t="s">
        <v>83</v>
      </c>
      <c r="G30" s="2" t="s">
        <v>27</v>
      </c>
      <c r="M30" s="2" t="s">
        <v>89</v>
      </c>
      <c r="P30" s="2" t="s">
        <v>90</v>
      </c>
      <c r="Q30" s="1" t="str">
        <f>IF($B30=0,$M30,_xlfn.TEXTBEFORE(Q29,"/",$B30,,,Q29)&amp;"/"&amp;$M30)&amp;IF(_xlfn.TEXTAFTER($D30,"..",,,,1)&lt;&gt;"1","[0]","")</f>
        <v>*/Importer/Address/streetAndNumber</v>
      </c>
    </row>
    <row r="31" spans="1:17" ht="12" customHeight="1" outlineLevel="3" x14ac:dyDescent="0.35">
      <c r="A31" s="2" t="str">
        <f>$E$2</f>
        <v>CC429B</v>
      </c>
      <c r="B31" s="1">
        <v>3</v>
      </c>
      <c r="C31" s="1" t="s">
        <v>19</v>
      </c>
      <c r="D31" s="2" t="s">
        <v>30</v>
      </c>
      <c r="E31" s="9" t="s">
        <v>91</v>
      </c>
      <c r="F31" s="7" t="s">
        <v>92</v>
      </c>
      <c r="G31" s="2" t="s">
        <v>396</v>
      </c>
      <c r="I31" s="2" t="s">
        <v>402</v>
      </c>
      <c r="M31" s="2" t="s">
        <v>93</v>
      </c>
      <c r="P31" s="2" t="s">
        <v>94</v>
      </c>
      <c r="Q31" s="1" t="str">
        <f>IF($B31=0,$M31,_xlfn.TEXTBEFORE(Q30,"/",$B31,,,Q30)&amp;"/"&amp;$M31)&amp;IF(_xlfn.TEXTAFTER($D31,"..",,,,1)&lt;&gt;"1","[0]","")</f>
        <v>*/Importer/Address/postcode</v>
      </c>
    </row>
    <row r="32" spans="1:17" ht="12" customHeight="1" outlineLevel="3" x14ac:dyDescent="0.35">
      <c r="A32" s="2" t="str">
        <f>$E$2</f>
        <v>CC429B</v>
      </c>
      <c r="B32" s="1">
        <v>3</v>
      </c>
      <c r="C32" s="1" t="s">
        <v>19</v>
      </c>
      <c r="D32" s="2" t="s">
        <v>25</v>
      </c>
      <c r="E32" s="9" t="s">
        <v>95</v>
      </c>
      <c r="F32" s="7" t="s">
        <v>96</v>
      </c>
      <c r="G32" s="2" t="s">
        <v>27</v>
      </c>
      <c r="M32" s="2" t="s">
        <v>97</v>
      </c>
      <c r="P32" s="2" t="s">
        <v>98</v>
      </c>
      <c r="Q32" s="1" t="str">
        <f>IF($B32=0,$M32,_xlfn.TEXTBEFORE(Q31,"/",$B32,,,Q31)&amp;"/"&amp;$M32)&amp;IF(_xlfn.TEXTAFTER($D32,"..",,,,1)&lt;&gt;"1","[0]","")</f>
        <v>*/Importer/Address/city</v>
      </c>
    </row>
    <row r="33" spans="1:17" ht="12" customHeight="1" outlineLevel="3" x14ac:dyDescent="0.35">
      <c r="A33" s="2" t="str">
        <f>$E$2</f>
        <v>CC429B</v>
      </c>
      <c r="B33" s="1">
        <v>3</v>
      </c>
      <c r="C33" s="1" t="s">
        <v>19</v>
      </c>
      <c r="D33" s="2" t="s">
        <v>25</v>
      </c>
      <c r="E33" s="9" t="s">
        <v>99</v>
      </c>
      <c r="F33" s="7" t="s">
        <v>50</v>
      </c>
      <c r="G33" s="2" t="s">
        <v>27</v>
      </c>
      <c r="J33" s="2" t="s">
        <v>403</v>
      </c>
      <c r="M33" s="2" t="s">
        <v>100</v>
      </c>
      <c r="P33" s="2" t="s">
        <v>52</v>
      </c>
      <c r="Q33" s="1" t="str">
        <f>IF($B33=0,$M33,_xlfn.TEXTBEFORE(Q32,"/",$B33,,,Q32)&amp;"/"&amp;$M33)&amp;IF(_xlfn.TEXTAFTER($D33,"..",,,,1)&lt;&gt;"1","[0]","")</f>
        <v>*/Importer/Address/country</v>
      </c>
    </row>
    <row r="34" spans="1:17" ht="12" customHeight="1" outlineLevel="1" x14ac:dyDescent="0.35">
      <c r="A34" s="3" t="str">
        <f>$E$2</f>
        <v>CC429B</v>
      </c>
      <c r="B34" s="4">
        <v>1</v>
      </c>
      <c r="C34" s="3" t="s">
        <v>24</v>
      </c>
      <c r="D34" s="3" t="s">
        <v>25</v>
      </c>
      <c r="E34" s="5" t="s">
        <v>101</v>
      </c>
      <c r="F34" s="4"/>
      <c r="G34" s="3" t="s">
        <v>27</v>
      </c>
      <c r="H34" s="4"/>
      <c r="I34" s="4"/>
      <c r="J34" s="4"/>
      <c r="K34" s="4"/>
      <c r="L34" s="4"/>
      <c r="M34" s="3" t="s">
        <v>101</v>
      </c>
      <c r="N34" s="4"/>
      <c r="O34" s="4"/>
      <c r="P34" s="3" t="s">
        <v>1496</v>
      </c>
      <c r="Q34" s="1" t="str">
        <f>IF($B34=0,$M34,_xlfn.TEXTBEFORE(Q33,"/",$B34,,,Q33)&amp;"/"&amp;$M34)&amp;IF(_xlfn.TEXTAFTER($D34,"..",,,,1)&lt;&gt;"1","[0]","")</f>
        <v>*/Declarant</v>
      </c>
    </row>
    <row r="35" spans="1:17" ht="12" customHeight="1" outlineLevel="2" x14ac:dyDescent="0.35">
      <c r="A35" s="2" t="str">
        <f>$E$2</f>
        <v>CC429B</v>
      </c>
      <c r="B35" s="1">
        <v>2</v>
      </c>
      <c r="C35" s="1" t="s">
        <v>19</v>
      </c>
      <c r="D35" s="2" t="s">
        <v>25</v>
      </c>
      <c r="E35" s="6" t="s">
        <v>81</v>
      </c>
      <c r="F35" s="7" t="s">
        <v>68</v>
      </c>
      <c r="G35" s="2" t="s">
        <v>27</v>
      </c>
      <c r="H35" s="2" t="s">
        <v>397</v>
      </c>
      <c r="M35" s="2" t="s">
        <v>82</v>
      </c>
      <c r="P35" s="2" t="s">
        <v>70</v>
      </c>
      <c r="Q35" s="1" t="str">
        <f>IF($B35=0,$M35,_xlfn.TEXTBEFORE(Q34,"/",$B35,,,Q34)&amp;"/"&amp;$M35)&amp;IF(_xlfn.TEXTAFTER($D35,"..",,,,1)&lt;&gt;"1","[0]","")</f>
        <v>*/Declarant/identificationNumber</v>
      </c>
    </row>
    <row r="36" spans="1:17" ht="12" customHeight="1" outlineLevel="2" x14ac:dyDescent="0.35">
      <c r="A36" s="2" t="str">
        <f>$E$2</f>
        <v>CC429B</v>
      </c>
      <c r="B36" s="1">
        <v>2</v>
      </c>
      <c r="C36" s="1" t="s">
        <v>19</v>
      </c>
      <c r="D36" s="2" t="s">
        <v>30</v>
      </c>
      <c r="E36" s="6" t="s">
        <v>4</v>
      </c>
      <c r="F36" s="7" t="s">
        <v>83</v>
      </c>
      <c r="G36" s="2" t="s">
        <v>396</v>
      </c>
      <c r="I36" s="2" t="s">
        <v>401</v>
      </c>
      <c r="M36" s="2" t="s">
        <v>84</v>
      </c>
      <c r="P36" s="2" t="s">
        <v>85</v>
      </c>
      <c r="Q36" s="1" t="str">
        <f>IF($B36=0,$M36,_xlfn.TEXTBEFORE(Q35,"/",$B36,,,Q35)&amp;"/"&amp;$M36)&amp;IF(_xlfn.TEXTAFTER($D36,"..",,,,1)&lt;&gt;"1","[0]","")</f>
        <v>*/Declarant/name</v>
      </c>
    </row>
    <row r="37" spans="1:17" ht="12" customHeight="1" outlineLevel="2" x14ac:dyDescent="0.35">
      <c r="A37" s="3" t="str">
        <f>$E$2</f>
        <v>CC429B</v>
      </c>
      <c r="B37" s="4">
        <v>2</v>
      </c>
      <c r="C37" s="3" t="s">
        <v>24</v>
      </c>
      <c r="D37" s="3" t="s">
        <v>30</v>
      </c>
      <c r="E37" s="8" t="s">
        <v>86</v>
      </c>
      <c r="F37" s="4"/>
      <c r="G37" s="3" t="s">
        <v>396</v>
      </c>
      <c r="H37" s="4"/>
      <c r="I37" s="3" t="s">
        <v>401</v>
      </c>
      <c r="J37" s="4"/>
      <c r="K37" s="4"/>
      <c r="L37" s="4"/>
      <c r="M37" s="3" t="s">
        <v>86</v>
      </c>
      <c r="N37" s="4"/>
      <c r="O37" s="4"/>
      <c r="P37" s="3" t="s">
        <v>87</v>
      </c>
      <c r="Q37" s="1" t="str">
        <f>IF($B37=0,$M37,_xlfn.TEXTBEFORE(Q36,"/",$B37,,,Q36)&amp;"/"&amp;$M37)&amp;IF(_xlfn.TEXTAFTER($D37,"..",,,,1)&lt;&gt;"1","[0]","")</f>
        <v>*/Declarant/Address</v>
      </c>
    </row>
    <row r="38" spans="1:17" ht="12" customHeight="1" outlineLevel="3" x14ac:dyDescent="0.35">
      <c r="A38" s="2" t="str">
        <f>$E$2</f>
        <v>CC429B</v>
      </c>
      <c r="B38" s="1">
        <v>3</v>
      </c>
      <c r="C38" s="1" t="s">
        <v>19</v>
      </c>
      <c r="D38" s="2" t="s">
        <v>25</v>
      </c>
      <c r="E38" s="9" t="s">
        <v>88</v>
      </c>
      <c r="F38" s="7" t="s">
        <v>83</v>
      </c>
      <c r="G38" s="2" t="s">
        <v>27</v>
      </c>
      <c r="M38" s="2" t="s">
        <v>89</v>
      </c>
      <c r="P38" s="2" t="s">
        <v>90</v>
      </c>
      <c r="Q38" s="1" t="str">
        <f>IF($B38=0,$M38,_xlfn.TEXTBEFORE(Q37,"/",$B38,,,Q37)&amp;"/"&amp;$M38)&amp;IF(_xlfn.TEXTAFTER($D38,"..",,,,1)&lt;&gt;"1","[0]","")</f>
        <v>*/Declarant/Address/streetAndNumber</v>
      </c>
    </row>
    <row r="39" spans="1:17" ht="12" customHeight="1" outlineLevel="3" x14ac:dyDescent="0.35">
      <c r="A39" s="2" t="str">
        <f>$E$2</f>
        <v>CC429B</v>
      </c>
      <c r="B39" s="1">
        <v>3</v>
      </c>
      <c r="C39" s="1" t="s">
        <v>19</v>
      </c>
      <c r="D39" s="2" t="s">
        <v>30</v>
      </c>
      <c r="E39" s="9" t="s">
        <v>91</v>
      </c>
      <c r="F39" s="7" t="s">
        <v>92</v>
      </c>
      <c r="G39" s="2" t="s">
        <v>396</v>
      </c>
      <c r="I39" s="2" t="s">
        <v>402</v>
      </c>
      <c r="M39" s="2" t="s">
        <v>93</v>
      </c>
      <c r="P39" s="2" t="s">
        <v>94</v>
      </c>
      <c r="Q39" s="1" t="str">
        <f>IF($B39=0,$M39,_xlfn.TEXTBEFORE(Q38,"/",$B39,,,Q38)&amp;"/"&amp;$M39)&amp;IF(_xlfn.TEXTAFTER($D39,"..",,,,1)&lt;&gt;"1","[0]","")</f>
        <v>*/Declarant/Address/postcode</v>
      </c>
    </row>
    <row r="40" spans="1:17" ht="12" customHeight="1" outlineLevel="3" x14ac:dyDescent="0.35">
      <c r="A40" s="2" t="str">
        <f>$E$2</f>
        <v>CC429B</v>
      </c>
      <c r="B40" s="1">
        <v>3</v>
      </c>
      <c r="C40" s="1" t="s">
        <v>19</v>
      </c>
      <c r="D40" s="2" t="s">
        <v>25</v>
      </c>
      <c r="E40" s="9" t="s">
        <v>95</v>
      </c>
      <c r="F40" s="7" t="s">
        <v>96</v>
      </c>
      <c r="G40" s="2" t="s">
        <v>27</v>
      </c>
      <c r="M40" s="2" t="s">
        <v>97</v>
      </c>
      <c r="P40" s="2" t="s">
        <v>98</v>
      </c>
      <c r="Q40" s="1" t="str">
        <f>IF($B40=0,$M40,_xlfn.TEXTBEFORE(Q39,"/",$B40,,,Q39)&amp;"/"&amp;$M40)&amp;IF(_xlfn.TEXTAFTER($D40,"..",,,,1)&lt;&gt;"1","[0]","")</f>
        <v>*/Declarant/Address/city</v>
      </c>
    </row>
    <row r="41" spans="1:17" ht="12" customHeight="1" outlineLevel="3" x14ac:dyDescent="0.35">
      <c r="A41" s="2" t="str">
        <f>$E$2</f>
        <v>CC429B</v>
      </c>
      <c r="B41" s="1">
        <v>3</v>
      </c>
      <c r="C41" s="1" t="s">
        <v>19</v>
      </c>
      <c r="D41" s="2" t="s">
        <v>25</v>
      </c>
      <c r="E41" s="9" t="s">
        <v>99</v>
      </c>
      <c r="F41" s="7" t="s">
        <v>50</v>
      </c>
      <c r="G41" s="2" t="s">
        <v>27</v>
      </c>
      <c r="J41" s="2" t="s">
        <v>403</v>
      </c>
      <c r="M41" s="2" t="s">
        <v>100</v>
      </c>
      <c r="P41" s="2" t="s">
        <v>52</v>
      </c>
      <c r="Q41" s="1" t="str">
        <f>IF($B41=0,$M41,_xlfn.TEXTBEFORE(Q40,"/",$B41,,,Q40)&amp;"/"&amp;$M41)&amp;IF(_xlfn.TEXTAFTER($D41,"..",,,,1)&lt;&gt;"1","[0]","")</f>
        <v>*/Declarant/Address/country</v>
      </c>
    </row>
    <row r="42" spans="1:17" ht="12" customHeight="1" outlineLevel="2" x14ac:dyDescent="0.35">
      <c r="A42" s="3" t="str">
        <f>$E$2</f>
        <v>CC429B</v>
      </c>
      <c r="B42" s="4">
        <v>2</v>
      </c>
      <c r="C42" s="3" t="s">
        <v>24</v>
      </c>
      <c r="D42" s="3" t="s">
        <v>30</v>
      </c>
      <c r="E42" s="8" t="s">
        <v>105</v>
      </c>
      <c r="F42" s="4"/>
      <c r="G42" s="3" t="s">
        <v>22</v>
      </c>
      <c r="H42" s="3" t="s">
        <v>409</v>
      </c>
      <c r="I42" s="4"/>
      <c r="J42" s="4"/>
      <c r="K42" s="4"/>
      <c r="L42" s="4"/>
      <c r="M42" s="3" t="s">
        <v>106</v>
      </c>
      <c r="N42" s="4"/>
      <c r="O42" s="4"/>
      <c r="P42" s="3" t="s">
        <v>107</v>
      </c>
      <c r="Q42" s="1" t="str">
        <f>IF($B42=0,$M42,_xlfn.TEXTBEFORE(Q41,"/",$B42,,,Q41)&amp;"/"&amp;$M42)&amp;IF(_xlfn.TEXTAFTER($D42,"..",,,,1)&lt;&gt;"1","[0]","")</f>
        <v>*/Declarant/ContactPerson</v>
      </c>
    </row>
    <row r="43" spans="1:17" ht="12" customHeight="1" outlineLevel="3" x14ac:dyDescent="0.35">
      <c r="A43" s="2" t="str">
        <f>$E$2</f>
        <v>CC429B</v>
      </c>
      <c r="B43" s="1">
        <v>3</v>
      </c>
      <c r="C43" s="1" t="s">
        <v>19</v>
      </c>
      <c r="D43" s="2" t="s">
        <v>25</v>
      </c>
      <c r="E43" s="9" t="s">
        <v>4</v>
      </c>
      <c r="F43" s="7" t="s">
        <v>83</v>
      </c>
      <c r="G43" s="2" t="s">
        <v>27</v>
      </c>
      <c r="M43" s="2" t="s">
        <v>84</v>
      </c>
      <c r="P43" s="2" t="s">
        <v>85</v>
      </c>
      <c r="Q43" s="1" t="str">
        <f>IF($B43=0,$M43,_xlfn.TEXTBEFORE(Q42,"/",$B43,,,Q42)&amp;"/"&amp;$M43)&amp;IF(_xlfn.TEXTAFTER($D43,"..",,,,1)&lt;&gt;"1","[0]","")</f>
        <v>*/Declarant/ContactPerson/name</v>
      </c>
    </row>
    <row r="44" spans="1:17" ht="12" customHeight="1" outlineLevel="3" x14ac:dyDescent="0.35">
      <c r="A44" s="2" t="str">
        <f>$E$2</f>
        <v>CC429B</v>
      </c>
      <c r="B44" s="1">
        <v>3</v>
      </c>
      <c r="C44" s="1" t="s">
        <v>19</v>
      </c>
      <c r="D44" s="2" t="s">
        <v>25</v>
      </c>
      <c r="E44" s="9" t="s">
        <v>108</v>
      </c>
      <c r="F44" s="7" t="s">
        <v>96</v>
      </c>
      <c r="G44" s="2" t="s">
        <v>27</v>
      </c>
      <c r="M44" s="2" t="s">
        <v>109</v>
      </c>
      <c r="P44" s="2" t="s">
        <v>110</v>
      </c>
      <c r="Q44" s="1" t="str">
        <f>IF($B44=0,$M44,_xlfn.TEXTBEFORE(Q43,"/",$B44,,,Q43)&amp;"/"&amp;$M44)&amp;IF(_xlfn.TEXTAFTER($D44,"..",,,,1)&lt;&gt;"1","[0]","")</f>
        <v>*/Declarant/ContactPerson/phoneNumber</v>
      </c>
    </row>
    <row r="45" spans="1:17" ht="12" customHeight="1" outlineLevel="3" x14ac:dyDescent="0.35">
      <c r="A45" s="2" t="str">
        <f>$E$2</f>
        <v>CC429B</v>
      </c>
      <c r="B45" s="1">
        <v>3</v>
      </c>
      <c r="C45" s="1" t="s">
        <v>19</v>
      </c>
      <c r="D45" s="2" t="s">
        <v>25</v>
      </c>
      <c r="E45" s="9" t="s">
        <v>111</v>
      </c>
      <c r="F45" s="7" t="s">
        <v>112</v>
      </c>
      <c r="G45" s="2" t="s">
        <v>27</v>
      </c>
      <c r="M45" s="2" t="s">
        <v>113</v>
      </c>
      <c r="P45" s="2" t="s">
        <v>114</v>
      </c>
      <c r="Q45" s="1" t="str">
        <f>IF($B45=0,$M45,_xlfn.TEXTBEFORE(Q44,"/",$B45,,,Q44)&amp;"/"&amp;$M45)&amp;IF(_xlfn.TEXTAFTER($D45,"..",,,,1)&lt;&gt;"1","[0]","")</f>
        <v>*/Declarant/ContactPerson/eMailAddress</v>
      </c>
    </row>
    <row r="46" spans="1:17" ht="12" customHeight="1" outlineLevel="1" x14ac:dyDescent="0.35">
      <c r="A46" s="3" t="str">
        <f>$E$2</f>
        <v>CC429B</v>
      </c>
      <c r="B46" s="4">
        <v>1</v>
      </c>
      <c r="C46" s="3" t="s">
        <v>24</v>
      </c>
      <c r="D46" s="3" t="s">
        <v>30</v>
      </c>
      <c r="E46" s="5" t="s">
        <v>115</v>
      </c>
      <c r="F46" s="4"/>
      <c r="G46" s="3" t="s">
        <v>396</v>
      </c>
      <c r="H46" s="3" t="s">
        <v>397</v>
      </c>
      <c r="I46" s="3" t="s">
        <v>404</v>
      </c>
      <c r="J46" s="4"/>
      <c r="K46" s="4"/>
      <c r="L46" s="4"/>
      <c r="M46" s="3" t="s">
        <v>116</v>
      </c>
      <c r="N46" s="4"/>
      <c r="O46" s="4"/>
      <c r="P46" s="3" t="s">
        <v>117</v>
      </c>
      <c r="Q46" s="1" t="str">
        <f>IF($B46=0,$M46,_xlfn.TEXTBEFORE(Q45,"/",$B46,,,Q45)&amp;"/"&amp;$M46)&amp;IF(_xlfn.TEXTAFTER($D46,"..",,,,1)&lt;&gt;"1","[0]","")</f>
        <v>*/PersonProvidingAGuarantee</v>
      </c>
    </row>
    <row r="47" spans="1:17" ht="12" customHeight="1" outlineLevel="2" x14ac:dyDescent="0.35">
      <c r="A47" s="2" t="str">
        <f>$E$2</f>
        <v>CC429B</v>
      </c>
      <c r="B47" s="1">
        <v>2</v>
      </c>
      <c r="C47" s="1" t="s">
        <v>19</v>
      </c>
      <c r="D47" s="2" t="s">
        <v>25</v>
      </c>
      <c r="E47" s="6" t="s">
        <v>81</v>
      </c>
      <c r="F47" s="7" t="s">
        <v>68</v>
      </c>
      <c r="G47" s="2" t="s">
        <v>27</v>
      </c>
      <c r="M47" s="2" t="s">
        <v>82</v>
      </c>
      <c r="P47" s="2" t="s">
        <v>70</v>
      </c>
      <c r="Q47" s="1" t="str">
        <f>IF($B47=0,$M47,_xlfn.TEXTBEFORE(Q46,"/",$B47,,,Q46)&amp;"/"&amp;$M47)&amp;IF(_xlfn.TEXTAFTER($D47,"..",,,,1)&lt;&gt;"1","[0]","")</f>
        <v>*/PersonProvidingAGuarantee/identificationNumber</v>
      </c>
    </row>
    <row r="48" spans="1:17" ht="12" customHeight="1" outlineLevel="1" x14ac:dyDescent="0.35">
      <c r="A48" s="3" t="str">
        <f>$E$2</f>
        <v>CC429B</v>
      </c>
      <c r="B48" s="4">
        <v>1</v>
      </c>
      <c r="C48" s="3" t="s">
        <v>24</v>
      </c>
      <c r="D48" s="3" t="s">
        <v>30</v>
      </c>
      <c r="E48" s="5" t="s">
        <v>118</v>
      </c>
      <c r="F48" s="4"/>
      <c r="G48" s="3" t="s">
        <v>396</v>
      </c>
      <c r="H48" s="3" t="s">
        <v>397</v>
      </c>
      <c r="I48" s="3" t="s">
        <v>405</v>
      </c>
      <c r="J48" s="4"/>
      <c r="K48" s="4"/>
      <c r="L48" s="4"/>
      <c r="M48" s="3" t="s">
        <v>119</v>
      </c>
      <c r="N48" s="4"/>
      <c r="O48" s="4"/>
      <c r="P48" s="3" t="s">
        <v>120</v>
      </c>
      <c r="Q48" s="1" t="str">
        <f>IF($B48=0,$M48,_xlfn.TEXTBEFORE(Q47,"/",$B48,,,Q47)&amp;"/"&amp;$M48)&amp;IF(_xlfn.TEXTAFTER($D48,"..",,,,1)&lt;&gt;"1","[0]","")</f>
        <v>*/PersonPayingCustomsDuty</v>
      </c>
    </row>
    <row r="49" spans="1:17" ht="12" customHeight="1" outlineLevel="2" x14ac:dyDescent="0.35">
      <c r="A49" s="2" t="str">
        <f>$E$2</f>
        <v>CC429B</v>
      </c>
      <c r="B49" s="1">
        <v>2</v>
      </c>
      <c r="C49" s="1" t="s">
        <v>19</v>
      </c>
      <c r="D49" s="2" t="s">
        <v>25</v>
      </c>
      <c r="E49" s="6" t="s">
        <v>81</v>
      </c>
      <c r="F49" s="7" t="s">
        <v>68</v>
      </c>
      <c r="G49" s="2" t="s">
        <v>27</v>
      </c>
      <c r="M49" s="2" t="s">
        <v>82</v>
      </c>
      <c r="P49" s="2" t="s">
        <v>70</v>
      </c>
      <c r="Q49" s="1" t="str">
        <f>IF($B49=0,$M49,_xlfn.TEXTBEFORE(Q48,"/",$B49,,,Q48)&amp;"/"&amp;$M49)&amp;IF(_xlfn.TEXTAFTER($D49,"..",,,,1)&lt;&gt;"1","[0]","")</f>
        <v>*/PersonPayingCustomsDuty/identificationNumber</v>
      </c>
    </row>
    <row r="50" spans="1:17" ht="12" customHeight="1" outlineLevel="1" x14ac:dyDescent="0.35">
      <c r="A50" s="3" t="str">
        <f>$E$2</f>
        <v>CC429B</v>
      </c>
      <c r="B50" s="4">
        <v>1</v>
      </c>
      <c r="C50" s="3" t="s">
        <v>24</v>
      </c>
      <c r="D50" s="3" t="s">
        <v>30</v>
      </c>
      <c r="E50" s="5" t="s">
        <v>121</v>
      </c>
      <c r="F50" s="4"/>
      <c r="G50" s="3" t="s">
        <v>22</v>
      </c>
      <c r="H50" s="4"/>
      <c r="I50" s="4"/>
      <c r="J50" s="4"/>
      <c r="K50" s="4"/>
      <c r="L50" s="4"/>
      <c r="M50" s="3" t="s">
        <v>121</v>
      </c>
      <c r="N50" s="4"/>
      <c r="O50" s="4"/>
      <c r="P50" s="3" t="s">
        <v>1240</v>
      </c>
      <c r="Q50" s="1" t="str">
        <f>IF($B50=0,$M50,_xlfn.TEXTBEFORE(Q49,"/",$B50,,,Q49)&amp;"/"&amp;$M50)&amp;IF(_xlfn.TEXTAFTER($D50,"..",,,,1)&lt;&gt;"1","[0]","")</f>
        <v>*/Representative</v>
      </c>
    </row>
    <row r="51" spans="1:17" ht="12" customHeight="1" outlineLevel="2" x14ac:dyDescent="0.35">
      <c r="A51" s="2" t="str">
        <f>$E$2</f>
        <v>CC429B</v>
      </c>
      <c r="B51" s="1">
        <v>2</v>
      </c>
      <c r="C51" s="1" t="s">
        <v>19</v>
      </c>
      <c r="D51" s="2" t="s">
        <v>25</v>
      </c>
      <c r="E51" s="6" t="s">
        <v>81</v>
      </c>
      <c r="F51" s="7" t="s">
        <v>68</v>
      </c>
      <c r="G51" s="2" t="s">
        <v>27</v>
      </c>
      <c r="H51" s="2" t="s">
        <v>788</v>
      </c>
      <c r="M51" s="2" t="s">
        <v>82</v>
      </c>
      <c r="P51" s="2" t="s">
        <v>70</v>
      </c>
      <c r="Q51" s="1" t="str">
        <f>IF($B51=0,$M51,_xlfn.TEXTBEFORE(Q50,"/",$B51,,,Q50)&amp;"/"&amp;$M51)&amp;IF(_xlfn.TEXTAFTER($D51,"..",,,,1)&lt;&gt;"1","[0]","")</f>
        <v>*/Representative/identificationNumber</v>
      </c>
    </row>
    <row r="52" spans="1:17" ht="12" customHeight="1" outlineLevel="2" x14ac:dyDescent="0.35">
      <c r="A52" s="2" t="str">
        <f>$E$2</f>
        <v>CC429B</v>
      </c>
      <c r="B52" s="1">
        <v>2</v>
      </c>
      <c r="C52" s="1" t="s">
        <v>19</v>
      </c>
      <c r="D52" s="2" t="s">
        <v>25</v>
      </c>
      <c r="E52" s="6" t="s">
        <v>6</v>
      </c>
      <c r="F52" s="7" t="s">
        <v>123</v>
      </c>
      <c r="G52" s="2" t="s">
        <v>27</v>
      </c>
      <c r="H52" s="2" t="s">
        <v>407</v>
      </c>
      <c r="J52" s="2" t="s">
        <v>408</v>
      </c>
      <c r="M52" s="2" t="s">
        <v>124</v>
      </c>
      <c r="P52" s="2" t="s">
        <v>125</v>
      </c>
      <c r="Q52" s="1" t="str">
        <f>IF($B52=0,$M52,_xlfn.TEXTBEFORE(Q51,"/",$B52,,,Q51)&amp;"/"&amp;$M52)&amp;IF(_xlfn.TEXTAFTER($D52,"..",,,,1)&lt;&gt;"1","[0]","")</f>
        <v>*/Representative/status</v>
      </c>
    </row>
    <row r="53" spans="1:17" ht="12" customHeight="1" outlineLevel="2" x14ac:dyDescent="0.35">
      <c r="A53" s="3" t="str">
        <f>$E$2</f>
        <v>CC429B</v>
      </c>
      <c r="B53" s="4">
        <v>2</v>
      </c>
      <c r="C53" s="3" t="s">
        <v>24</v>
      </c>
      <c r="D53" s="3" t="s">
        <v>30</v>
      </c>
      <c r="E53" s="8" t="s">
        <v>105</v>
      </c>
      <c r="F53" s="4"/>
      <c r="G53" s="3" t="s">
        <v>22</v>
      </c>
      <c r="H53" s="3" t="s">
        <v>409</v>
      </c>
      <c r="I53" s="4"/>
      <c r="J53" s="4"/>
      <c r="K53" s="4"/>
      <c r="L53" s="4"/>
      <c r="M53" s="3" t="s">
        <v>106</v>
      </c>
      <c r="N53" s="4"/>
      <c r="O53" s="4"/>
      <c r="P53" s="3" t="s">
        <v>107</v>
      </c>
      <c r="Q53" s="1" t="str">
        <f>IF($B53=0,$M53,_xlfn.TEXTBEFORE(Q52,"/",$B53,,,Q52)&amp;"/"&amp;$M53)&amp;IF(_xlfn.TEXTAFTER($D53,"..",,,,1)&lt;&gt;"1","[0]","")</f>
        <v>*/Representative/ContactPerson</v>
      </c>
    </row>
    <row r="54" spans="1:17" ht="12" customHeight="1" outlineLevel="3" x14ac:dyDescent="0.35">
      <c r="A54" s="2" t="str">
        <f>$E$2</f>
        <v>CC429B</v>
      </c>
      <c r="B54" s="1">
        <v>3</v>
      </c>
      <c r="C54" s="1" t="s">
        <v>19</v>
      </c>
      <c r="D54" s="2" t="s">
        <v>25</v>
      </c>
      <c r="E54" s="9" t="s">
        <v>4</v>
      </c>
      <c r="F54" s="7" t="s">
        <v>83</v>
      </c>
      <c r="G54" s="2" t="s">
        <v>27</v>
      </c>
      <c r="M54" s="2" t="s">
        <v>84</v>
      </c>
      <c r="P54" s="2" t="s">
        <v>85</v>
      </c>
      <c r="Q54" s="1" t="str">
        <f>IF($B54=0,$M54,_xlfn.TEXTBEFORE(Q53,"/",$B54,,,Q53)&amp;"/"&amp;$M54)&amp;IF(_xlfn.TEXTAFTER($D54,"..",,,,1)&lt;&gt;"1","[0]","")</f>
        <v>*/Representative/ContactPerson/name</v>
      </c>
    </row>
    <row r="55" spans="1:17" ht="12" customHeight="1" outlineLevel="3" x14ac:dyDescent="0.35">
      <c r="A55" s="2" t="str">
        <f>$E$2</f>
        <v>CC429B</v>
      </c>
      <c r="B55" s="1">
        <v>3</v>
      </c>
      <c r="C55" s="1" t="s">
        <v>19</v>
      </c>
      <c r="D55" s="2" t="s">
        <v>25</v>
      </c>
      <c r="E55" s="9" t="s">
        <v>108</v>
      </c>
      <c r="F55" s="7" t="s">
        <v>96</v>
      </c>
      <c r="G55" s="2" t="s">
        <v>27</v>
      </c>
      <c r="M55" s="2" t="s">
        <v>109</v>
      </c>
      <c r="P55" s="2" t="s">
        <v>110</v>
      </c>
      <c r="Q55" s="1" t="str">
        <f>IF($B55=0,$M55,_xlfn.TEXTBEFORE(Q54,"/",$B55,,,Q54)&amp;"/"&amp;$M55)&amp;IF(_xlfn.TEXTAFTER($D55,"..",,,,1)&lt;&gt;"1","[0]","")</f>
        <v>*/Representative/ContactPerson/phoneNumber</v>
      </c>
    </row>
    <row r="56" spans="1:17" ht="12" customHeight="1" outlineLevel="3" x14ac:dyDescent="0.35">
      <c r="A56" s="2" t="str">
        <f>$E$2</f>
        <v>CC429B</v>
      </c>
      <c r="B56" s="1">
        <v>3</v>
      </c>
      <c r="C56" s="1" t="s">
        <v>19</v>
      </c>
      <c r="D56" s="2" t="s">
        <v>25</v>
      </c>
      <c r="E56" s="9" t="s">
        <v>111</v>
      </c>
      <c r="F56" s="7" t="s">
        <v>112</v>
      </c>
      <c r="G56" s="2" t="s">
        <v>27</v>
      </c>
      <c r="M56" s="2" t="s">
        <v>113</v>
      </c>
      <c r="P56" s="2" t="s">
        <v>114</v>
      </c>
      <c r="Q56" s="1" t="str">
        <f>IF($B56=0,$M56,_xlfn.TEXTBEFORE(Q55,"/",$B56,,,Q55)&amp;"/"&amp;$M56)&amp;IF(_xlfn.TEXTAFTER($D56,"..",,,,1)&lt;&gt;"1","[0]","")</f>
        <v>*/Representative/ContactPerson/eMailAddress</v>
      </c>
    </row>
    <row r="57" spans="1:17" ht="12" customHeight="1" outlineLevel="1" x14ac:dyDescent="0.35">
      <c r="A57" s="3" t="str">
        <f>$E$2</f>
        <v>CC429B</v>
      </c>
      <c r="B57" s="4">
        <v>1</v>
      </c>
      <c r="C57" s="3" t="s">
        <v>24</v>
      </c>
      <c r="D57" s="3" t="s">
        <v>53</v>
      </c>
      <c r="E57" s="5" t="s">
        <v>126</v>
      </c>
      <c r="F57" s="4"/>
      <c r="G57" s="3" t="s">
        <v>396</v>
      </c>
      <c r="H57" s="3" t="s">
        <v>1269</v>
      </c>
      <c r="I57" s="16" t="s">
        <v>1270</v>
      </c>
      <c r="J57" s="4"/>
      <c r="K57" s="4"/>
      <c r="L57" s="4"/>
      <c r="M57" s="3" t="s">
        <v>126</v>
      </c>
      <c r="N57" s="4"/>
      <c r="O57" s="4"/>
      <c r="P57" s="3" t="s">
        <v>1497</v>
      </c>
      <c r="Q57" s="1" t="str">
        <f>IF($B57=0,$M57,_xlfn.TEXTBEFORE(Q56,"/",$B57,,,Q56)&amp;"/"&amp;$M57)&amp;IF(_xlfn.TEXTAFTER($D57,"..",,,,1)&lt;&gt;"1","[0]","")</f>
        <v>*/Guarantee[0]</v>
      </c>
    </row>
    <row r="58" spans="1:17" ht="12" customHeight="1" outlineLevel="2" x14ac:dyDescent="0.35">
      <c r="A58" s="2" t="str">
        <f>$E$2</f>
        <v>CC429B</v>
      </c>
      <c r="B58" s="1">
        <v>2</v>
      </c>
      <c r="C58" s="1" t="s">
        <v>19</v>
      </c>
      <c r="D58" s="2" t="s">
        <v>25</v>
      </c>
      <c r="E58" s="6" t="s">
        <v>56</v>
      </c>
      <c r="F58" s="7" t="s">
        <v>57</v>
      </c>
      <c r="G58" s="2" t="s">
        <v>27</v>
      </c>
      <c r="H58" s="2" t="s">
        <v>393</v>
      </c>
      <c r="M58" s="2" t="s">
        <v>58</v>
      </c>
      <c r="P58" s="2" t="s">
        <v>59</v>
      </c>
      <c r="Q58" s="1" t="str">
        <f>IF($B58=0,$M58,_xlfn.TEXTBEFORE(Q57,"/",$B58,,,Q57)&amp;"/"&amp;$M58)&amp;IF(_xlfn.TEXTAFTER($D58,"..",,,,1)&lt;&gt;"1","[0]","")</f>
        <v>*/Guarantee[0]/sequenceNumber</v>
      </c>
    </row>
    <row r="59" spans="1:17" ht="12" customHeight="1" outlineLevel="2" x14ac:dyDescent="0.35">
      <c r="A59" s="2" t="str">
        <f>$E$2</f>
        <v>CC429B</v>
      </c>
      <c r="B59" s="1">
        <v>2</v>
      </c>
      <c r="C59" s="1" t="s">
        <v>19</v>
      </c>
      <c r="D59" s="2" t="s">
        <v>25</v>
      </c>
      <c r="E59" s="6" t="s">
        <v>128</v>
      </c>
      <c r="F59" s="7" t="s">
        <v>129</v>
      </c>
      <c r="G59" s="2" t="s">
        <v>27</v>
      </c>
      <c r="J59" s="2" t="s">
        <v>412</v>
      </c>
      <c r="M59" s="2" t="s">
        <v>130</v>
      </c>
      <c r="P59" s="2" t="s">
        <v>131</v>
      </c>
      <c r="Q59" s="1" t="str">
        <f>IF($B59=0,$M59,_xlfn.TEXTBEFORE(Q58,"/",$B59,,,Q58)&amp;"/"&amp;$M59)&amp;IF(_xlfn.TEXTAFTER($D59,"..",,,,1)&lt;&gt;"1","[0]","")</f>
        <v>*/Guarantee[0]/guaranteeType</v>
      </c>
    </row>
    <row r="60" spans="1:17" ht="12" customHeight="1" outlineLevel="2" x14ac:dyDescent="0.35">
      <c r="A60" s="3" t="str">
        <f>$E$2</f>
        <v>CC429B</v>
      </c>
      <c r="B60" s="4">
        <v>2</v>
      </c>
      <c r="C60" s="3" t="s">
        <v>24</v>
      </c>
      <c r="D60" s="3" t="s">
        <v>134</v>
      </c>
      <c r="E60" s="8" t="s">
        <v>135</v>
      </c>
      <c r="F60" s="4"/>
      <c r="G60" s="3" t="s">
        <v>27</v>
      </c>
      <c r="H60" s="4"/>
      <c r="I60" s="4"/>
      <c r="J60" s="4"/>
      <c r="K60" s="4"/>
      <c r="L60" s="4"/>
      <c r="M60" s="3" t="s">
        <v>136</v>
      </c>
      <c r="N60" s="4"/>
      <c r="O60" s="4"/>
      <c r="P60" s="3" t="s">
        <v>137</v>
      </c>
      <c r="Q60" s="1" t="str">
        <f>IF($B60=0,$M60,_xlfn.TEXTBEFORE(Q59,"/",$B60,,,Q59)&amp;"/"&amp;$M60)&amp;IF(_xlfn.TEXTAFTER($D60,"..",,,,1)&lt;&gt;"1","[0]","")</f>
        <v>*/Guarantee[0]/GuaranteeReference[0]</v>
      </c>
    </row>
    <row r="61" spans="1:17" ht="12" customHeight="1" outlineLevel="3" x14ac:dyDescent="0.35">
      <c r="A61" s="2" t="str">
        <f>$E$2</f>
        <v>CC429B</v>
      </c>
      <c r="B61" s="1">
        <v>3</v>
      </c>
      <c r="C61" s="1" t="s">
        <v>19</v>
      </c>
      <c r="D61" s="2" t="s">
        <v>25</v>
      </c>
      <c r="E61" s="9" t="s">
        <v>56</v>
      </c>
      <c r="F61" s="7" t="s">
        <v>57</v>
      </c>
      <c r="G61" s="2" t="s">
        <v>27</v>
      </c>
      <c r="H61" s="2" t="s">
        <v>393</v>
      </c>
      <c r="M61" s="2" t="s">
        <v>58</v>
      </c>
      <c r="P61" s="2" t="s">
        <v>59</v>
      </c>
      <c r="Q61" s="1" t="str">
        <f>IF($B61=0,$M61,_xlfn.TEXTBEFORE(Q60,"/",$B61,,,Q60)&amp;"/"&amp;$M61)&amp;IF(_xlfn.TEXTAFTER($D61,"..",,,,1)&lt;&gt;"1","[0]","")</f>
        <v>*/Guarantee[0]/GuaranteeReference[0]/sequenceNumber</v>
      </c>
    </row>
    <row r="62" spans="1:17" ht="12" customHeight="1" outlineLevel="3" x14ac:dyDescent="0.35">
      <c r="A62" s="2" t="str">
        <f>$E$2</f>
        <v>CC429B</v>
      </c>
      <c r="B62" s="1">
        <v>3</v>
      </c>
      <c r="C62" s="1" t="s">
        <v>19</v>
      </c>
      <c r="D62" s="2" t="s">
        <v>30</v>
      </c>
      <c r="E62" s="9" t="s">
        <v>138</v>
      </c>
      <c r="F62" s="7" t="s">
        <v>139</v>
      </c>
      <c r="G62" s="2" t="s">
        <v>396</v>
      </c>
      <c r="I62" s="2" t="s">
        <v>413</v>
      </c>
      <c r="M62" s="2" t="s">
        <v>140</v>
      </c>
      <c r="P62" s="2" t="s">
        <v>141</v>
      </c>
      <c r="Q62" s="1" t="str">
        <f>IF($B62=0,$M62,_xlfn.TEXTBEFORE(Q61,"/",$B62,,,Q61)&amp;"/"&amp;$M62)&amp;IF(_xlfn.TEXTAFTER($D62,"..",,,,1)&lt;&gt;"1","[0]","")</f>
        <v>*/Guarantee[0]/GuaranteeReference[0]/GRN</v>
      </c>
    </row>
    <row r="63" spans="1:17" ht="12" customHeight="1" outlineLevel="3" x14ac:dyDescent="0.35">
      <c r="A63" s="2" t="str">
        <f>$E$2</f>
        <v>CC429B</v>
      </c>
      <c r="B63" s="1">
        <v>3</v>
      </c>
      <c r="C63" s="1" t="s">
        <v>19</v>
      </c>
      <c r="D63" s="2" t="s">
        <v>30</v>
      </c>
      <c r="E63" s="9" t="s">
        <v>142</v>
      </c>
      <c r="F63" s="7" t="s">
        <v>50</v>
      </c>
      <c r="G63" s="2" t="s">
        <v>396</v>
      </c>
      <c r="H63" s="2" t="s">
        <v>1271</v>
      </c>
      <c r="I63" s="2" t="s">
        <v>415</v>
      </c>
      <c r="J63" s="2" t="s">
        <v>416</v>
      </c>
      <c r="M63" s="2" t="s">
        <v>143</v>
      </c>
      <c r="P63" s="2" t="s">
        <v>52</v>
      </c>
      <c r="Q63" s="1" t="str">
        <f>IF($B63=0,$M63,_xlfn.TEXTBEFORE(Q62,"/",$B63,,,Q62)&amp;"/"&amp;$M63)&amp;IF(_xlfn.TEXTAFTER($D63,"..",,,,1)&lt;&gt;"1","[0]","")</f>
        <v>*/Guarantee[0]/GuaranteeReference[0]/ccQualifier</v>
      </c>
    </row>
    <row r="64" spans="1:17" ht="12" customHeight="1" outlineLevel="3" x14ac:dyDescent="0.35">
      <c r="A64" s="2" t="str">
        <f>$E$2</f>
        <v>CC429B</v>
      </c>
      <c r="B64" s="1">
        <v>3</v>
      </c>
      <c r="C64" s="1" t="s">
        <v>19</v>
      </c>
      <c r="D64" s="2" t="s">
        <v>30</v>
      </c>
      <c r="E64" s="9" t="s">
        <v>144</v>
      </c>
      <c r="F64" s="7" t="s">
        <v>60</v>
      </c>
      <c r="G64" s="2" t="s">
        <v>22</v>
      </c>
      <c r="H64" s="2" t="s">
        <v>417</v>
      </c>
      <c r="M64" s="2" t="s">
        <v>145</v>
      </c>
      <c r="P64" s="2" t="s">
        <v>146</v>
      </c>
      <c r="Q64" s="1" t="str">
        <f>IF($B64=0,$M64,_xlfn.TEXTBEFORE(Q63,"/",$B64,,,Q63)&amp;"/"&amp;$M64)&amp;IF(_xlfn.TEXTAFTER($D64,"..",,,,1)&lt;&gt;"1","[0]","")</f>
        <v>*/Guarantee[0]/GuaranteeReference[0]/accessCode</v>
      </c>
    </row>
    <row r="65" spans="1:17" ht="12" customHeight="1" outlineLevel="3" x14ac:dyDescent="0.35">
      <c r="A65" s="2" t="str">
        <f>$E$2</f>
        <v>CC429B</v>
      </c>
      <c r="B65" s="1">
        <v>3</v>
      </c>
      <c r="C65" s="1" t="s">
        <v>19</v>
      </c>
      <c r="D65" s="2" t="s">
        <v>25</v>
      </c>
      <c r="E65" s="9" t="s">
        <v>147</v>
      </c>
      <c r="F65" s="7" t="s">
        <v>148</v>
      </c>
      <c r="G65" s="2" t="s">
        <v>27</v>
      </c>
      <c r="J65" s="2" t="s">
        <v>418</v>
      </c>
      <c r="M65" s="2" t="s">
        <v>149</v>
      </c>
      <c r="P65" s="2" t="s">
        <v>150</v>
      </c>
      <c r="Q65" s="1" t="str">
        <f>IF($B65=0,$M65,_xlfn.TEXTBEFORE(Q64,"/",$B65,,,Q64)&amp;"/"&amp;$M65)&amp;IF(_xlfn.TEXTAFTER($D65,"..",,,,1)&lt;&gt;"1","[0]","")</f>
        <v>*/Guarantee[0]/GuaranteeReference[0]/currencyCode</v>
      </c>
    </row>
    <row r="66" spans="1:17" ht="12" customHeight="1" outlineLevel="3" x14ac:dyDescent="0.35">
      <c r="A66" s="2" t="str">
        <f>$E$2</f>
        <v>CC429B</v>
      </c>
      <c r="B66" s="1">
        <v>3</v>
      </c>
      <c r="C66" s="1" t="s">
        <v>19</v>
      </c>
      <c r="D66" s="2" t="s">
        <v>25</v>
      </c>
      <c r="E66" s="9" t="s">
        <v>151</v>
      </c>
      <c r="F66" s="7" t="s">
        <v>152</v>
      </c>
      <c r="G66" s="2" t="s">
        <v>27</v>
      </c>
      <c r="H66" s="2" t="s">
        <v>419</v>
      </c>
      <c r="M66" s="2" t="s">
        <v>153</v>
      </c>
      <c r="P66" s="2" t="s">
        <v>154</v>
      </c>
      <c r="Q66" s="1" t="str">
        <f>IF($B66=0,$M66,_xlfn.TEXTBEFORE(Q65,"/",$B66,,,Q65)&amp;"/"&amp;$M66)&amp;IF(_xlfn.TEXTAFTER($D66,"..",,,,1)&lt;&gt;"1","[0]","")</f>
        <v>*/Guarantee[0]/GuaranteeReference[0]/amountToBeCovered</v>
      </c>
    </row>
    <row r="67" spans="1:17" ht="12" customHeight="1" outlineLevel="3" x14ac:dyDescent="0.35">
      <c r="A67" s="2" t="str">
        <f>$E$2</f>
        <v>CC429B</v>
      </c>
      <c r="B67" s="1">
        <v>3</v>
      </c>
      <c r="C67" s="1" t="s">
        <v>19</v>
      </c>
      <c r="D67" s="2" t="s">
        <v>30</v>
      </c>
      <c r="E67" s="9" t="s">
        <v>155</v>
      </c>
      <c r="F67" s="7" t="s">
        <v>156</v>
      </c>
      <c r="G67" s="2" t="s">
        <v>396</v>
      </c>
      <c r="I67" s="2" t="s">
        <v>415</v>
      </c>
      <c r="M67" s="2" t="s">
        <v>157</v>
      </c>
      <c r="P67" s="2" t="s">
        <v>158</v>
      </c>
      <c r="Q67" s="1" t="str">
        <f>IF($B67=0,$M67,_xlfn.TEXTBEFORE(Q66,"/",$B67,,,Q66)&amp;"/"&amp;$M67)&amp;IF(_xlfn.TEXTAFTER($D67,"..",,,,1)&lt;&gt;"1","[0]","")</f>
        <v>*/Guarantee[0]/GuaranteeReference[0]/otherGuaranteeReference</v>
      </c>
    </row>
    <row r="68" spans="1:17" ht="12" customHeight="1" outlineLevel="3" x14ac:dyDescent="0.35">
      <c r="A68" s="3" t="str">
        <f>$E$2</f>
        <v>CC429B</v>
      </c>
      <c r="B68" s="4">
        <v>3</v>
      </c>
      <c r="C68" s="3" t="s">
        <v>24</v>
      </c>
      <c r="D68" s="3" t="s">
        <v>30</v>
      </c>
      <c r="E68" s="10" t="s">
        <v>159</v>
      </c>
      <c r="F68" s="4"/>
      <c r="G68" s="3" t="s">
        <v>396</v>
      </c>
      <c r="H68" s="4"/>
      <c r="I68" s="3" t="s">
        <v>420</v>
      </c>
      <c r="J68" s="4"/>
      <c r="K68" s="4"/>
      <c r="L68" s="4"/>
      <c r="M68" s="3" t="s">
        <v>160</v>
      </c>
      <c r="N68" s="4"/>
      <c r="O68" s="4"/>
      <c r="P68" s="3" t="s">
        <v>161</v>
      </c>
      <c r="Q68" s="1" t="str">
        <f>IF($B68=0,$M68,_xlfn.TEXTBEFORE(Q67,"/",$B68,,,Q67)&amp;"/"&amp;$M68)&amp;IF(_xlfn.TEXTAFTER($D68,"..",,,,1)&lt;&gt;"1","[0]","")</f>
        <v>*/Guarantee[0]/GuaranteeReference[0]/CustomsOfficeOfGuarantee</v>
      </c>
    </row>
    <row r="69" spans="1:17" ht="12" customHeight="1" outlineLevel="4" x14ac:dyDescent="0.35">
      <c r="A69" s="2" t="str">
        <f>$E$2</f>
        <v>CC429B</v>
      </c>
      <c r="B69" s="1">
        <v>4</v>
      </c>
      <c r="C69" s="1" t="s">
        <v>19</v>
      </c>
      <c r="D69" s="2" t="s">
        <v>25</v>
      </c>
      <c r="E69" s="11" t="s">
        <v>63</v>
      </c>
      <c r="F69" s="7" t="s">
        <v>74</v>
      </c>
      <c r="G69" s="2" t="s">
        <v>27</v>
      </c>
      <c r="J69" s="2" t="s">
        <v>399</v>
      </c>
      <c r="M69" s="2" t="s">
        <v>65</v>
      </c>
      <c r="P69" s="2" t="s">
        <v>75</v>
      </c>
      <c r="Q69" s="1" t="str">
        <f>IF($B69=0,$M69,_xlfn.TEXTBEFORE(Q68,"/",$B69,,,Q68)&amp;"/"&amp;$M69)&amp;IF(_xlfn.TEXTAFTER($D69,"..",,,,1)&lt;&gt;"1","[0]","")</f>
        <v>*/Guarantee[0]/GuaranteeReference[0]/CustomsOfficeOfGuarantee/referenceNumber</v>
      </c>
    </row>
    <row r="70" spans="1:17" ht="12" customHeight="1" outlineLevel="1" x14ac:dyDescent="0.35">
      <c r="A70" s="3" t="str">
        <f>$E$2</f>
        <v>CC429B</v>
      </c>
      <c r="B70" s="4">
        <v>1</v>
      </c>
      <c r="C70" s="3" t="s">
        <v>24</v>
      </c>
      <c r="D70" s="3" t="s">
        <v>30</v>
      </c>
      <c r="E70" s="5" t="s">
        <v>162</v>
      </c>
      <c r="F70" s="4"/>
      <c r="G70" s="3" t="s">
        <v>22</v>
      </c>
      <c r="H70" s="3" t="s">
        <v>444</v>
      </c>
      <c r="I70" s="4"/>
      <c r="J70" s="4"/>
      <c r="K70" s="4"/>
      <c r="L70" s="4"/>
      <c r="M70" s="3" t="s">
        <v>163</v>
      </c>
      <c r="N70" s="4"/>
      <c r="O70" s="4"/>
      <c r="P70" s="3" t="s">
        <v>164</v>
      </c>
      <c r="Q70" s="1" t="str">
        <f>IF($B70=0,$M70,_xlfn.TEXTBEFORE(Q69,"/",$B70,,,Q69)&amp;"/"&amp;$M70)&amp;IF(_xlfn.TEXTAFTER($D70,"..",,,,1)&lt;&gt;"1","[0]","")</f>
        <v>*/CurrencyExchange</v>
      </c>
    </row>
    <row r="71" spans="1:17" ht="12" customHeight="1" outlineLevel="2" x14ac:dyDescent="0.35">
      <c r="A71" s="2" t="str">
        <f>$E$2</f>
        <v>CC429B</v>
      </c>
      <c r="B71" s="1">
        <v>2</v>
      </c>
      <c r="C71" s="1" t="s">
        <v>19</v>
      </c>
      <c r="D71" s="2" t="s">
        <v>30</v>
      </c>
      <c r="E71" s="6" t="s">
        <v>165</v>
      </c>
      <c r="F71" s="7" t="s">
        <v>148</v>
      </c>
      <c r="G71" s="2" t="s">
        <v>396</v>
      </c>
      <c r="H71" s="2" t="s">
        <v>445</v>
      </c>
      <c r="I71" s="7" t="s">
        <v>446</v>
      </c>
      <c r="J71" s="2" t="s">
        <v>418</v>
      </c>
      <c r="M71" s="2" t="s">
        <v>166</v>
      </c>
      <c r="P71" s="2" t="s">
        <v>150</v>
      </c>
      <c r="Q71" s="1" t="str">
        <f>IF($B71=0,$M71,_xlfn.TEXTBEFORE(Q70,"/",$B71,,,Q70)&amp;"/"&amp;$M71)&amp;IF(_xlfn.TEXTAFTER($D71,"..",,,,1)&lt;&gt;"1","[0]","")</f>
        <v>*/CurrencyExchange/internalCurrencyUnit</v>
      </c>
    </row>
    <row r="72" spans="1:17" ht="12" customHeight="1" outlineLevel="1" x14ac:dyDescent="0.35">
      <c r="A72" s="3" t="str">
        <f>$E$2</f>
        <v>CC429B</v>
      </c>
      <c r="B72" s="4">
        <v>1</v>
      </c>
      <c r="C72" s="3" t="s">
        <v>24</v>
      </c>
      <c r="D72" s="3" t="s">
        <v>53</v>
      </c>
      <c r="E72" s="5" t="s">
        <v>167</v>
      </c>
      <c r="F72" s="4"/>
      <c r="G72" s="3" t="s">
        <v>396</v>
      </c>
      <c r="H72" s="4"/>
      <c r="I72" s="3" t="s">
        <v>421</v>
      </c>
      <c r="J72" s="4"/>
      <c r="K72" s="4"/>
      <c r="L72" s="4"/>
      <c r="M72" s="3" t="s">
        <v>168</v>
      </c>
      <c r="N72" s="4"/>
      <c r="O72" s="4"/>
      <c r="P72" s="3" t="s">
        <v>169</v>
      </c>
      <c r="Q72" s="1" t="str">
        <f>IF($B72=0,$M72,_xlfn.TEXTBEFORE(Q71,"/",$B72,,,Q71)&amp;"/"&amp;$M72)&amp;IF(_xlfn.TEXTAFTER($D72,"..",,,,1)&lt;&gt;"1","[0]","")</f>
        <v>*/DeferredPayment[0]</v>
      </c>
    </row>
    <row r="73" spans="1:17" ht="12" customHeight="1" outlineLevel="2" x14ac:dyDescent="0.35">
      <c r="A73" s="2" t="str">
        <f>$E$2</f>
        <v>CC429B</v>
      </c>
      <c r="B73" s="1">
        <v>2</v>
      </c>
      <c r="C73" s="1" t="s">
        <v>19</v>
      </c>
      <c r="D73" s="2" t="s">
        <v>25</v>
      </c>
      <c r="E73" s="6" t="s">
        <v>56</v>
      </c>
      <c r="F73" s="7" t="s">
        <v>57</v>
      </c>
      <c r="G73" s="2" t="s">
        <v>27</v>
      </c>
      <c r="H73" s="2" t="s">
        <v>393</v>
      </c>
      <c r="M73" s="2" t="s">
        <v>58</v>
      </c>
      <c r="P73" s="2" t="s">
        <v>59</v>
      </c>
      <c r="Q73" s="1" t="str">
        <f>IF($B73=0,$M73,_xlfn.TEXTBEFORE(Q72,"/",$B73,,,Q72)&amp;"/"&amp;$M73)&amp;IF(_xlfn.TEXTAFTER($D73,"..",,,,1)&lt;&gt;"1","[0]","")</f>
        <v>*/DeferredPayment[0]/sequenceNumber</v>
      </c>
    </row>
    <row r="74" spans="1:17" ht="12" customHeight="1" outlineLevel="2" x14ac:dyDescent="0.35">
      <c r="A74" s="2" t="str">
        <f>$E$2</f>
        <v>CC429B</v>
      </c>
      <c r="B74" s="1">
        <v>2</v>
      </c>
      <c r="C74" s="1" t="s">
        <v>19</v>
      </c>
      <c r="D74" s="2" t="s">
        <v>25</v>
      </c>
      <c r="E74" s="6" t="s">
        <v>167</v>
      </c>
      <c r="F74" s="7" t="s">
        <v>156</v>
      </c>
      <c r="G74" s="2" t="s">
        <v>27</v>
      </c>
      <c r="M74" s="2" t="s">
        <v>170</v>
      </c>
      <c r="P74" s="2" t="s">
        <v>171</v>
      </c>
      <c r="Q74" s="1" t="str">
        <f>IF($B74=0,$M74,_xlfn.TEXTBEFORE(Q73,"/",$B74,,,Q73)&amp;"/"&amp;$M74)&amp;IF(_xlfn.TEXTAFTER($D74,"..",,,,1)&lt;&gt;"1","[0]","")</f>
        <v>*/DeferredPayment[0]/deferredPayment</v>
      </c>
    </row>
    <row r="75" spans="1:17" ht="12" customHeight="1" outlineLevel="2" x14ac:dyDescent="0.35">
      <c r="A75" s="2" t="str">
        <f>$E$2</f>
        <v>CC429B</v>
      </c>
      <c r="B75" s="1">
        <v>2</v>
      </c>
      <c r="C75" s="1" t="s">
        <v>19</v>
      </c>
      <c r="D75" s="2" t="s">
        <v>30</v>
      </c>
      <c r="E75" s="6" t="s">
        <v>142</v>
      </c>
      <c r="F75" s="7" t="s">
        <v>50</v>
      </c>
      <c r="G75" s="2" t="s">
        <v>22</v>
      </c>
      <c r="H75" s="2" t="s">
        <v>512</v>
      </c>
      <c r="J75" s="2" t="s">
        <v>416</v>
      </c>
      <c r="M75" s="2" t="s">
        <v>143</v>
      </c>
      <c r="P75" s="2" t="s">
        <v>52</v>
      </c>
      <c r="Q75" s="1" t="str">
        <f>IF($B75=0,$M75,_xlfn.TEXTBEFORE(Q74,"/",$B75,,,Q74)&amp;"/"&amp;$M75)&amp;IF(_xlfn.TEXTAFTER($D75,"..",,,,1)&lt;&gt;"1","[0]","")</f>
        <v>*/DeferredPayment[0]/ccQualifier</v>
      </c>
    </row>
    <row r="76" spans="1:17" ht="12" customHeight="1" outlineLevel="1" x14ac:dyDescent="0.35">
      <c r="A76" s="3" t="str">
        <f>$E$2</f>
        <v>CC429B</v>
      </c>
      <c r="B76" s="4">
        <v>1</v>
      </c>
      <c r="C76" s="3" t="s">
        <v>24</v>
      </c>
      <c r="D76" s="3" t="s">
        <v>172</v>
      </c>
      <c r="E76" s="5" t="s">
        <v>173</v>
      </c>
      <c r="F76" s="4"/>
      <c r="G76" s="3" t="s">
        <v>27</v>
      </c>
      <c r="H76" s="3" t="s">
        <v>422</v>
      </c>
      <c r="I76" s="4"/>
      <c r="J76" s="4"/>
      <c r="K76" s="4"/>
      <c r="L76" s="4"/>
      <c r="M76" s="3" t="s">
        <v>174</v>
      </c>
      <c r="N76" s="4"/>
      <c r="O76" s="4"/>
      <c r="P76" s="3" t="s">
        <v>1498</v>
      </c>
      <c r="Q76" s="1" t="str">
        <f>IF($B76=0,$M76,_xlfn.TEXTBEFORE(Q75,"/",$B76,,,Q75)&amp;"/"&amp;$M76)&amp;IF(_xlfn.TEXTAFTER($D76,"..",,,,1)&lt;&gt;"1","[0]","")</f>
        <v>*/GoodsShipment[0]</v>
      </c>
    </row>
    <row r="77" spans="1:17" ht="12" customHeight="1" outlineLevel="2" x14ac:dyDescent="0.35">
      <c r="A77" s="2" t="str">
        <f>$E$2</f>
        <v>CC429B</v>
      </c>
      <c r="B77" s="1">
        <v>2</v>
      </c>
      <c r="C77" s="1" t="s">
        <v>19</v>
      </c>
      <c r="D77" s="2" t="s">
        <v>25</v>
      </c>
      <c r="E77" s="6" t="s">
        <v>56</v>
      </c>
      <c r="F77" s="7" t="s">
        <v>57</v>
      </c>
      <c r="G77" s="2" t="s">
        <v>27</v>
      </c>
      <c r="H77" s="2" t="s">
        <v>393</v>
      </c>
      <c r="M77" s="2" t="s">
        <v>58</v>
      </c>
      <c r="P77" s="2" t="s">
        <v>59</v>
      </c>
      <c r="Q77" s="1" t="str">
        <f>IF($B77=0,$M77,_xlfn.TEXTBEFORE(Q76,"/",$B77,,,Q76)&amp;"/"&amp;$M77)&amp;IF(_xlfn.TEXTAFTER($D77,"..",,,,1)&lt;&gt;"1","[0]","")</f>
        <v>*/GoodsShipment[0]/sequenceNumber</v>
      </c>
    </row>
    <row r="78" spans="1:17" ht="12" customHeight="1" outlineLevel="2" x14ac:dyDescent="0.35">
      <c r="A78" s="2" t="str">
        <f>$E$2</f>
        <v>CC429B</v>
      </c>
      <c r="B78" s="1">
        <v>2</v>
      </c>
      <c r="C78" s="1" t="s">
        <v>19</v>
      </c>
      <c r="D78" s="2" t="s">
        <v>30</v>
      </c>
      <c r="E78" s="6" t="s">
        <v>176</v>
      </c>
      <c r="F78" s="7" t="s">
        <v>177</v>
      </c>
      <c r="G78" s="2" t="s">
        <v>396</v>
      </c>
      <c r="H78" s="2" t="s">
        <v>1272</v>
      </c>
      <c r="I78" s="7" t="s">
        <v>1273</v>
      </c>
      <c r="J78" s="2" t="s">
        <v>425</v>
      </c>
      <c r="M78" s="2" t="s">
        <v>178</v>
      </c>
      <c r="P78" s="2" t="s">
        <v>179</v>
      </c>
      <c r="Q78" s="1" t="str">
        <f>IF($B78=0,$M78,_xlfn.TEXTBEFORE(Q77,"/",$B78,,,Q77)&amp;"/"&amp;$M78)&amp;IF(_xlfn.TEXTAFTER($D78,"..",,,,1)&lt;&gt;"1","[0]","")</f>
        <v>*/GoodsShipment[0]/natureOfTransaction</v>
      </c>
    </row>
    <row r="79" spans="1:17" ht="12" customHeight="1" outlineLevel="2" x14ac:dyDescent="0.35">
      <c r="A79" s="2" t="str">
        <f>$E$2</f>
        <v>CC429B</v>
      </c>
      <c r="B79" s="1">
        <v>2</v>
      </c>
      <c r="C79" s="1" t="s">
        <v>19</v>
      </c>
      <c r="D79" s="2" t="s">
        <v>30</v>
      </c>
      <c r="E79" s="6" t="s">
        <v>180</v>
      </c>
      <c r="F79" s="7" t="s">
        <v>181</v>
      </c>
      <c r="G79" s="2" t="s">
        <v>396</v>
      </c>
      <c r="I79" s="2" t="s">
        <v>426</v>
      </c>
      <c r="M79" s="2" t="s">
        <v>182</v>
      </c>
      <c r="P79" s="2" t="s">
        <v>183</v>
      </c>
      <c r="Q79" s="1" t="str">
        <f>IF($B79=0,$M79,_xlfn.TEXTBEFORE(Q78,"/",$B79,,,Q78)&amp;"/"&amp;$M79)&amp;IF(_xlfn.TEXTAFTER($D79,"..",,,,1)&lt;&gt;"1","[0]","")</f>
        <v>*/GoodsShipment[0]/totalAmountInvoiced</v>
      </c>
    </row>
    <row r="80" spans="1:17" ht="12" customHeight="1" outlineLevel="2" x14ac:dyDescent="0.35">
      <c r="A80" s="2" t="str">
        <f>$E$2</f>
        <v>CC429B</v>
      </c>
      <c r="B80" s="1">
        <v>2</v>
      </c>
      <c r="C80" s="1" t="s">
        <v>19</v>
      </c>
      <c r="D80" s="2" t="s">
        <v>30</v>
      </c>
      <c r="E80" s="6" t="s">
        <v>184</v>
      </c>
      <c r="F80" s="7" t="s">
        <v>148</v>
      </c>
      <c r="G80" s="2" t="s">
        <v>396</v>
      </c>
      <c r="H80" s="2" t="s">
        <v>427</v>
      </c>
      <c r="I80" s="7" t="s">
        <v>1274</v>
      </c>
      <c r="J80" s="2" t="s">
        <v>429</v>
      </c>
      <c r="M80" s="2" t="s">
        <v>185</v>
      </c>
      <c r="P80" s="2" t="s">
        <v>150</v>
      </c>
      <c r="Q80" s="1" t="str">
        <f>IF($B80=0,$M80,_xlfn.TEXTBEFORE(Q79,"/",$B80,,,Q79)&amp;"/"&amp;$M80)&amp;IF(_xlfn.TEXTAFTER($D80,"..",,,,1)&lt;&gt;"1","[0]","")</f>
        <v>*/GoodsShipment[0]/invoiceCurrency</v>
      </c>
    </row>
    <row r="81" spans="1:17" ht="12" customHeight="1" outlineLevel="2" x14ac:dyDescent="0.35">
      <c r="A81" s="2" t="str">
        <f>$E$2</f>
        <v>CC429B</v>
      </c>
      <c r="B81" s="1">
        <v>2</v>
      </c>
      <c r="C81" s="1" t="s">
        <v>19</v>
      </c>
      <c r="D81" s="2" t="s">
        <v>30</v>
      </c>
      <c r="E81" s="6" t="s">
        <v>186</v>
      </c>
      <c r="F81" s="7" t="s">
        <v>47</v>
      </c>
      <c r="G81" s="2" t="s">
        <v>396</v>
      </c>
      <c r="H81" s="2" t="s">
        <v>430</v>
      </c>
      <c r="I81" s="2" t="s">
        <v>431</v>
      </c>
      <c r="M81" s="2" t="s">
        <v>187</v>
      </c>
      <c r="P81" s="2" t="s">
        <v>188</v>
      </c>
      <c r="Q81" s="1" t="str">
        <f>IF($B81=0,$M81,_xlfn.TEXTBEFORE(Q80,"/",$B81,,,Q80)&amp;"/"&amp;$M81)&amp;IF(_xlfn.TEXTAFTER($D81,"..",,,,1)&lt;&gt;"1","[0]","")</f>
        <v>*/GoodsShipment[0]/dateOfAcceptance</v>
      </c>
    </row>
    <row r="82" spans="1:17" ht="12" customHeight="1" outlineLevel="2" x14ac:dyDescent="0.35">
      <c r="A82" s="2" t="str">
        <f>$E$2</f>
        <v>CC429B</v>
      </c>
      <c r="B82" s="1">
        <v>2</v>
      </c>
      <c r="C82" s="1" t="s">
        <v>19</v>
      </c>
      <c r="D82" s="2" t="s">
        <v>30</v>
      </c>
      <c r="E82" s="6" t="s">
        <v>189</v>
      </c>
      <c r="F82" s="7" t="s">
        <v>190</v>
      </c>
      <c r="G82" s="2" t="s">
        <v>22</v>
      </c>
      <c r="H82" s="2" t="s">
        <v>448</v>
      </c>
      <c r="M82" s="2" t="s">
        <v>191</v>
      </c>
      <c r="P82" s="2" t="s">
        <v>192</v>
      </c>
      <c r="Q82" s="1" t="str">
        <f>IF($B82=0,$M82,_xlfn.TEXTBEFORE(Q81,"/",$B82,,,Q81)&amp;"/"&amp;$M82)&amp;IF(_xlfn.TEXTAFTER($D82,"..",,,,1)&lt;&gt;"1","[0]","")</f>
        <v>*/GoodsShipment[0]/exchangeRate</v>
      </c>
    </row>
    <row r="83" spans="1:17" ht="12" customHeight="1" outlineLevel="2" x14ac:dyDescent="0.35">
      <c r="A83" s="3" t="str">
        <f>$E$2</f>
        <v>CC429B</v>
      </c>
      <c r="B83" s="4">
        <v>2</v>
      </c>
      <c r="C83" s="3" t="s">
        <v>24</v>
      </c>
      <c r="D83" s="3" t="s">
        <v>193</v>
      </c>
      <c r="E83" s="8" t="s">
        <v>194</v>
      </c>
      <c r="F83" s="4"/>
      <c r="G83" s="3" t="s">
        <v>22</v>
      </c>
      <c r="H83" s="3" t="s">
        <v>1275</v>
      </c>
      <c r="I83" s="4"/>
      <c r="J83" s="4"/>
      <c r="K83" s="4"/>
      <c r="L83" s="4"/>
      <c r="M83" s="3" t="s">
        <v>195</v>
      </c>
      <c r="N83" s="4"/>
      <c r="O83" s="4"/>
      <c r="P83" s="3" t="s">
        <v>196</v>
      </c>
      <c r="Q83" s="1" t="str">
        <f>IF($B83=0,$M83,_xlfn.TEXTBEFORE(Q82,"/",$B83,,,Q82)&amp;"/"&amp;$M83)&amp;IF(_xlfn.TEXTAFTER($D83,"..",,,,1)&lt;&gt;"1","[0]","")</f>
        <v>*/GoodsShipment[0]/AdditionalSupplyChainActor[0]</v>
      </c>
    </row>
    <row r="84" spans="1:17" ht="12" customHeight="1" outlineLevel="3" x14ac:dyDescent="0.35">
      <c r="A84" s="2" t="str">
        <f>$E$2</f>
        <v>CC429B</v>
      </c>
      <c r="B84" s="1">
        <v>3</v>
      </c>
      <c r="C84" s="1" t="s">
        <v>19</v>
      </c>
      <c r="D84" s="2" t="s">
        <v>25</v>
      </c>
      <c r="E84" s="9" t="s">
        <v>56</v>
      </c>
      <c r="F84" s="7" t="s">
        <v>57</v>
      </c>
      <c r="G84" s="2" t="s">
        <v>27</v>
      </c>
      <c r="H84" s="2" t="s">
        <v>393</v>
      </c>
      <c r="M84" s="2" t="s">
        <v>58</v>
      </c>
      <c r="P84" s="2" t="s">
        <v>59</v>
      </c>
      <c r="Q84" s="1" t="str">
        <f>IF($B84=0,$M84,_xlfn.TEXTBEFORE(Q83,"/",$B84,,,Q83)&amp;"/"&amp;$M84)&amp;IF(_xlfn.TEXTAFTER($D84,"..",,,,1)&lt;&gt;"1","[0]","")</f>
        <v>*/GoodsShipment[0]/AdditionalSupplyChainActor[0]/sequenceNumber</v>
      </c>
    </row>
    <row r="85" spans="1:17" ht="12" customHeight="1" outlineLevel="3" x14ac:dyDescent="0.35">
      <c r="A85" s="2" t="str">
        <f>$E$2</f>
        <v>CC429B</v>
      </c>
      <c r="B85" s="1">
        <v>3</v>
      </c>
      <c r="C85" s="1" t="s">
        <v>19</v>
      </c>
      <c r="D85" s="2" t="s">
        <v>25</v>
      </c>
      <c r="E85" s="9" t="s">
        <v>197</v>
      </c>
      <c r="F85" s="7" t="s">
        <v>198</v>
      </c>
      <c r="G85" s="2" t="s">
        <v>27</v>
      </c>
      <c r="J85" s="2" t="s">
        <v>433</v>
      </c>
      <c r="M85" s="2" t="s">
        <v>199</v>
      </c>
      <c r="P85" s="2" t="s">
        <v>200</v>
      </c>
      <c r="Q85" s="1" t="str">
        <f>IF($B85=0,$M85,_xlfn.TEXTBEFORE(Q84,"/",$B85,,,Q84)&amp;"/"&amp;$M85)&amp;IF(_xlfn.TEXTAFTER($D85,"..",,,,1)&lt;&gt;"1","[0]","")</f>
        <v>*/GoodsShipment[0]/AdditionalSupplyChainActor[0]/role</v>
      </c>
    </row>
    <row r="86" spans="1:17" ht="12" customHeight="1" outlineLevel="3" x14ac:dyDescent="0.35">
      <c r="A86" s="2" t="str">
        <f>$E$2</f>
        <v>CC429B</v>
      </c>
      <c r="B86" s="1">
        <v>3</v>
      </c>
      <c r="C86" s="1" t="s">
        <v>19</v>
      </c>
      <c r="D86" s="2" t="s">
        <v>25</v>
      </c>
      <c r="E86" s="9" t="s">
        <v>81</v>
      </c>
      <c r="F86" s="7" t="s">
        <v>68</v>
      </c>
      <c r="G86" s="2" t="s">
        <v>27</v>
      </c>
      <c r="H86" s="2" t="s">
        <v>434</v>
      </c>
      <c r="M86" s="2" t="s">
        <v>82</v>
      </c>
      <c r="P86" s="2" t="s">
        <v>70</v>
      </c>
      <c r="Q86" s="1" t="str">
        <f>IF($B86=0,$M86,_xlfn.TEXTBEFORE(Q85,"/",$B86,,,Q85)&amp;"/"&amp;$M86)&amp;IF(_xlfn.TEXTAFTER($D86,"..",,,,1)&lt;&gt;"1","[0]","")</f>
        <v>*/GoodsShipment[0]/AdditionalSupplyChainActor[0]/identificationNumber</v>
      </c>
    </row>
    <row r="87" spans="1:17" ht="12" customHeight="1" outlineLevel="2" x14ac:dyDescent="0.35">
      <c r="A87" s="3" t="str">
        <f>$E$2</f>
        <v>CC429B</v>
      </c>
      <c r="B87" s="4">
        <v>2</v>
      </c>
      <c r="C87" s="3" t="s">
        <v>24</v>
      </c>
      <c r="D87" s="3" t="s">
        <v>30</v>
      </c>
      <c r="E87" s="8" t="s">
        <v>201</v>
      </c>
      <c r="F87" s="4"/>
      <c r="G87" s="3" t="s">
        <v>396</v>
      </c>
      <c r="H87" s="3" t="s">
        <v>1272</v>
      </c>
      <c r="I87" s="3" t="s">
        <v>436</v>
      </c>
      <c r="J87" s="4"/>
      <c r="K87" s="4"/>
      <c r="L87" s="4"/>
      <c r="M87" s="3" t="s">
        <v>201</v>
      </c>
      <c r="N87" s="4"/>
      <c r="O87" s="4"/>
      <c r="P87" s="3" t="s">
        <v>202</v>
      </c>
      <c r="Q87" s="1" t="str">
        <f>IF($B87=0,$M87,_xlfn.TEXTBEFORE(Q86,"/",$B87,,,Q86)&amp;"/"&amp;$M87)&amp;IF(_xlfn.TEXTAFTER($D87,"..",,,,1)&lt;&gt;"1","[0]","")</f>
        <v>*/GoodsShipment[0]/Buyer</v>
      </c>
    </row>
    <row r="88" spans="1:17" ht="12" customHeight="1" outlineLevel="3" x14ac:dyDescent="0.35">
      <c r="A88" s="2" t="str">
        <f>$E$2</f>
        <v>CC429B</v>
      </c>
      <c r="B88" s="1">
        <v>3</v>
      </c>
      <c r="C88" s="1" t="s">
        <v>19</v>
      </c>
      <c r="D88" s="2" t="s">
        <v>30</v>
      </c>
      <c r="E88" s="9" t="s">
        <v>81</v>
      </c>
      <c r="F88" s="7" t="s">
        <v>68</v>
      </c>
      <c r="G88" s="2" t="s">
        <v>22</v>
      </c>
      <c r="H88" s="2" t="s">
        <v>434</v>
      </c>
      <c r="M88" s="2" t="s">
        <v>82</v>
      </c>
      <c r="P88" s="2" t="s">
        <v>70</v>
      </c>
      <c r="Q88" s="1" t="str">
        <f>IF($B88=0,$M88,_xlfn.TEXTBEFORE(Q87,"/",$B88,,,Q87)&amp;"/"&amp;$M88)&amp;IF(_xlfn.TEXTAFTER($D88,"..",,,,1)&lt;&gt;"1","[0]","")</f>
        <v>*/GoodsShipment[0]/Buyer/identificationNumber</v>
      </c>
    </row>
    <row r="89" spans="1:17" ht="12" customHeight="1" outlineLevel="3" x14ac:dyDescent="0.35">
      <c r="A89" s="2" t="str">
        <f>$E$2</f>
        <v>CC429B</v>
      </c>
      <c r="B89" s="1">
        <v>3</v>
      </c>
      <c r="C89" s="1" t="s">
        <v>19</v>
      </c>
      <c r="D89" s="2" t="s">
        <v>30</v>
      </c>
      <c r="E89" s="9" t="s">
        <v>4</v>
      </c>
      <c r="F89" s="7" t="s">
        <v>83</v>
      </c>
      <c r="G89" s="2" t="s">
        <v>396</v>
      </c>
      <c r="I89" s="2" t="s">
        <v>401</v>
      </c>
      <c r="M89" s="2" t="s">
        <v>84</v>
      </c>
      <c r="P89" s="2" t="s">
        <v>85</v>
      </c>
      <c r="Q89" s="1" t="str">
        <f>IF($B89=0,$M89,_xlfn.TEXTBEFORE(Q88,"/",$B89,,,Q88)&amp;"/"&amp;$M89)&amp;IF(_xlfn.TEXTAFTER($D89,"..",,,,1)&lt;&gt;"1","[0]","")</f>
        <v>*/GoodsShipment[0]/Buyer/name</v>
      </c>
    </row>
    <row r="90" spans="1:17" ht="12" customHeight="1" outlineLevel="3" x14ac:dyDescent="0.35">
      <c r="A90" s="3" t="str">
        <f>$E$2</f>
        <v>CC429B</v>
      </c>
      <c r="B90" s="4">
        <v>3</v>
      </c>
      <c r="C90" s="3" t="s">
        <v>24</v>
      </c>
      <c r="D90" s="3" t="s">
        <v>30</v>
      </c>
      <c r="E90" s="10" t="s">
        <v>86</v>
      </c>
      <c r="F90" s="4"/>
      <c r="G90" s="3" t="s">
        <v>396</v>
      </c>
      <c r="H90" s="4"/>
      <c r="I90" s="3" t="s">
        <v>401</v>
      </c>
      <c r="J90" s="4"/>
      <c r="K90" s="4"/>
      <c r="L90" s="4"/>
      <c r="M90" s="3" t="s">
        <v>86</v>
      </c>
      <c r="N90" s="4"/>
      <c r="O90" s="4"/>
      <c r="P90" s="3" t="s">
        <v>87</v>
      </c>
      <c r="Q90" s="1" t="str">
        <f>IF($B90=0,$M90,_xlfn.TEXTBEFORE(Q89,"/",$B90,,,Q89)&amp;"/"&amp;$M90)&amp;IF(_xlfn.TEXTAFTER($D90,"..",,,,1)&lt;&gt;"1","[0]","")</f>
        <v>*/GoodsShipment[0]/Buyer/Address</v>
      </c>
    </row>
    <row r="91" spans="1:17" ht="12" customHeight="1" outlineLevel="4" x14ac:dyDescent="0.35">
      <c r="A91" s="2" t="str">
        <f>$E$2</f>
        <v>CC429B</v>
      </c>
      <c r="B91" s="1">
        <v>4</v>
      </c>
      <c r="C91" s="1" t="s">
        <v>19</v>
      </c>
      <c r="D91" s="2" t="s">
        <v>25</v>
      </c>
      <c r="E91" s="11" t="s">
        <v>88</v>
      </c>
      <c r="F91" s="7" t="s">
        <v>83</v>
      </c>
      <c r="G91" s="2" t="s">
        <v>27</v>
      </c>
      <c r="M91" s="2" t="s">
        <v>89</v>
      </c>
      <c r="P91" s="2" t="s">
        <v>90</v>
      </c>
      <c r="Q91" s="1" t="str">
        <f>IF($B91=0,$M91,_xlfn.TEXTBEFORE(Q90,"/",$B91,,,Q90)&amp;"/"&amp;$M91)&amp;IF(_xlfn.TEXTAFTER($D91,"..",,,,1)&lt;&gt;"1","[0]","")</f>
        <v>*/GoodsShipment[0]/Buyer/Address/streetAndNumber</v>
      </c>
    </row>
    <row r="92" spans="1:17" ht="12" customHeight="1" outlineLevel="4" x14ac:dyDescent="0.35">
      <c r="A92" s="2" t="str">
        <f>$E$2</f>
        <v>CC429B</v>
      </c>
      <c r="B92" s="1">
        <v>4</v>
      </c>
      <c r="C92" s="1" t="s">
        <v>19</v>
      </c>
      <c r="D92" s="2" t="s">
        <v>30</v>
      </c>
      <c r="E92" s="11" t="s">
        <v>91</v>
      </c>
      <c r="F92" s="7" t="s">
        <v>92</v>
      </c>
      <c r="G92" s="2" t="s">
        <v>396</v>
      </c>
      <c r="I92" s="2" t="s">
        <v>402</v>
      </c>
      <c r="M92" s="2" t="s">
        <v>93</v>
      </c>
      <c r="P92" s="2" t="s">
        <v>94</v>
      </c>
      <c r="Q92" s="1" t="str">
        <f>IF($B92=0,$M92,_xlfn.TEXTBEFORE(Q91,"/",$B92,,,Q91)&amp;"/"&amp;$M92)&amp;IF(_xlfn.TEXTAFTER($D92,"..",,,,1)&lt;&gt;"1","[0]","")</f>
        <v>*/GoodsShipment[0]/Buyer/Address/postcode</v>
      </c>
    </row>
    <row r="93" spans="1:17" ht="12" customHeight="1" outlineLevel="4" x14ac:dyDescent="0.35">
      <c r="A93" s="2" t="str">
        <f>$E$2</f>
        <v>CC429B</v>
      </c>
      <c r="B93" s="1">
        <v>4</v>
      </c>
      <c r="C93" s="1" t="s">
        <v>19</v>
      </c>
      <c r="D93" s="2" t="s">
        <v>25</v>
      </c>
      <c r="E93" s="11" t="s">
        <v>95</v>
      </c>
      <c r="F93" s="7" t="s">
        <v>96</v>
      </c>
      <c r="G93" s="2" t="s">
        <v>27</v>
      </c>
      <c r="M93" s="2" t="s">
        <v>97</v>
      </c>
      <c r="P93" s="2" t="s">
        <v>98</v>
      </c>
      <c r="Q93" s="1" t="str">
        <f>IF($B93=0,$M93,_xlfn.TEXTBEFORE(Q92,"/",$B93,,,Q92)&amp;"/"&amp;$M93)&amp;IF(_xlfn.TEXTAFTER($D93,"..",,,,1)&lt;&gt;"1","[0]","")</f>
        <v>*/GoodsShipment[0]/Buyer/Address/city</v>
      </c>
    </row>
    <row r="94" spans="1:17" ht="12" customHeight="1" outlineLevel="4" x14ac:dyDescent="0.35">
      <c r="A94" s="2" t="str">
        <f>$E$2</f>
        <v>CC429B</v>
      </c>
      <c r="B94" s="1">
        <v>4</v>
      </c>
      <c r="C94" s="1" t="s">
        <v>19</v>
      </c>
      <c r="D94" s="2" t="s">
        <v>25</v>
      </c>
      <c r="E94" s="11" t="s">
        <v>99</v>
      </c>
      <c r="F94" s="7" t="s">
        <v>50</v>
      </c>
      <c r="G94" s="2" t="s">
        <v>27</v>
      </c>
      <c r="J94" s="2" t="s">
        <v>403</v>
      </c>
      <c r="M94" s="2" t="s">
        <v>100</v>
      </c>
      <c r="P94" s="2" t="s">
        <v>52</v>
      </c>
      <c r="Q94" s="1" t="str">
        <f>IF($B94=0,$M94,_xlfn.TEXTBEFORE(Q93,"/",$B94,,,Q93)&amp;"/"&amp;$M94)&amp;IF(_xlfn.TEXTAFTER($D94,"..",,,,1)&lt;&gt;"1","[0]","")</f>
        <v>*/GoodsShipment[0]/Buyer/Address/country</v>
      </c>
    </row>
    <row r="95" spans="1:17" ht="12" customHeight="1" outlineLevel="2" x14ac:dyDescent="0.35">
      <c r="A95" s="3" t="str">
        <f>$E$2</f>
        <v>CC429B</v>
      </c>
      <c r="B95" s="4">
        <v>2</v>
      </c>
      <c r="C95" s="3" t="s">
        <v>24</v>
      </c>
      <c r="D95" s="3" t="s">
        <v>30</v>
      </c>
      <c r="E95" s="8" t="s">
        <v>203</v>
      </c>
      <c r="F95" s="4"/>
      <c r="G95" s="3" t="s">
        <v>396</v>
      </c>
      <c r="H95" s="3" t="s">
        <v>1272</v>
      </c>
      <c r="I95" s="3" t="s">
        <v>436</v>
      </c>
      <c r="J95" s="4"/>
      <c r="K95" s="4"/>
      <c r="L95" s="4"/>
      <c r="M95" s="3" t="s">
        <v>203</v>
      </c>
      <c r="N95" s="4"/>
      <c r="O95" s="4"/>
      <c r="P95" s="3" t="s">
        <v>204</v>
      </c>
      <c r="Q95" s="1" t="str">
        <f>IF($B95=0,$M95,_xlfn.TEXTBEFORE(Q94,"/",$B95,,,Q94)&amp;"/"&amp;$M95)&amp;IF(_xlfn.TEXTAFTER($D95,"..",,,,1)&lt;&gt;"1","[0]","")</f>
        <v>*/GoodsShipment[0]/Seller</v>
      </c>
    </row>
    <row r="96" spans="1:17" ht="12" customHeight="1" outlineLevel="3" x14ac:dyDescent="0.35">
      <c r="A96" s="2" t="str">
        <f>$E$2</f>
        <v>CC429B</v>
      </c>
      <c r="B96" s="1">
        <v>3</v>
      </c>
      <c r="C96" s="1" t="s">
        <v>19</v>
      </c>
      <c r="D96" s="2" t="s">
        <v>30</v>
      </c>
      <c r="E96" s="9" t="s">
        <v>81</v>
      </c>
      <c r="F96" s="7" t="s">
        <v>68</v>
      </c>
      <c r="G96" s="2" t="s">
        <v>22</v>
      </c>
      <c r="H96" s="2" t="s">
        <v>434</v>
      </c>
      <c r="M96" s="2" t="s">
        <v>82</v>
      </c>
      <c r="P96" s="2" t="s">
        <v>70</v>
      </c>
      <c r="Q96" s="1" t="str">
        <f>IF($B96=0,$M96,_xlfn.TEXTBEFORE(Q95,"/",$B96,,,Q95)&amp;"/"&amp;$M96)&amp;IF(_xlfn.TEXTAFTER($D96,"..",,,,1)&lt;&gt;"1","[0]","")</f>
        <v>*/GoodsShipment[0]/Seller/identificationNumber</v>
      </c>
    </row>
    <row r="97" spans="1:17" ht="12" customHeight="1" outlineLevel="3" x14ac:dyDescent="0.35">
      <c r="A97" s="2" t="str">
        <f>$E$2</f>
        <v>CC429B</v>
      </c>
      <c r="B97" s="1">
        <v>3</v>
      </c>
      <c r="C97" s="1" t="s">
        <v>19</v>
      </c>
      <c r="D97" s="2" t="s">
        <v>30</v>
      </c>
      <c r="E97" s="9" t="s">
        <v>4</v>
      </c>
      <c r="F97" s="7" t="s">
        <v>83</v>
      </c>
      <c r="G97" s="2" t="s">
        <v>396</v>
      </c>
      <c r="I97" s="2" t="s">
        <v>401</v>
      </c>
      <c r="M97" s="2" t="s">
        <v>84</v>
      </c>
      <c r="P97" s="2" t="s">
        <v>85</v>
      </c>
      <c r="Q97" s="1" t="str">
        <f>IF($B97=0,$M97,_xlfn.TEXTBEFORE(Q96,"/",$B97,,,Q96)&amp;"/"&amp;$M97)&amp;IF(_xlfn.TEXTAFTER($D97,"..",,,,1)&lt;&gt;"1","[0]","")</f>
        <v>*/GoodsShipment[0]/Seller/name</v>
      </c>
    </row>
    <row r="98" spans="1:17" ht="12" customHeight="1" outlineLevel="3" x14ac:dyDescent="0.35">
      <c r="A98" s="3" t="str">
        <f>$E$2</f>
        <v>CC429B</v>
      </c>
      <c r="B98" s="4">
        <v>3</v>
      </c>
      <c r="C98" s="3" t="s">
        <v>24</v>
      </c>
      <c r="D98" s="3" t="s">
        <v>30</v>
      </c>
      <c r="E98" s="10" t="s">
        <v>86</v>
      </c>
      <c r="F98" s="4"/>
      <c r="G98" s="3" t="s">
        <v>396</v>
      </c>
      <c r="H98" s="4"/>
      <c r="I98" s="3" t="s">
        <v>401</v>
      </c>
      <c r="J98" s="4"/>
      <c r="K98" s="4"/>
      <c r="L98" s="4"/>
      <c r="M98" s="3" t="s">
        <v>86</v>
      </c>
      <c r="N98" s="4"/>
      <c r="O98" s="4"/>
      <c r="P98" s="3" t="s">
        <v>87</v>
      </c>
      <c r="Q98" s="1" t="str">
        <f>IF($B98=0,$M98,_xlfn.TEXTBEFORE(Q97,"/",$B98,,,Q97)&amp;"/"&amp;$M98)&amp;IF(_xlfn.TEXTAFTER($D98,"..",,,,1)&lt;&gt;"1","[0]","")</f>
        <v>*/GoodsShipment[0]/Seller/Address</v>
      </c>
    </row>
    <row r="99" spans="1:17" ht="12" customHeight="1" outlineLevel="4" x14ac:dyDescent="0.35">
      <c r="A99" s="2" t="str">
        <f>$E$2</f>
        <v>CC429B</v>
      </c>
      <c r="B99" s="1">
        <v>4</v>
      </c>
      <c r="C99" s="1" t="s">
        <v>19</v>
      </c>
      <c r="D99" s="2" t="s">
        <v>25</v>
      </c>
      <c r="E99" s="11" t="s">
        <v>88</v>
      </c>
      <c r="F99" s="7" t="s">
        <v>83</v>
      </c>
      <c r="G99" s="2" t="s">
        <v>27</v>
      </c>
      <c r="M99" s="2" t="s">
        <v>89</v>
      </c>
      <c r="P99" s="2" t="s">
        <v>90</v>
      </c>
      <c r="Q99" s="1" t="str">
        <f>IF($B99=0,$M99,_xlfn.TEXTBEFORE(Q98,"/",$B99,,,Q98)&amp;"/"&amp;$M99)&amp;IF(_xlfn.TEXTAFTER($D99,"..",,,,1)&lt;&gt;"1","[0]","")</f>
        <v>*/GoodsShipment[0]/Seller/Address/streetAndNumber</v>
      </c>
    </row>
    <row r="100" spans="1:17" ht="12" customHeight="1" outlineLevel="4" x14ac:dyDescent="0.35">
      <c r="A100" s="2" t="str">
        <f>$E$2</f>
        <v>CC429B</v>
      </c>
      <c r="B100" s="1">
        <v>4</v>
      </c>
      <c r="C100" s="1" t="s">
        <v>19</v>
      </c>
      <c r="D100" s="2" t="s">
        <v>30</v>
      </c>
      <c r="E100" s="11" t="s">
        <v>91</v>
      </c>
      <c r="F100" s="7" t="s">
        <v>92</v>
      </c>
      <c r="G100" s="2" t="s">
        <v>396</v>
      </c>
      <c r="I100" s="2" t="s">
        <v>402</v>
      </c>
      <c r="M100" s="2" t="s">
        <v>93</v>
      </c>
      <c r="P100" s="2" t="s">
        <v>94</v>
      </c>
      <c r="Q100" s="1" t="str">
        <f>IF($B100=0,$M100,_xlfn.TEXTBEFORE(Q99,"/",$B100,,,Q99)&amp;"/"&amp;$M100)&amp;IF(_xlfn.TEXTAFTER($D100,"..",,,,1)&lt;&gt;"1","[0]","")</f>
        <v>*/GoodsShipment[0]/Seller/Address/postcode</v>
      </c>
    </row>
    <row r="101" spans="1:17" ht="12" customHeight="1" outlineLevel="4" x14ac:dyDescent="0.35">
      <c r="A101" s="2" t="str">
        <f>$E$2</f>
        <v>CC429B</v>
      </c>
      <c r="B101" s="1">
        <v>4</v>
      </c>
      <c r="C101" s="1" t="s">
        <v>19</v>
      </c>
      <c r="D101" s="2" t="s">
        <v>25</v>
      </c>
      <c r="E101" s="11" t="s">
        <v>95</v>
      </c>
      <c r="F101" s="7" t="s">
        <v>96</v>
      </c>
      <c r="G101" s="2" t="s">
        <v>27</v>
      </c>
      <c r="M101" s="2" t="s">
        <v>97</v>
      </c>
      <c r="P101" s="2" t="s">
        <v>98</v>
      </c>
      <c r="Q101" s="1" t="str">
        <f>IF($B101=0,$M101,_xlfn.TEXTBEFORE(Q100,"/",$B101,,,Q100)&amp;"/"&amp;$M101)&amp;IF(_xlfn.TEXTAFTER($D101,"..",,,,1)&lt;&gt;"1","[0]","")</f>
        <v>*/GoodsShipment[0]/Seller/Address/city</v>
      </c>
    </row>
    <row r="102" spans="1:17" ht="12" customHeight="1" outlineLevel="4" x14ac:dyDescent="0.35">
      <c r="A102" s="2" t="str">
        <f>$E$2</f>
        <v>CC429B</v>
      </c>
      <c r="B102" s="1">
        <v>4</v>
      </c>
      <c r="C102" s="1" t="s">
        <v>19</v>
      </c>
      <c r="D102" s="2" t="s">
        <v>25</v>
      </c>
      <c r="E102" s="11" t="s">
        <v>99</v>
      </c>
      <c r="F102" s="7" t="s">
        <v>50</v>
      </c>
      <c r="G102" s="2" t="s">
        <v>27</v>
      </c>
      <c r="J102" s="2" t="s">
        <v>403</v>
      </c>
      <c r="M102" s="2" t="s">
        <v>100</v>
      </c>
      <c r="P102" s="2" t="s">
        <v>52</v>
      </c>
      <c r="Q102" s="1" t="str">
        <f>IF($B102=0,$M102,_xlfn.TEXTBEFORE(Q101,"/",$B102,,,Q101)&amp;"/"&amp;$M102)&amp;IF(_xlfn.TEXTAFTER($D102,"..",,,,1)&lt;&gt;"1","[0]","")</f>
        <v>*/GoodsShipment[0]/Seller/Address/country</v>
      </c>
    </row>
    <row r="103" spans="1:17" ht="12" customHeight="1" outlineLevel="2" x14ac:dyDescent="0.35">
      <c r="A103" s="3" t="str">
        <f>$E$2</f>
        <v>CC429B</v>
      </c>
      <c r="B103" s="4">
        <v>2</v>
      </c>
      <c r="C103" s="3" t="s">
        <v>24</v>
      </c>
      <c r="D103" s="3" t="s">
        <v>30</v>
      </c>
      <c r="E103" s="8" t="s">
        <v>205</v>
      </c>
      <c r="F103" s="4"/>
      <c r="G103" s="3" t="s">
        <v>396</v>
      </c>
      <c r="H103" s="3" t="s">
        <v>1276</v>
      </c>
      <c r="I103" s="16" t="s">
        <v>1277</v>
      </c>
      <c r="J103" s="4"/>
      <c r="K103" s="4"/>
      <c r="L103" s="4"/>
      <c r="M103" s="3" t="s">
        <v>205</v>
      </c>
      <c r="N103" s="4"/>
      <c r="O103" s="4"/>
      <c r="P103" s="3" t="s">
        <v>206</v>
      </c>
      <c r="Q103" s="1" t="str">
        <f>IF($B103=0,$M103,_xlfn.TEXTBEFORE(Q102,"/",$B103,,,Q102)&amp;"/"&amp;$M103)&amp;IF(_xlfn.TEXTAFTER($D103,"..",,,,1)&lt;&gt;"1","[0]","")</f>
        <v>*/GoodsShipment[0]/Exporter</v>
      </c>
    </row>
    <row r="104" spans="1:17" ht="12" customHeight="1" outlineLevel="3" x14ac:dyDescent="0.35">
      <c r="A104" s="2" t="str">
        <f>$E$2</f>
        <v>CC429B</v>
      </c>
      <c r="B104" s="1">
        <v>3</v>
      </c>
      <c r="C104" s="1" t="s">
        <v>19</v>
      </c>
      <c r="D104" s="2" t="s">
        <v>30</v>
      </c>
      <c r="E104" s="9" t="s">
        <v>81</v>
      </c>
      <c r="F104" s="7" t="s">
        <v>68</v>
      </c>
      <c r="G104" s="2" t="s">
        <v>22</v>
      </c>
      <c r="H104" s="2" t="s">
        <v>434</v>
      </c>
      <c r="M104" s="2" t="s">
        <v>82</v>
      </c>
      <c r="P104" s="2" t="s">
        <v>70</v>
      </c>
      <c r="Q104" s="1" t="str">
        <f>IF($B104=0,$M104,_xlfn.TEXTBEFORE(Q103,"/",$B104,,,Q103)&amp;"/"&amp;$M104)&amp;IF(_xlfn.TEXTAFTER($D104,"..",,,,1)&lt;&gt;"1","[0]","")</f>
        <v>*/GoodsShipment[0]/Exporter/identificationNumber</v>
      </c>
    </row>
    <row r="105" spans="1:17" ht="12" customHeight="1" outlineLevel="3" x14ac:dyDescent="0.35">
      <c r="A105" s="2" t="str">
        <f>$E$2</f>
        <v>CC429B</v>
      </c>
      <c r="B105" s="1">
        <v>3</v>
      </c>
      <c r="C105" s="1" t="s">
        <v>19</v>
      </c>
      <c r="D105" s="2" t="s">
        <v>30</v>
      </c>
      <c r="E105" s="9" t="s">
        <v>4</v>
      </c>
      <c r="F105" s="7" t="s">
        <v>83</v>
      </c>
      <c r="G105" s="2" t="s">
        <v>396</v>
      </c>
      <c r="I105" s="2" t="s">
        <v>401</v>
      </c>
      <c r="M105" s="2" t="s">
        <v>84</v>
      </c>
      <c r="P105" s="2" t="s">
        <v>85</v>
      </c>
      <c r="Q105" s="1" t="str">
        <f>IF($B105=0,$M105,_xlfn.TEXTBEFORE(Q104,"/",$B105,,,Q104)&amp;"/"&amp;$M105)&amp;IF(_xlfn.TEXTAFTER($D105,"..",,,,1)&lt;&gt;"1","[0]","")</f>
        <v>*/GoodsShipment[0]/Exporter/name</v>
      </c>
    </row>
    <row r="106" spans="1:17" ht="12" customHeight="1" outlineLevel="3" x14ac:dyDescent="0.35">
      <c r="A106" s="3" t="str">
        <f>$E$2</f>
        <v>CC429B</v>
      </c>
      <c r="B106" s="4">
        <v>3</v>
      </c>
      <c r="C106" s="3" t="s">
        <v>24</v>
      </c>
      <c r="D106" s="3" t="s">
        <v>30</v>
      </c>
      <c r="E106" s="10" t="s">
        <v>86</v>
      </c>
      <c r="F106" s="4"/>
      <c r="G106" s="3" t="s">
        <v>396</v>
      </c>
      <c r="H106" s="4"/>
      <c r="I106" s="3" t="s">
        <v>401</v>
      </c>
      <c r="J106" s="4"/>
      <c r="K106" s="4"/>
      <c r="L106" s="4"/>
      <c r="M106" s="3" t="s">
        <v>86</v>
      </c>
      <c r="N106" s="4"/>
      <c r="O106" s="4"/>
      <c r="P106" s="3" t="s">
        <v>87</v>
      </c>
      <c r="Q106" s="1" t="str">
        <f>IF($B106=0,$M106,_xlfn.TEXTBEFORE(Q105,"/",$B106,,,Q105)&amp;"/"&amp;$M106)&amp;IF(_xlfn.TEXTAFTER($D106,"..",,,,1)&lt;&gt;"1","[0]","")</f>
        <v>*/GoodsShipment[0]/Exporter/Address</v>
      </c>
    </row>
    <row r="107" spans="1:17" ht="12" customHeight="1" outlineLevel="4" x14ac:dyDescent="0.35">
      <c r="A107" s="2" t="str">
        <f>$E$2</f>
        <v>CC429B</v>
      </c>
      <c r="B107" s="1">
        <v>4</v>
      </c>
      <c r="C107" s="1" t="s">
        <v>19</v>
      </c>
      <c r="D107" s="2" t="s">
        <v>25</v>
      </c>
      <c r="E107" s="11" t="s">
        <v>88</v>
      </c>
      <c r="F107" s="7" t="s">
        <v>83</v>
      </c>
      <c r="G107" s="2" t="s">
        <v>27</v>
      </c>
      <c r="M107" s="2" t="s">
        <v>89</v>
      </c>
      <c r="P107" s="2" t="s">
        <v>90</v>
      </c>
      <c r="Q107" s="1" t="str">
        <f>IF($B107=0,$M107,_xlfn.TEXTBEFORE(Q106,"/",$B107,,,Q106)&amp;"/"&amp;$M107)&amp;IF(_xlfn.TEXTAFTER($D107,"..",,,,1)&lt;&gt;"1","[0]","")</f>
        <v>*/GoodsShipment[0]/Exporter/Address/streetAndNumber</v>
      </c>
    </row>
    <row r="108" spans="1:17" ht="12" customHeight="1" outlineLevel="4" x14ac:dyDescent="0.35">
      <c r="A108" s="2" t="str">
        <f>$E$2</f>
        <v>CC429B</v>
      </c>
      <c r="B108" s="1">
        <v>4</v>
      </c>
      <c r="C108" s="1" t="s">
        <v>19</v>
      </c>
      <c r="D108" s="2" t="s">
        <v>30</v>
      </c>
      <c r="E108" s="11" t="s">
        <v>91</v>
      </c>
      <c r="F108" s="7" t="s">
        <v>92</v>
      </c>
      <c r="G108" s="2" t="s">
        <v>396</v>
      </c>
      <c r="I108" s="2" t="s">
        <v>402</v>
      </c>
      <c r="M108" s="2" t="s">
        <v>93</v>
      </c>
      <c r="P108" s="2" t="s">
        <v>94</v>
      </c>
      <c r="Q108" s="1" t="str">
        <f>IF($B108=0,$M108,_xlfn.TEXTBEFORE(Q107,"/",$B108,,,Q107)&amp;"/"&amp;$M108)&amp;IF(_xlfn.TEXTAFTER($D108,"..",,,,1)&lt;&gt;"1","[0]","")</f>
        <v>*/GoodsShipment[0]/Exporter/Address/postcode</v>
      </c>
    </row>
    <row r="109" spans="1:17" ht="12" customHeight="1" outlineLevel="4" x14ac:dyDescent="0.35">
      <c r="A109" s="2" t="str">
        <f>$E$2</f>
        <v>CC429B</v>
      </c>
      <c r="B109" s="1">
        <v>4</v>
      </c>
      <c r="C109" s="1" t="s">
        <v>19</v>
      </c>
      <c r="D109" s="2" t="s">
        <v>25</v>
      </c>
      <c r="E109" s="11" t="s">
        <v>95</v>
      </c>
      <c r="F109" s="7" t="s">
        <v>96</v>
      </c>
      <c r="G109" s="2" t="s">
        <v>27</v>
      </c>
      <c r="M109" s="2" t="s">
        <v>97</v>
      </c>
      <c r="P109" s="2" t="s">
        <v>98</v>
      </c>
      <c r="Q109" s="1" t="str">
        <f>IF($B109=0,$M109,_xlfn.TEXTBEFORE(Q108,"/",$B109,,,Q108)&amp;"/"&amp;$M109)&amp;IF(_xlfn.TEXTAFTER($D109,"..",,,,1)&lt;&gt;"1","[0]","")</f>
        <v>*/GoodsShipment[0]/Exporter/Address/city</v>
      </c>
    </row>
    <row r="110" spans="1:17" ht="12" customHeight="1" outlineLevel="4" x14ac:dyDescent="0.35">
      <c r="A110" s="2" t="str">
        <f>$E$2</f>
        <v>CC429B</v>
      </c>
      <c r="B110" s="1">
        <v>4</v>
      </c>
      <c r="C110" s="1" t="s">
        <v>19</v>
      </c>
      <c r="D110" s="2" t="s">
        <v>25</v>
      </c>
      <c r="E110" s="11" t="s">
        <v>99</v>
      </c>
      <c r="F110" s="7" t="s">
        <v>50</v>
      </c>
      <c r="G110" s="2" t="s">
        <v>27</v>
      </c>
      <c r="J110" s="2" t="s">
        <v>403</v>
      </c>
      <c r="M110" s="2" t="s">
        <v>100</v>
      </c>
      <c r="P110" s="2" t="s">
        <v>52</v>
      </c>
      <c r="Q110" s="1" t="str">
        <f>IF($B110=0,$M110,_xlfn.TEXTBEFORE(Q109,"/",$B110,,,Q109)&amp;"/"&amp;$M110)&amp;IF(_xlfn.TEXTAFTER($D110,"..",,,,1)&lt;&gt;"1","[0]","")</f>
        <v>*/GoodsShipment[0]/Exporter/Address/country</v>
      </c>
    </row>
    <row r="111" spans="1:17" ht="12" customHeight="1" outlineLevel="2" x14ac:dyDescent="0.35">
      <c r="A111" s="3" t="str">
        <f>$E$2</f>
        <v>CC429B</v>
      </c>
      <c r="B111" s="4">
        <v>2</v>
      </c>
      <c r="C111" s="3" t="s">
        <v>24</v>
      </c>
      <c r="D111" s="3" t="s">
        <v>30</v>
      </c>
      <c r="E111" s="8" t="s">
        <v>449</v>
      </c>
      <c r="F111" s="4"/>
      <c r="G111" s="3" t="s">
        <v>396</v>
      </c>
      <c r="H111" s="3" t="s">
        <v>1278</v>
      </c>
      <c r="I111" s="16" t="s">
        <v>1279</v>
      </c>
      <c r="J111" s="4"/>
      <c r="K111" s="4"/>
      <c r="L111" s="4"/>
      <c r="M111" s="3" t="s">
        <v>452</v>
      </c>
      <c r="N111" s="4"/>
      <c r="O111" s="4"/>
      <c r="P111" s="3" t="s">
        <v>1499</v>
      </c>
      <c r="Q111" s="1" t="str">
        <f>IF($B111=0,$M111,_xlfn.TEXTBEFORE(Q110,"/",$B111,,,Q110)&amp;"/"&amp;$M111)&amp;IF(_xlfn.TEXTAFTER($D111,"..",,,,1)&lt;&gt;"1","[0]","")</f>
        <v>*/GoodsShipment[0]/DeliveryTerms</v>
      </c>
    </row>
    <row r="112" spans="1:17" ht="12" customHeight="1" outlineLevel="3" x14ac:dyDescent="0.35">
      <c r="A112" s="2" t="str">
        <f>$E$2</f>
        <v>CC429B</v>
      </c>
      <c r="B112" s="1">
        <v>3</v>
      </c>
      <c r="C112" s="1" t="s">
        <v>19</v>
      </c>
      <c r="D112" s="2" t="s">
        <v>25</v>
      </c>
      <c r="E112" s="9" t="s">
        <v>454</v>
      </c>
      <c r="F112" s="7" t="s">
        <v>148</v>
      </c>
      <c r="G112" s="2" t="s">
        <v>27</v>
      </c>
      <c r="J112" s="2" t="s">
        <v>455</v>
      </c>
      <c r="M112" s="2" t="s">
        <v>456</v>
      </c>
      <c r="P112" s="2" t="s">
        <v>457</v>
      </c>
      <c r="Q112" s="1" t="str">
        <f>IF($B112=0,$M112,_xlfn.TEXTBEFORE(Q111,"/",$B112,,,Q111)&amp;"/"&amp;$M112)&amp;IF(_xlfn.TEXTAFTER($D112,"..",,,,1)&lt;&gt;"1","[0]","")</f>
        <v>*/GoodsShipment[0]/DeliveryTerms/incotermCode</v>
      </c>
    </row>
    <row r="113" spans="1:17" ht="12" customHeight="1" outlineLevel="3" x14ac:dyDescent="0.35">
      <c r="A113" s="2" t="str">
        <f>$E$2</f>
        <v>CC429B</v>
      </c>
      <c r="B113" s="1">
        <v>3</v>
      </c>
      <c r="C113" s="1" t="s">
        <v>19</v>
      </c>
      <c r="D113" s="2" t="s">
        <v>30</v>
      </c>
      <c r="E113" s="9" t="s">
        <v>270</v>
      </c>
      <c r="F113" s="7" t="s">
        <v>103</v>
      </c>
      <c r="G113" s="2" t="s">
        <v>396</v>
      </c>
      <c r="I113" s="2" t="s">
        <v>458</v>
      </c>
      <c r="J113" s="2" t="s">
        <v>459</v>
      </c>
      <c r="M113" s="2" t="s">
        <v>271</v>
      </c>
      <c r="P113" s="2" t="s">
        <v>272</v>
      </c>
      <c r="Q113" s="1" t="str">
        <f>IF($B113=0,$M113,_xlfn.TEXTBEFORE(Q112,"/",$B113,,,Q112)&amp;"/"&amp;$M113)&amp;IF(_xlfn.TEXTAFTER($D113,"..",,,,1)&lt;&gt;"1","[0]","")</f>
        <v>*/GoodsShipment[0]/DeliveryTerms/UNLOCODE</v>
      </c>
    </row>
    <row r="114" spans="1:17" ht="12" customHeight="1" outlineLevel="3" x14ac:dyDescent="0.35">
      <c r="A114" s="2" t="str">
        <f>$E$2</f>
        <v>CC429B</v>
      </c>
      <c r="B114" s="1">
        <v>3</v>
      </c>
      <c r="C114" s="1" t="s">
        <v>19</v>
      </c>
      <c r="D114" s="2" t="s">
        <v>30</v>
      </c>
      <c r="E114" s="9" t="s">
        <v>460</v>
      </c>
      <c r="F114" s="7" t="s">
        <v>96</v>
      </c>
      <c r="G114" s="2" t="s">
        <v>396</v>
      </c>
      <c r="I114" s="2" t="s">
        <v>458</v>
      </c>
      <c r="M114" s="2" t="s">
        <v>461</v>
      </c>
      <c r="P114" s="2" t="s">
        <v>462</v>
      </c>
      <c r="Q114" s="1" t="str">
        <f>IF($B114=0,$M114,_xlfn.TEXTBEFORE(Q113,"/",$B114,,,Q113)&amp;"/"&amp;$M114)&amp;IF(_xlfn.TEXTAFTER($D114,"..",,,,1)&lt;&gt;"1","[0]","")</f>
        <v>*/GoodsShipment[0]/DeliveryTerms/location</v>
      </c>
    </row>
    <row r="115" spans="1:17" ht="12" customHeight="1" outlineLevel="3" x14ac:dyDescent="0.35">
      <c r="A115" s="2" t="str">
        <f>$E$2</f>
        <v>CC429B</v>
      </c>
      <c r="B115" s="1">
        <v>3</v>
      </c>
      <c r="C115" s="1" t="s">
        <v>19</v>
      </c>
      <c r="D115" s="2" t="s">
        <v>30</v>
      </c>
      <c r="E115" s="9" t="s">
        <v>99</v>
      </c>
      <c r="F115" s="7" t="s">
        <v>50</v>
      </c>
      <c r="G115" s="2" t="s">
        <v>396</v>
      </c>
      <c r="I115" s="2" t="s">
        <v>458</v>
      </c>
      <c r="J115" s="2" t="s">
        <v>403</v>
      </c>
      <c r="M115" s="2" t="s">
        <v>100</v>
      </c>
      <c r="P115" s="2" t="s">
        <v>52</v>
      </c>
      <c r="Q115" s="1" t="str">
        <f>IF($B115=0,$M115,_xlfn.TEXTBEFORE(Q114,"/",$B115,,,Q114)&amp;"/"&amp;$M115)&amp;IF(_xlfn.TEXTAFTER($D115,"..",,,,1)&lt;&gt;"1","[0]","")</f>
        <v>*/GoodsShipment[0]/DeliveryTerms/country</v>
      </c>
    </row>
    <row r="116" spans="1:17" ht="12" customHeight="1" outlineLevel="3" x14ac:dyDescent="0.35">
      <c r="A116" s="2" t="str">
        <f>$E$2</f>
        <v>CC429B</v>
      </c>
      <c r="B116" s="1">
        <v>3</v>
      </c>
      <c r="C116" s="1" t="s">
        <v>19</v>
      </c>
      <c r="D116" s="2" t="s">
        <v>30</v>
      </c>
      <c r="E116" s="9" t="s">
        <v>226</v>
      </c>
      <c r="F116" s="7" t="s">
        <v>216</v>
      </c>
      <c r="G116" s="2" t="s">
        <v>396</v>
      </c>
      <c r="I116" s="2" t="s">
        <v>458</v>
      </c>
      <c r="M116" s="2" t="s">
        <v>227</v>
      </c>
      <c r="P116" s="2" t="s">
        <v>218</v>
      </c>
      <c r="Q116" s="1" t="str">
        <f>IF($B116=0,$M116,_xlfn.TEXTBEFORE(Q115,"/",$B116,,,Q115)&amp;"/"&amp;$M116)&amp;IF(_xlfn.TEXTAFTER($D116,"..",,,,1)&lt;&gt;"1","[0]","")</f>
        <v>*/GoodsShipment[0]/DeliveryTerms/text</v>
      </c>
    </row>
    <row r="117" spans="1:17" ht="12" customHeight="1" outlineLevel="2" x14ac:dyDescent="0.35">
      <c r="A117" s="3" t="str">
        <f>$E$2</f>
        <v>CC429B</v>
      </c>
      <c r="B117" s="4">
        <v>2</v>
      </c>
      <c r="C117" s="3" t="s">
        <v>24</v>
      </c>
      <c r="D117" s="3" t="s">
        <v>30</v>
      </c>
      <c r="E117" s="8" t="s">
        <v>464</v>
      </c>
      <c r="F117" s="4"/>
      <c r="G117" s="3" t="s">
        <v>396</v>
      </c>
      <c r="H117" s="3" t="s">
        <v>1272</v>
      </c>
      <c r="I117" s="16" t="s">
        <v>1280</v>
      </c>
      <c r="J117" s="4"/>
      <c r="K117" s="4"/>
      <c r="L117" s="4"/>
      <c r="M117" s="3" t="s">
        <v>465</v>
      </c>
      <c r="N117" s="4"/>
      <c r="O117" s="4"/>
      <c r="P117" s="3" t="s">
        <v>466</v>
      </c>
      <c r="Q117" s="1" t="str">
        <f>IF($B117=0,$M117,_xlfn.TEXTBEFORE(Q116,"/",$B117,,,Q116)&amp;"/"&amp;$M117)&amp;IF(_xlfn.TEXTAFTER($D117,"..",,,,1)&lt;&gt;"1","[0]","")</f>
        <v>*/GoodsShipment[0]/CountryOfDispatch</v>
      </c>
    </row>
    <row r="118" spans="1:17" ht="12" customHeight="1" outlineLevel="3" x14ac:dyDescent="0.35">
      <c r="A118" s="2" t="str">
        <f>$E$2</f>
        <v>CC429B</v>
      </c>
      <c r="B118" s="1">
        <v>3</v>
      </c>
      <c r="C118" s="1" t="s">
        <v>19</v>
      </c>
      <c r="D118" s="2" t="s">
        <v>25</v>
      </c>
      <c r="E118" s="9" t="s">
        <v>464</v>
      </c>
      <c r="F118" s="7" t="s">
        <v>50</v>
      </c>
      <c r="G118" s="2" t="s">
        <v>27</v>
      </c>
      <c r="H118" s="2" t="s">
        <v>467</v>
      </c>
      <c r="J118" s="2" t="s">
        <v>468</v>
      </c>
      <c r="M118" s="2" t="s">
        <v>469</v>
      </c>
      <c r="P118" s="2" t="s">
        <v>52</v>
      </c>
      <c r="Q118" s="1" t="str">
        <f>IF($B118=0,$M118,_xlfn.TEXTBEFORE(Q117,"/",$B118,,,Q117)&amp;"/"&amp;$M118)&amp;IF(_xlfn.TEXTAFTER($D118,"..",,,,1)&lt;&gt;"1","[0]","")</f>
        <v>*/GoodsShipment[0]/CountryOfDispatch/countryOfDispatch</v>
      </c>
    </row>
    <row r="119" spans="1:17" ht="12" customHeight="1" outlineLevel="2" x14ac:dyDescent="0.35">
      <c r="A119" s="3" t="str">
        <f>$E$2</f>
        <v>CC429B</v>
      </c>
      <c r="B119" s="4">
        <v>2</v>
      </c>
      <c r="C119" s="3" t="s">
        <v>24</v>
      </c>
      <c r="D119" s="3" t="s">
        <v>30</v>
      </c>
      <c r="E119" s="8" t="s">
        <v>470</v>
      </c>
      <c r="F119" s="4"/>
      <c r="G119" s="3" t="s">
        <v>396</v>
      </c>
      <c r="H119" s="3" t="s">
        <v>1275</v>
      </c>
      <c r="I119" s="16" t="s">
        <v>1281</v>
      </c>
      <c r="J119" s="4"/>
      <c r="K119" s="4"/>
      <c r="L119" s="4"/>
      <c r="M119" s="3" t="s">
        <v>470</v>
      </c>
      <c r="N119" s="4"/>
      <c r="O119" s="4"/>
      <c r="P119" s="3" t="s">
        <v>471</v>
      </c>
      <c r="Q119" s="1" t="str">
        <f>IF($B119=0,$M119,_xlfn.TEXTBEFORE(Q118,"/",$B119,,,Q118)&amp;"/"&amp;$M119)&amp;IF(_xlfn.TEXTAFTER($D119,"..",,,,1)&lt;&gt;"1","[0]","")</f>
        <v>*/GoodsShipment[0]/Destination</v>
      </c>
    </row>
    <row r="120" spans="1:17" ht="12" customHeight="1" outlineLevel="3" x14ac:dyDescent="0.35">
      <c r="A120" s="2" t="str">
        <f>$E$2</f>
        <v>CC429B</v>
      </c>
      <c r="B120" s="1">
        <v>3</v>
      </c>
      <c r="C120" s="1" t="s">
        <v>19</v>
      </c>
      <c r="D120" s="2" t="s">
        <v>30</v>
      </c>
      <c r="E120" s="9" t="s">
        <v>472</v>
      </c>
      <c r="F120" s="7" t="s">
        <v>50</v>
      </c>
      <c r="G120" s="2" t="s">
        <v>396</v>
      </c>
      <c r="H120" s="2" t="s">
        <v>473</v>
      </c>
      <c r="I120" s="2" t="s">
        <v>474</v>
      </c>
      <c r="J120" s="2" t="s">
        <v>416</v>
      </c>
      <c r="M120" s="2" t="s">
        <v>475</v>
      </c>
      <c r="P120" s="2" t="s">
        <v>52</v>
      </c>
      <c r="Q120" s="1" t="str">
        <f>IF($B120=0,$M120,_xlfn.TEXTBEFORE(Q119,"/",$B120,,,Q119)&amp;"/"&amp;$M120)&amp;IF(_xlfn.TEXTAFTER($D120,"..",,,,1)&lt;&gt;"1","[0]","")</f>
        <v>*/GoodsShipment[0]/Destination/countryOfDestination</v>
      </c>
    </row>
    <row r="121" spans="1:17" ht="12" customHeight="1" outlineLevel="3" x14ac:dyDescent="0.35">
      <c r="A121" s="2" t="str">
        <f>$E$2</f>
        <v>CC429B</v>
      </c>
      <c r="B121" s="1">
        <v>3</v>
      </c>
      <c r="C121" s="1" t="s">
        <v>19</v>
      </c>
      <c r="D121" s="2" t="s">
        <v>30</v>
      </c>
      <c r="E121" s="9" t="s">
        <v>476</v>
      </c>
      <c r="F121" s="7" t="s">
        <v>96</v>
      </c>
      <c r="G121" s="2" t="s">
        <v>396</v>
      </c>
      <c r="H121" s="2" t="s">
        <v>477</v>
      </c>
      <c r="I121" s="7" t="s">
        <v>1282</v>
      </c>
      <c r="M121" s="2" t="s">
        <v>478</v>
      </c>
      <c r="P121" s="2" t="s">
        <v>479</v>
      </c>
      <c r="Q121" s="1" t="str">
        <f>IF($B121=0,$M121,_xlfn.TEXTBEFORE(Q120,"/",$B121,,,Q120)&amp;"/"&amp;$M121)&amp;IF(_xlfn.TEXTAFTER($D121,"..",,,,1)&lt;&gt;"1","[0]","")</f>
        <v>*/GoodsShipment[0]/Destination/regionOfDestination</v>
      </c>
    </row>
    <row r="122" spans="1:17" ht="12" customHeight="1" outlineLevel="3" x14ac:dyDescent="0.35">
      <c r="A122" s="2" t="str">
        <f>$E$2</f>
        <v>CC429B</v>
      </c>
      <c r="B122" s="1">
        <v>3</v>
      </c>
      <c r="C122" s="1" t="s">
        <v>19</v>
      </c>
      <c r="D122" s="2" t="s">
        <v>30</v>
      </c>
      <c r="E122" s="9" t="s">
        <v>142</v>
      </c>
      <c r="F122" s="7" t="s">
        <v>50</v>
      </c>
      <c r="G122" s="2" t="s">
        <v>396</v>
      </c>
      <c r="H122" s="2" t="s">
        <v>1283</v>
      </c>
      <c r="I122" s="2" t="s">
        <v>480</v>
      </c>
      <c r="J122" s="2" t="s">
        <v>416</v>
      </c>
      <c r="M122" s="2" t="s">
        <v>143</v>
      </c>
      <c r="P122" s="2" t="s">
        <v>52</v>
      </c>
      <c r="Q122" s="1" t="str">
        <f>IF($B122=0,$M122,_xlfn.TEXTBEFORE(Q121,"/",$B122,,,Q121)&amp;"/"&amp;$M122)&amp;IF(_xlfn.TEXTAFTER($D122,"..",,,,1)&lt;&gt;"1","[0]","")</f>
        <v>*/GoodsShipment[0]/Destination/ccQualifier</v>
      </c>
    </row>
    <row r="123" spans="1:17" ht="12" customHeight="1" outlineLevel="2" x14ac:dyDescent="0.35">
      <c r="A123" s="3" t="str">
        <f>$E$2</f>
        <v>CC429B</v>
      </c>
      <c r="B123" s="4">
        <v>2</v>
      </c>
      <c r="C123" s="3" t="s">
        <v>24</v>
      </c>
      <c r="D123" s="3" t="s">
        <v>30</v>
      </c>
      <c r="E123" s="8" t="s">
        <v>481</v>
      </c>
      <c r="F123" s="4"/>
      <c r="G123" s="3" t="s">
        <v>396</v>
      </c>
      <c r="H123" s="3" t="s">
        <v>1284</v>
      </c>
      <c r="I123" s="16" t="s">
        <v>1285</v>
      </c>
      <c r="J123" s="4"/>
      <c r="K123" s="4"/>
      <c r="L123" s="4"/>
      <c r="M123" s="3" t="s">
        <v>481</v>
      </c>
      <c r="N123" s="4"/>
      <c r="O123" s="4"/>
      <c r="P123" s="3" t="s">
        <v>482</v>
      </c>
      <c r="Q123" s="1" t="str">
        <f>IF($B123=0,$M123,_xlfn.TEXTBEFORE(Q122,"/",$B123,,,Q122)&amp;"/"&amp;$M123)&amp;IF(_xlfn.TEXTAFTER($D123,"..",,,,1)&lt;&gt;"1","[0]","")</f>
        <v>*/GoodsShipment[0]/Warehouse</v>
      </c>
    </row>
    <row r="124" spans="1:17" ht="12" customHeight="1" outlineLevel="3" x14ac:dyDescent="0.35">
      <c r="A124" s="2" t="str">
        <f>$E$2</f>
        <v>CC429B</v>
      </c>
      <c r="B124" s="1">
        <v>3</v>
      </c>
      <c r="C124" s="1" t="s">
        <v>19</v>
      </c>
      <c r="D124" s="2" t="s">
        <v>25</v>
      </c>
      <c r="E124" s="9" t="s">
        <v>2</v>
      </c>
      <c r="F124" s="7" t="s">
        <v>44</v>
      </c>
      <c r="G124" s="2" t="s">
        <v>27</v>
      </c>
      <c r="J124" s="2" t="s">
        <v>483</v>
      </c>
      <c r="M124" s="2" t="s">
        <v>61</v>
      </c>
      <c r="P124" s="2" t="s">
        <v>484</v>
      </c>
      <c r="Q124" s="1" t="str">
        <f>IF($B124=0,$M124,_xlfn.TEXTBEFORE(Q123,"/",$B124,,,Q123)&amp;"/"&amp;$M124)&amp;IF(_xlfn.TEXTAFTER($D124,"..",,,,1)&lt;&gt;"1","[0]","")</f>
        <v>*/GoodsShipment[0]/Warehouse/type</v>
      </c>
    </row>
    <row r="125" spans="1:17" ht="12" customHeight="1" outlineLevel="3" x14ac:dyDescent="0.35">
      <c r="A125" s="2" t="str">
        <f>$E$2</f>
        <v>CC429B</v>
      </c>
      <c r="B125" s="1">
        <v>3</v>
      </c>
      <c r="C125" s="1" t="s">
        <v>19</v>
      </c>
      <c r="D125" s="2" t="s">
        <v>25</v>
      </c>
      <c r="E125" s="9" t="s">
        <v>485</v>
      </c>
      <c r="F125" s="7" t="s">
        <v>834</v>
      </c>
      <c r="G125" s="2" t="s">
        <v>27</v>
      </c>
      <c r="H125" s="2" t="s">
        <v>486</v>
      </c>
      <c r="M125" s="2" t="s">
        <v>487</v>
      </c>
      <c r="P125" s="2" t="s">
        <v>488</v>
      </c>
      <c r="Q125" s="1" t="str">
        <f>IF($B125=0,$M125,_xlfn.TEXTBEFORE(Q124,"/",$B125,,,Q124)&amp;"/"&amp;$M125)&amp;IF(_xlfn.TEXTAFTER($D125,"..",,,,1)&lt;&gt;"1","[0]","")</f>
        <v>*/GoodsShipment[0]/Warehouse/identifier</v>
      </c>
    </row>
    <row r="126" spans="1:17" ht="12" customHeight="1" outlineLevel="2" x14ac:dyDescent="0.35">
      <c r="A126" s="3" t="str">
        <f>$E$2</f>
        <v>CC429B</v>
      </c>
      <c r="B126" s="4">
        <v>2</v>
      </c>
      <c r="C126" s="3" t="s">
        <v>24</v>
      </c>
      <c r="D126" s="3" t="s">
        <v>193</v>
      </c>
      <c r="E126" s="8" t="s">
        <v>303</v>
      </c>
      <c r="F126" s="4"/>
      <c r="G126" s="3" t="s">
        <v>22</v>
      </c>
      <c r="H126" s="3" t="s">
        <v>489</v>
      </c>
      <c r="I126" s="4"/>
      <c r="J126" s="4"/>
      <c r="K126" s="4"/>
      <c r="L126" s="4"/>
      <c r="M126" s="3" t="s">
        <v>304</v>
      </c>
      <c r="N126" s="4"/>
      <c r="O126" s="4"/>
      <c r="P126" s="3" t="s">
        <v>490</v>
      </c>
      <c r="Q126" s="1" t="str">
        <f>IF($B126=0,$M126,_xlfn.TEXTBEFORE(Q125,"/",$B126,,,Q125)&amp;"/"&amp;$M126)&amp;IF(_xlfn.TEXTAFTER($D126,"..",,,,1)&lt;&gt;"1","[0]","")</f>
        <v>*/GoodsShipment[0]/PreviousDocument[0]</v>
      </c>
    </row>
    <row r="127" spans="1:17" ht="12" customHeight="1" outlineLevel="3" x14ac:dyDescent="0.35">
      <c r="A127" s="2" t="str">
        <f>$E$2</f>
        <v>CC429B</v>
      </c>
      <c r="B127" s="1">
        <v>3</v>
      </c>
      <c r="C127" s="1" t="s">
        <v>19</v>
      </c>
      <c r="D127" s="2" t="s">
        <v>25</v>
      </c>
      <c r="E127" s="9" t="s">
        <v>56</v>
      </c>
      <c r="F127" s="7" t="s">
        <v>57</v>
      </c>
      <c r="G127" s="2" t="s">
        <v>27</v>
      </c>
      <c r="H127" s="2" t="s">
        <v>393</v>
      </c>
      <c r="M127" s="2" t="s">
        <v>58</v>
      </c>
      <c r="P127" s="2" t="s">
        <v>59</v>
      </c>
      <c r="Q127" s="1" t="str">
        <f>IF($B127=0,$M127,_xlfn.TEXTBEFORE(Q126,"/",$B127,,,Q126)&amp;"/"&amp;$M127)&amp;IF(_xlfn.TEXTAFTER($D127,"..",,,,1)&lt;&gt;"1","[0]","")</f>
        <v>*/GoodsShipment[0]/PreviousDocument[0]/sequenceNumber</v>
      </c>
    </row>
    <row r="128" spans="1:17" ht="12" customHeight="1" outlineLevel="3" x14ac:dyDescent="0.35">
      <c r="A128" s="2" t="str">
        <f>$E$2</f>
        <v>CC429B</v>
      </c>
      <c r="B128" s="1">
        <v>3</v>
      </c>
      <c r="C128" s="1" t="s">
        <v>19</v>
      </c>
      <c r="D128" s="2" t="s">
        <v>25</v>
      </c>
      <c r="E128" s="9" t="s">
        <v>2</v>
      </c>
      <c r="F128" s="7" t="s">
        <v>306</v>
      </c>
      <c r="G128" s="2" t="s">
        <v>27</v>
      </c>
      <c r="H128" s="2" t="s">
        <v>1286</v>
      </c>
      <c r="J128" s="2" t="s">
        <v>491</v>
      </c>
      <c r="M128" s="2" t="s">
        <v>61</v>
      </c>
      <c r="P128" s="2" t="s">
        <v>307</v>
      </c>
      <c r="Q128" s="1" t="str">
        <f>IF($B128=0,$M128,_xlfn.TEXTBEFORE(Q127,"/",$B128,,,Q127)&amp;"/"&amp;$M128)&amp;IF(_xlfn.TEXTAFTER($D128,"..",,,,1)&lt;&gt;"1","[0]","")</f>
        <v>*/GoodsShipment[0]/PreviousDocument[0]/type</v>
      </c>
    </row>
    <row r="129" spans="1:17" ht="12" customHeight="1" outlineLevel="3" x14ac:dyDescent="0.35">
      <c r="A129" s="2" t="str">
        <f>$E$2</f>
        <v>CC429B</v>
      </c>
      <c r="B129" s="1">
        <v>3</v>
      </c>
      <c r="C129" s="1" t="s">
        <v>19</v>
      </c>
      <c r="D129" s="2" t="s">
        <v>30</v>
      </c>
      <c r="E129" s="9" t="s">
        <v>142</v>
      </c>
      <c r="F129" s="7" t="s">
        <v>50</v>
      </c>
      <c r="G129" s="2" t="s">
        <v>396</v>
      </c>
      <c r="H129" s="2" t="s">
        <v>492</v>
      </c>
      <c r="I129" s="2" t="s">
        <v>493</v>
      </c>
      <c r="J129" s="2" t="s">
        <v>416</v>
      </c>
      <c r="M129" s="2" t="s">
        <v>143</v>
      </c>
      <c r="P129" s="2" t="s">
        <v>52</v>
      </c>
      <c r="Q129" s="1" t="str">
        <f>IF($B129=0,$M129,_xlfn.TEXTBEFORE(Q128,"/",$B129,,,Q128)&amp;"/"&amp;$M129)&amp;IF(_xlfn.TEXTAFTER($D129,"..",,,,1)&lt;&gt;"1","[0]","")</f>
        <v>*/GoodsShipment[0]/PreviousDocument[0]/ccQualifier</v>
      </c>
    </row>
    <row r="130" spans="1:17" ht="12" customHeight="1" outlineLevel="3" x14ac:dyDescent="0.35">
      <c r="A130" s="2" t="str">
        <f>$E$2</f>
        <v>CC429B</v>
      </c>
      <c r="B130" s="1">
        <v>3</v>
      </c>
      <c r="C130" s="1" t="s">
        <v>19</v>
      </c>
      <c r="D130" s="2" t="s">
        <v>25</v>
      </c>
      <c r="E130" s="9" t="s">
        <v>63</v>
      </c>
      <c r="F130" s="7" t="s">
        <v>83</v>
      </c>
      <c r="G130" s="2" t="s">
        <v>27</v>
      </c>
      <c r="H130" s="2" t="s">
        <v>494</v>
      </c>
      <c r="M130" s="2" t="s">
        <v>65</v>
      </c>
      <c r="P130" s="2" t="s">
        <v>308</v>
      </c>
      <c r="Q130" s="1" t="str">
        <f>IF($B130=0,$M130,_xlfn.TEXTBEFORE(Q129,"/",$B130,,,Q129)&amp;"/"&amp;$M130)&amp;IF(_xlfn.TEXTAFTER($D130,"..",,,,1)&lt;&gt;"1","[0]","")</f>
        <v>*/GoodsShipment[0]/PreviousDocument[0]/referenceNumber</v>
      </c>
    </row>
    <row r="131" spans="1:17" ht="12" customHeight="1" outlineLevel="2" x14ac:dyDescent="0.35">
      <c r="A131" s="3" t="str">
        <f>$E$2</f>
        <v>CC429B</v>
      </c>
      <c r="B131" s="4">
        <v>2</v>
      </c>
      <c r="C131" s="3" t="s">
        <v>24</v>
      </c>
      <c r="D131" s="3" t="s">
        <v>193</v>
      </c>
      <c r="E131" s="8" t="s">
        <v>495</v>
      </c>
      <c r="F131" s="4"/>
      <c r="G131" s="3" t="s">
        <v>22</v>
      </c>
      <c r="H131" s="3" t="s">
        <v>489</v>
      </c>
      <c r="I131" s="4"/>
      <c r="J131" s="4"/>
      <c r="K131" s="4"/>
      <c r="L131" s="4"/>
      <c r="M131" s="3" t="s">
        <v>496</v>
      </c>
      <c r="N131" s="4"/>
      <c r="O131" s="4"/>
      <c r="P131" s="3" t="s">
        <v>1500</v>
      </c>
      <c r="Q131" s="1" t="str">
        <f>IF($B131=0,$M131,_xlfn.TEXTBEFORE(Q130,"/",$B131,,,Q130)&amp;"/"&amp;$M131)&amp;IF(_xlfn.TEXTAFTER($D131,"..",,,,1)&lt;&gt;"1","[0]","")</f>
        <v>*/GoodsShipment[0]/SupportingDocument[0]</v>
      </c>
    </row>
    <row r="132" spans="1:17" ht="12" customHeight="1" outlineLevel="3" x14ac:dyDescent="0.35">
      <c r="A132" s="2" t="str">
        <f>$E$2</f>
        <v>CC429B</v>
      </c>
      <c r="B132" s="1">
        <v>3</v>
      </c>
      <c r="C132" s="1" t="s">
        <v>19</v>
      </c>
      <c r="D132" s="2" t="s">
        <v>25</v>
      </c>
      <c r="E132" s="9" t="s">
        <v>56</v>
      </c>
      <c r="F132" s="7" t="s">
        <v>57</v>
      </c>
      <c r="G132" s="2" t="s">
        <v>27</v>
      </c>
      <c r="H132" s="2" t="s">
        <v>393</v>
      </c>
      <c r="M132" s="2" t="s">
        <v>58</v>
      </c>
      <c r="P132" s="2" t="s">
        <v>59</v>
      </c>
      <c r="Q132" s="1" t="str">
        <f>IF($B132=0,$M132,_xlfn.TEXTBEFORE(Q131,"/",$B132,,,Q131)&amp;"/"&amp;$M132)&amp;IF(_xlfn.TEXTAFTER($D132,"..",,,,1)&lt;&gt;"1","[0]","")</f>
        <v>*/GoodsShipment[0]/SupportingDocument[0]/sequenceNumber</v>
      </c>
    </row>
    <row r="133" spans="1:17" ht="12" customHeight="1" outlineLevel="3" x14ac:dyDescent="0.35">
      <c r="A133" s="2" t="str">
        <f>$E$2</f>
        <v>CC429B</v>
      </c>
      <c r="B133" s="1">
        <v>3</v>
      </c>
      <c r="C133" s="1" t="s">
        <v>19</v>
      </c>
      <c r="D133" s="2" t="s">
        <v>25</v>
      </c>
      <c r="E133" s="9" t="s">
        <v>2</v>
      </c>
      <c r="F133" s="7" t="s">
        <v>306</v>
      </c>
      <c r="G133" s="2" t="s">
        <v>27</v>
      </c>
      <c r="H133" s="2" t="s">
        <v>477</v>
      </c>
      <c r="J133" s="2" t="s">
        <v>498</v>
      </c>
      <c r="M133" s="2" t="s">
        <v>61</v>
      </c>
      <c r="P133" s="2" t="s">
        <v>307</v>
      </c>
      <c r="Q133" s="1" t="str">
        <f>IF($B133=0,$M133,_xlfn.TEXTBEFORE(Q132,"/",$B133,,,Q132)&amp;"/"&amp;$M133)&amp;IF(_xlfn.TEXTAFTER($D133,"..",,,,1)&lt;&gt;"1","[0]","")</f>
        <v>*/GoodsShipment[0]/SupportingDocument[0]/type</v>
      </c>
    </row>
    <row r="134" spans="1:17" ht="12" customHeight="1" outlineLevel="3" x14ac:dyDescent="0.35">
      <c r="A134" s="2" t="str">
        <f>$E$2</f>
        <v>CC429B</v>
      </c>
      <c r="B134" s="1">
        <v>3</v>
      </c>
      <c r="C134" s="1" t="s">
        <v>19</v>
      </c>
      <c r="D134" s="2" t="s">
        <v>30</v>
      </c>
      <c r="E134" s="9" t="s">
        <v>142</v>
      </c>
      <c r="F134" s="7" t="s">
        <v>50</v>
      </c>
      <c r="G134" s="2" t="s">
        <v>396</v>
      </c>
      <c r="H134" s="2" t="s">
        <v>492</v>
      </c>
      <c r="I134" s="2" t="s">
        <v>493</v>
      </c>
      <c r="J134" s="2" t="s">
        <v>416</v>
      </c>
      <c r="M134" s="2" t="s">
        <v>143</v>
      </c>
      <c r="P134" s="2" t="s">
        <v>52</v>
      </c>
      <c r="Q134" s="1" t="str">
        <f>IF($B134=0,$M134,_xlfn.TEXTBEFORE(Q133,"/",$B134,,,Q133)&amp;"/"&amp;$M134)&amp;IF(_xlfn.TEXTAFTER($D134,"..",,,,1)&lt;&gt;"1","[0]","")</f>
        <v>*/GoodsShipment[0]/SupportingDocument[0]/ccQualifier</v>
      </c>
    </row>
    <row r="135" spans="1:17" ht="12" customHeight="1" outlineLevel="3" x14ac:dyDescent="0.35">
      <c r="A135" s="2" t="str">
        <f>$E$2</f>
        <v>CC429B</v>
      </c>
      <c r="B135" s="1">
        <v>3</v>
      </c>
      <c r="C135" s="1" t="s">
        <v>19</v>
      </c>
      <c r="D135" s="2" t="s">
        <v>25</v>
      </c>
      <c r="E135" s="9" t="s">
        <v>63</v>
      </c>
      <c r="F135" s="7" t="s">
        <v>83</v>
      </c>
      <c r="G135" s="2" t="s">
        <v>27</v>
      </c>
      <c r="H135" s="2" t="s">
        <v>494</v>
      </c>
      <c r="M135" s="2" t="s">
        <v>65</v>
      </c>
      <c r="P135" s="2" t="s">
        <v>308</v>
      </c>
      <c r="Q135" s="1" t="str">
        <f>IF($B135=0,$M135,_xlfn.TEXTBEFORE(Q134,"/",$B135,,,Q134)&amp;"/"&amp;$M135)&amp;IF(_xlfn.TEXTAFTER($D135,"..",,,,1)&lt;&gt;"1","[0]","")</f>
        <v>*/GoodsShipment[0]/SupportingDocument[0]/referenceNumber</v>
      </c>
    </row>
    <row r="136" spans="1:17" ht="12" customHeight="1" outlineLevel="3" x14ac:dyDescent="0.35">
      <c r="A136" s="2" t="str">
        <f>$E$2</f>
        <v>CC429B</v>
      </c>
      <c r="B136" s="1">
        <v>3</v>
      </c>
      <c r="C136" s="1" t="s">
        <v>19</v>
      </c>
      <c r="D136" s="2" t="s">
        <v>30</v>
      </c>
      <c r="E136" s="9" t="s">
        <v>499</v>
      </c>
      <c r="F136" s="7" t="s">
        <v>57</v>
      </c>
      <c r="G136" s="2" t="s">
        <v>22</v>
      </c>
      <c r="M136" s="2" t="s">
        <v>500</v>
      </c>
      <c r="P136" s="2" t="s">
        <v>255</v>
      </c>
      <c r="Q136" s="1" t="str">
        <f>IF($B136=0,$M136,_xlfn.TEXTBEFORE(Q135,"/",$B136,,,Q135)&amp;"/"&amp;$M136)&amp;IF(_xlfn.TEXTAFTER($D136,"..",,,,1)&lt;&gt;"1","[0]","")</f>
        <v>*/GoodsShipment[0]/SupportingDocument[0]/documentLineItemNumber</v>
      </c>
    </row>
    <row r="137" spans="1:17" ht="12" customHeight="1" outlineLevel="3" x14ac:dyDescent="0.35">
      <c r="A137" s="2" t="str">
        <f>$E$2</f>
        <v>CC429B</v>
      </c>
      <c r="B137" s="1">
        <v>3</v>
      </c>
      <c r="C137" s="1" t="s">
        <v>19</v>
      </c>
      <c r="D137" s="2" t="s">
        <v>30</v>
      </c>
      <c r="E137" s="9" t="s">
        <v>501</v>
      </c>
      <c r="F137" s="7" t="s">
        <v>83</v>
      </c>
      <c r="G137" s="2" t="s">
        <v>22</v>
      </c>
      <c r="M137" s="2" t="s">
        <v>502</v>
      </c>
      <c r="P137" s="2" t="s">
        <v>503</v>
      </c>
      <c r="Q137" s="1" t="str">
        <f>IF($B137=0,$M137,_xlfn.TEXTBEFORE(Q136,"/",$B137,,,Q136)&amp;"/"&amp;$M137)&amp;IF(_xlfn.TEXTAFTER($D137,"..",,,,1)&lt;&gt;"1","[0]","")</f>
        <v>*/GoodsShipment[0]/SupportingDocument[0]/issuingAuthorityName</v>
      </c>
    </row>
    <row r="138" spans="1:17" ht="12" customHeight="1" outlineLevel="3" x14ac:dyDescent="0.35">
      <c r="A138" s="2" t="str">
        <f>$E$2</f>
        <v>CC429B</v>
      </c>
      <c r="B138" s="1">
        <v>3</v>
      </c>
      <c r="C138" s="1" t="s">
        <v>19</v>
      </c>
      <c r="D138" s="2" t="s">
        <v>30</v>
      </c>
      <c r="E138" s="9" t="s">
        <v>504</v>
      </c>
      <c r="F138" s="2" t="s">
        <v>505</v>
      </c>
      <c r="G138" s="2" t="s">
        <v>22</v>
      </c>
      <c r="M138" s="2" t="s">
        <v>506</v>
      </c>
      <c r="P138" s="2" t="s">
        <v>507</v>
      </c>
      <c r="Q138" s="1" t="str">
        <f>IF($B138=0,$M138,_xlfn.TEXTBEFORE(Q137,"/",$B138,,,Q137)&amp;"/"&amp;$M138)&amp;IF(_xlfn.TEXTAFTER($D138,"..",,,,1)&lt;&gt;"1","[0]","")</f>
        <v>*/GoodsShipment[0]/SupportingDocument[0]/dateOfValidity</v>
      </c>
    </row>
    <row r="139" spans="1:17" ht="12" customHeight="1" outlineLevel="2" x14ac:dyDescent="0.35">
      <c r="A139" s="3" t="str">
        <f>$E$2</f>
        <v>CC429B</v>
      </c>
      <c r="B139" s="4">
        <v>2</v>
      </c>
      <c r="C139" s="3" t="s">
        <v>24</v>
      </c>
      <c r="D139" s="3" t="s">
        <v>193</v>
      </c>
      <c r="E139" s="8" t="s">
        <v>508</v>
      </c>
      <c r="F139" s="4"/>
      <c r="G139" s="3" t="s">
        <v>22</v>
      </c>
      <c r="H139" s="3" t="s">
        <v>489</v>
      </c>
      <c r="I139" s="4"/>
      <c r="J139" s="4"/>
      <c r="K139" s="4"/>
      <c r="L139" s="4"/>
      <c r="M139" s="3" t="s">
        <v>509</v>
      </c>
      <c r="N139" s="4"/>
      <c r="O139" s="4"/>
      <c r="P139" s="3" t="s">
        <v>510</v>
      </c>
      <c r="Q139" s="1" t="str">
        <f>IF($B139=0,$M139,_xlfn.TEXTBEFORE(Q138,"/",$B139,,,Q138)&amp;"/"&amp;$M139)&amp;IF(_xlfn.TEXTAFTER($D139,"..",,,,1)&lt;&gt;"1","[0]","")</f>
        <v>*/GoodsShipment[0]/AdditionalReference[0]</v>
      </c>
    </row>
    <row r="140" spans="1:17" ht="12" customHeight="1" outlineLevel="3" x14ac:dyDescent="0.35">
      <c r="A140" s="2" t="str">
        <f>$E$2</f>
        <v>CC429B</v>
      </c>
      <c r="B140" s="1">
        <v>3</v>
      </c>
      <c r="C140" s="1" t="s">
        <v>19</v>
      </c>
      <c r="D140" s="2" t="s">
        <v>25</v>
      </c>
      <c r="E140" s="9" t="s">
        <v>56</v>
      </c>
      <c r="F140" s="7" t="s">
        <v>57</v>
      </c>
      <c r="G140" s="2" t="s">
        <v>27</v>
      </c>
      <c r="H140" s="2" t="s">
        <v>393</v>
      </c>
      <c r="M140" s="2" t="s">
        <v>58</v>
      </c>
      <c r="P140" s="2" t="s">
        <v>59</v>
      </c>
      <c r="Q140" s="1" t="str">
        <f>IF($B140=0,$M140,_xlfn.TEXTBEFORE(Q139,"/",$B140,,,Q139)&amp;"/"&amp;$M140)&amp;IF(_xlfn.TEXTAFTER($D140,"..",,,,1)&lt;&gt;"1","[0]","")</f>
        <v>*/GoodsShipment[0]/AdditionalReference[0]/sequenceNumber</v>
      </c>
    </row>
    <row r="141" spans="1:17" ht="12" customHeight="1" outlineLevel="3" x14ac:dyDescent="0.35">
      <c r="A141" s="2" t="str">
        <f>$E$2</f>
        <v>CC429B</v>
      </c>
      <c r="B141" s="1">
        <v>3</v>
      </c>
      <c r="C141" s="1" t="s">
        <v>19</v>
      </c>
      <c r="D141" s="2" t="s">
        <v>25</v>
      </c>
      <c r="E141" s="9" t="s">
        <v>2</v>
      </c>
      <c r="F141" s="7" t="s">
        <v>306</v>
      </c>
      <c r="G141" s="2" t="s">
        <v>27</v>
      </c>
      <c r="J141" s="2" t="s">
        <v>511</v>
      </c>
      <c r="M141" s="2" t="s">
        <v>61</v>
      </c>
      <c r="P141" s="2" t="s">
        <v>307</v>
      </c>
      <c r="Q141" s="1" t="str">
        <f>IF($B141=0,$M141,_xlfn.TEXTBEFORE(Q140,"/",$B141,,,Q140)&amp;"/"&amp;$M141)&amp;IF(_xlfn.TEXTAFTER($D141,"..",,,,1)&lt;&gt;"1","[0]","")</f>
        <v>*/GoodsShipment[0]/AdditionalReference[0]/type</v>
      </c>
    </row>
    <row r="142" spans="1:17" ht="12" customHeight="1" outlineLevel="3" x14ac:dyDescent="0.35">
      <c r="A142" s="2" t="str">
        <f>$E$2</f>
        <v>CC429B</v>
      </c>
      <c r="B142" s="1">
        <v>3</v>
      </c>
      <c r="C142" s="1" t="s">
        <v>19</v>
      </c>
      <c r="D142" s="2" t="s">
        <v>30</v>
      </c>
      <c r="E142" s="9" t="s">
        <v>142</v>
      </c>
      <c r="F142" s="7" t="s">
        <v>50</v>
      </c>
      <c r="G142" s="2" t="s">
        <v>396</v>
      </c>
      <c r="H142" s="2" t="s">
        <v>512</v>
      </c>
      <c r="I142" s="2" t="s">
        <v>493</v>
      </c>
      <c r="J142" s="2" t="s">
        <v>416</v>
      </c>
      <c r="M142" s="2" t="s">
        <v>143</v>
      </c>
      <c r="P142" s="2" t="s">
        <v>52</v>
      </c>
      <c r="Q142" s="1" t="str">
        <f>IF($B142=0,$M142,_xlfn.TEXTBEFORE(Q141,"/",$B142,,,Q141)&amp;"/"&amp;$M142)&amp;IF(_xlfn.TEXTAFTER($D142,"..",,,,1)&lt;&gt;"1","[0]","")</f>
        <v>*/GoodsShipment[0]/AdditionalReference[0]/ccQualifier</v>
      </c>
    </row>
    <row r="143" spans="1:17" ht="12" customHeight="1" outlineLevel="3" x14ac:dyDescent="0.35">
      <c r="A143" s="2" t="str">
        <f>$E$2</f>
        <v>CC429B</v>
      </c>
      <c r="B143" s="1">
        <v>3</v>
      </c>
      <c r="C143" s="1" t="s">
        <v>19</v>
      </c>
      <c r="D143" s="2" t="s">
        <v>30</v>
      </c>
      <c r="E143" s="9" t="s">
        <v>63</v>
      </c>
      <c r="F143" s="7" t="s">
        <v>83</v>
      </c>
      <c r="G143" s="2" t="s">
        <v>22</v>
      </c>
      <c r="H143" s="2" t="s">
        <v>494</v>
      </c>
      <c r="M143" s="2" t="s">
        <v>65</v>
      </c>
      <c r="P143" s="2" t="s">
        <v>308</v>
      </c>
      <c r="Q143" s="1" t="str">
        <f>IF($B143=0,$M143,_xlfn.TEXTBEFORE(Q142,"/",$B143,,,Q142)&amp;"/"&amp;$M143)&amp;IF(_xlfn.TEXTAFTER($D143,"..",,,,1)&lt;&gt;"1","[0]","")</f>
        <v>*/GoodsShipment[0]/AdditionalReference[0]/referenceNumber</v>
      </c>
    </row>
    <row r="144" spans="1:17" ht="12" customHeight="1" outlineLevel="2" x14ac:dyDescent="0.35">
      <c r="A144" s="3" t="str">
        <f>$E$2</f>
        <v>CC429B</v>
      </c>
      <c r="B144" s="4">
        <v>2</v>
      </c>
      <c r="C144" s="3" t="s">
        <v>24</v>
      </c>
      <c r="D144" s="3" t="s">
        <v>193</v>
      </c>
      <c r="E144" s="8" t="s">
        <v>219</v>
      </c>
      <c r="F144" s="4"/>
      <c r="G144" s="3" t="s">
        <v>22</v>
      </c>
      <c r="H144" s="3" t="s">
        <v>489</v>
      </c>
      <c r="I144" s="4"/>
      <c r="J144" s="4"/>
      <c r="K144" s="4"/>
      <c r="L144" s="4"/>
      <c r="M144" s="3" t="s">
        <v>220</v>
      </c>
      <c r="N144" s="4"/>
      <c r="O144" s="4"/>
      <c r="P144" s="3" t="s">
        <v>221</v>
      </c>
      <c r="Q144" s="1" t="str">
        <f>IF($B144=0,$M144,_xlfn.TEXTBEFORE(Q143,"/",$B144,,,Q143)&amp;"/"&amp;$M144)&amp;IF(_xlfn.TEXTAFTER($D144,"..",,,,1)&lt;&gt;"1","[0]","")</f>
        <v>*/GoodsShipment[0]/AdditionalInformation[0]</v>
      </c>
    </row>
    <row r="145" spans="1:17" ht="12" customHeight="1" outlineLevel="3" x14ac:dyDescent="0.35">
      <c r="A145" s="2" t="str">
        <f>$E$2</f>
        <v>CC429B</v>
      </c>
      <c r="B145" s="1">
        <v>3</v>
      </c>
      <c r="C145" s="1" t="s">
        <v>19</v>
      </c>
      <c r="D145" s="2" t="s">
        <v>25</v>
      </c>
      <c r="E145" s="9" t="s">
        <v>56</v>
      </c>
      <c r="F145" s="7" t="s">
        <v>57</v>
      </c>
      <c r="G145" s="2" t="s">
        <v>27</v>
      </c>
      <c r="H145" s="2" t="s">
        <v>393</v>
      </c>
      <c r="M145" s="2" t="s">
        <v>58</v>
      </c>
      <c r="P145" s="2" t="s">
        <v>59</v>
      </c>
      <c r="Q145" s="1" t="str">
        <f>IF($B145=0,$M145,_xlfn.TEXTBEFORE(Q144,"/",$B145,,,Q144)&amp;"/"&amp;$M145)&amp;IF(_xlfn.TEXTAFTER($D145,"..",,,,1)&lt;&gt;"1","[0]","")</f>
        <v>*/GoodsShipment[0]/AdditionalInformation[0]/sequenceNumber</v>
      </c>
    </row>
    <row r="146" spans="1:17" ht="12" customHeight="1" outlineLevel="3" x14ac:dyDescent="0.35">
      <c r="A146" s="2" t="str">
        <f>$E$2</f>
        <v>CC429B</v>
      </c>
      <c r="B146" s="1">
        <v>3</v>
      </c>
      <c r="C146" s="1" t="s">
        <v>19</v>
      </c>
      <c r="D146" s="2" t="s">
        <v>25</v>
      </c>
      <c r="E146" s="9" t="s">
        <v>222</v>
      </c>
      <c r="F146" s="7" t="s">
        <v>223</v>
      </c>
      <c r="G146" s="2" t="s">
        <v>27</v>
      </c>
      <c r="H146" s="2" t="s">
        <v>477</v>
      </c>
      <c r="J146" s="2" t="s">
        <v>513</v>
      </c>
      <c r="M146" s="2" t="s">
        <v>224</v>
      </c>
      <c r="P146" s="2" t="s">
        <v>225</v>
      </c>
      <c r="Q146" s="1" t="str">
        <f>IF($B146=0,$M146,_xlfn.TEXTBEFORE(Q145,"/",$B146,,,Q145)&amp;"/"&amp;$M146)&amp;IF(_xlfn.TEXTAFTER($D146,"..",,,,1)&lt;&gt;"1","[0]","")</f>
        <v>*/GoodsShipment[0]/AdditionalInformation[0]/code</v>
      </c>
    </row>
    <row r="147" spans="1:17" ht="12" customHeight="1" outlineLevel="3" x14ac:dyDescent="0.35">
      <c r="A147" s="2" t="str">
        <f>$E$2</f>
        <v>CC429B</v>
      </c>
      <c r="B147" s="1">
        <v>3</v>
      </c>
      <c r="C147" s="1" t="s">
        <v>19</v>
      </c>
      <c r="D147" s="2" t="s">
        <v>30</v>
      </c>
      <c r="E147" s="9" t="s">
        <v>142</v>
      </c>
      <c r="F147" s="7" t="s">
        <v>50</v>
      </c>
      <c r="G147" s="2" t="s">
        <v>396</v>
      </c>
      <c r="H147" s="2" t="s">
        <v>512</v>
      </c>
      <c r="I147" s="2" t="s">
        <v>493</v>
      </c>
      <c r="J147" s="2" t="s">
        <v>416</v>
      </c>
      <c r="M147" s="2" t="s">
        <v>143</v>
      </c>
      <c r="P147" s="2" t="s">
        <v>52</v>
      </c>
      <c r="Q147" s="1" t="str">
        <f>IF($B147=0,$M147,_xlfn.TEXTBEFORE(Q146,"/",$B147,,,Q146)&amp;"/"&amp;$M147)&amp;IF(_xlfn.TEXTAFTER($D147,"..",,,,1)&lt;&gt;"1","[0]","")</f>
        <v>*/GoodsShipment[0]/AdditionalInformation[0]/ccQualifier</v>
      </c>
    </row>
    <row r="148" spans="1:17" ht="12" customHeight="1" outlineLevel="3" x14ac:dyDescent="0.35">
      <c r="A148" s="2" t="str">
        <f>$E$2</f>
        <v>CC429B</v>
      </c>
      <c r="B148" s="1">
        <v>3</v>
      </c>
      <c r="C148" s="1" t="s">
        <v>19</v>
      </c>
      <c r="D148" s="2" t="s">
        <v>30</v>
      </c>
      <c r="E148" s="9" t="s">
        <v>226</v>
      </c>
      <c r="F148" s="7" t="s">
        <v>216</v>
      </c>
      <c r="G148" s="2" t="s">
        <v>22</v>
      </c>
      <c r="M148" s="2" t="s">
        <v>227</v>
      </c>
      <c r="P148" s="2" t="s">
        <v>218</v>
      </c>
      <c r="Q148" s="1" t="str">
        <f>IF($B148=0,$M148,_xlfn.TEXTBEFORE(Q147,"/",$B148,,,Q147)&amp;"/"&amp;$M148)&amp;IF(_xlfn.TEXTAFTER($D148,"..",,,,1)&lt;&gt;"1","[0]","")</f>
        <v>*/GoodsShipment[0]/AdditionalInformation[0]/text</v>
      </c>
    </row>
    <row r="149" spans="1:17" ht="12" customHeight="1" outlineLevel="2" x14ac:dyDescent="0.35">
      <c r="A149" s="3" t="str">
        <f>$E$2</f>
        <v>CC429B</v>
      </c>
      <c r="B149" s="4">
        <v>2</v>
      </c>
      <c r="C149" s="3" t="s">
        <v>24</v>
      </c>
      <c r="D149" s="3" t="s">
        <v>193</v>
      </c>
      <c r="E149" s="8" t="s">
        <v>514</v>
      </c>
      <c r="F149" s="4"/>
      <c r="G149" s="3" t="s">
        <v>396</v>
      </c>
      <c r="H149" s="3" t="s">
        <v>595</v>
      </c>
      <c r="I149" s="3" t="s">
        <v>515</v>
      </c>
      <c r="J149" s="4"/>
      <c r="K149" s="4"/>
      <c r="L149" s="4"/>
      <c r="M149" s="3" t="s">
        <v>516</v>
      </c>
      <c r="N149" s="4"/>
      <c r="O149" s="4"/>
      <c r="P149" s="3" t="s">
        <v>1501</v>
      </c>
      <c r="Q149" s="1" t="str">
        <f>IF($B149=0,$M149,_xlfn.TEXTBEFORE(Q148,"/",$B149,,,Q148)&amp;"/"&amp;$M149)&amp;IF(_xlfn.TEXTAFTER($D149,"..",,,,1)&lt;&gt;"1","[0]","")</f>
        <v>*/GoodsShipment[0]/AdditionsAndDeductions[0]</v>
      </c>
    </row>
    <row r="150" spans="1:17" ht="12" customHeight="1" outlineLevel="3" x14ac:dyDescent="0.35">
      <c r="A150" s="2" t="str">
        <f>$E$2</f>
        <v>CC429B</v>
      </c>
      <c r="B150" s="1">
        <v>3</v>
      </c>
      <c r="C150" s="1" t="s">
        <v>19</v>
      </c>
      <c r="D150" s="2" t="s">
        <v>25</v>
      </c>
      <c r="E150" s="9" t="s">
        <v>56</v>
      </c>
      <c r="F150" s="7" t="s">
        <v>57</v>
      </c>
      <c r="G150" s="2" t="s">
        <v>27</v>
      </c>
      <c r="H150" s="2" t="s">
        <v>393</v>
      </c>
      <c r="M150" s="2" t="s">
        <v>58</v>
      </c>
      <c r="P150" s="2" t="s">
        <v>59</v>
      </c>
      <c r="Q150" s="1" t="str">
        <f>IF($B150=0,$M150,_xlfn.TEXTBEFORE(Q149,"/",$B150,,,Q149)&amp;"/"&amp;$M150)&amp;IF(_xlfn.TEXTAFTER($D150,"..",,,,1)&lt;&gt;"1","[0]","")</f>
        <v>*/GoodsShipment[0]/AdditionsAndDeductions[0]/sequenceNumber</v>
      </c>
    </row>
    <row r="151" spans="1:17" ht="12" customHeight="1" outlineLevel="3" x14ac:dyDescent="0.35">
      <c r="A151" s="2" t="str">
        <f>$E$2</f>
        <v>CC429B</v>
      </c>
      <c r="B151" s="1">
        <v>3</v>
      </c>
      <c r="C151" s="1" t="s">
        <v>19</v>
      </c>
      <c r="D151" s="2" t="s">
        <v>25</v>
      </c>
      <c r="E151" s="9" t="s">
        <v>222</v>
      </c>
      <c r="F151" s="7" t="s">
        <v>518</v>
      </c>
      <c r="G151" s="2" t="s">
        <v>27</v>
      </c>
      <c r="J151" s="2" t="s">
        <v>519</v>
      </c>
      <c r="M151" s="2" t="s">
        <v>224</v>
      </c>
      <c r="P151" s="2" t="s">
        <v>520</v>
      </c>
      <c r="Q151" s="1" t="str">
        <f>IF($B151=0,$M151,_xlfn.TEXTBEFORE(Q150,"/",$B151,,,Q150)&amp;"/"&amp;$M151)&amp;IF(_xlfn.TEXTAFTER($D151,"..",,,,1)&lt;&gt;"1","[0]","")</f>
        <v>*/GoodsShipment[0]/AdditionsAndDeductions[0]/code</v>
      </c>
    </row>
    <row r="152" spans="1:17" ht="12" customHeight="1" outlineLevel="3" x14ac:dyDescent="0.35">
      <c r="A152" s="2" t="str">
        <f>$E$2</f>
        <v>CC429B</v>
      </c>
      <c r="B152" s="1">
        <v>3</v>
      </c>
      <c r="C152" s="1" t="s">
        <v>19</v>
      </c>
      <c r="D152" s="2" t="s">
        <v>25</v>
      </c>
      <c r="E152" s="9" t="s">
        <v>524</v>
      </c>
      <c r="F152" s="7" t="s">
        <v>181</v>
      </c>
      <c r="G152" s="2" t="s">
        <v>27</v>
      </c>
      <c r="M152" s="2" t="s">
        <v>525</v>
      </c>
      <c r="P152" s="2" t="s">
        <v>183</v>
      </c>
      <c r="Q152" s="1" t="str">
        <f>IF($B152=0,$M152,_xlfn.TEXTBEFORE(Q151,"/",$B152,,,Q151)&amp;"/"&amp;$M152)&amp;IF(_xlfn.TEXTAFTER($D152,"..",,,,1)&lt;&gt;"1","[0]","")</f>
        <v>*/GoodsShipment[0]/AdditionsAndDeductions[0]/amount</v>
      </c>
    </row>
    <row r="153" spans="1:17" ht="12" customHeight="1" outlineLevel="2" x14ac:dyDescent="0.35">
      <c r="A153" s="3" t="str">
        <f>$E$2</f>
        <v>CC429B</v>
      </c>
      <c r="B153" s="4">
        <v>2</v>
      </c>
      <c r="C153" s="3" t="s">
        <v>24</v>
      </c>
      <c r="D153" s="3" t="s">
        <v>193</v>
      </c>
      <c r="E153" s="8" t="s">
        <v>528</v>
      </c>
      <c r="F153" s="4"/>
      <c r="G153" s="3" t="s">
        <v>396</v>
      </c>
      <c r="H153" s="3" t="s">
        <v>1287</v>
      </c>
      <c r="I153" s="16" t="s">
        <v>1288</v>
      </c>
      <c r="J153" s="4"/>
      <c r="K153" s="4"/>
      <c r="L153" s="4"/>
      <c r="M153" s="3" t="s">
        <v>530</v>
      </c>
      <c r="N153" s="4"/>
      <c r="O153" s="4"/>
      <c r="P153" s="3" t="s">
        <v>531</v>
      </c>
      <c r="Q153" s="1" t="str">
        <f>IF($B153=0,$M153,_xlfn.TEXTBEFORE(Q152,"/",$B153,,,Q152)&amp;"/"&amp;$M153)&amp;IF(_xlfn.TEXTAFTER($D153,"..",,,,1)&lt;&gt;"1","[0]","")</f>
        <v>*/GoodsShipment[0]/AdditionalFiscalReference[0]</v>
      </c>
    </row>
    <row r="154" spans="1:17" ht="12" customHeight="1" outlineLevel="3" x14ac:dyDescent="0.35">
      <c r="A154" s="2" t="str">
        <f>$E$2</f>
        <v>CC429B</v>
      </c>
      <c r="B154" s="1">
        <v>3</v>
      </c>
      <c r="C154" s="1" t="s">
        <v>19</v>
      </c>
      <c r="D154" s="2" t="s">
        <v>25</v>
      </c>
      <c r="E154" s="9" t="s">
        <v>56</v>
      </c>
      <c r="F154" s="7" t="s">
        <v>57</v>
      </c>
      <c r="G154" s="2" t="s">
        <v>27</v>
      </c>
      <c r="H154" s="2" t="s">
        <v>393</v>
      </c>
      <c r="M154" s="2" t="s">
        <v>58</v>
      </c>
      <c r="P154" s="2" t="s">
        <v>59</v>
      </c>
      <c r="Q154" s="1" t="str">
        <f>IF($B154=0,$M154,_xlfn.TEXTBEFORE(Q153,"/",$B154,,,Q153)&amp;"/"&amp;$M154)&amp;IF(_xlfn.TEXTAFTER($D154,"..",,,,1)&lt;&gt;"1","[0]","")</f>
        <v>*/GoodsShipment[0]/AdditionalFiscalReference[0]/sequenceNumber</v>
      </c>
    </row>
    <row r="155" spans="1:17" ht="12" customHeight="1" outlineLevel="3" x14ac:dyDescent="0.35">
      <c r="A155" s="2" t="str">
        <f>$E$2</f>
        <v>CC429B</v>
      </c>
      <c r="B155" s="1">
        <v>3</v>
      </c>
      <c r="C155" s="1" t="s">
        <v>19</v>
      </c>
      <c r="D155" s="2" t="s">
        <v>25</v>
      </c>
      <c r="E155" s="9" t="s">
        <v>197</v>
      </c>
      <c r="F155" s="7" t="s">
        <v>333</v>
      </c>
      <c r="G155" s="2" t="s">
        <v>27</v>
      </c>
      <c r="J155" s="2" t="s">
        <v>532</v>
      </c>
      <c r="M155" s="2" t="s">
        <v>199</v>
      </c>
      <c r="P155" s="2" t="s">
        <v>533</v>
      </c>
      <c r="Q155" s="1" t="str">
        <f>IF($B155=0,$M155,_xlfn.TEXTBEFORE(Q154,"/",$B155,,,Q154)&amp;"/"&amp;$M155)&amp;IF(_xlfn.TEXTAFTER($D155,"..",,,,1)&lt;&gt;"1","[0]","")</f>
        <v>*/GoodsShipment[0]/AdditionalFiscalReference[0]/role</v>
      </c>
    </row>
    <row r="156" spans="1:17" ht="12" customHeight="1" outlineLevel="3" x14ac:dyDescent="0.35">
      <c r="A156" s="2" t="str">
        <f>$E$2</f>
        <v>CC429B</v>
      </c>
      <c r="B156" s="1">
        <v>3</v>
      </c>
      <c r="C156" s="1" t="s">
        <v>19</v>
      </c>
      <c r="D156" s="2" t="s">
        <v>25</v>
      </c>
      <c r="E156" s="9" t="s">
        <v>534</v>
      </c>
      <c r="F156" s="7" t="s">
        <v>103</v>
      </c>
      <c r="G156" s="2" t="s">
        <v>27</v>
      </c>
      <c r="M156" s="2" t="s">
        <v>535</v>
      </c>
      <c r="P156" s="2" t="s">
        <v>536</v>
      </c>
      <c r="Q156" s="1" t="str">
        <f>IF($B156=0,$M156,_xlfn.TEXTBEFORE(Q155,"/",$B156,,,Q155)&amp;"/"&amp;$M156)&amp;IF(_xlfn.TEXTAFTER($D156,"..",,,,1)&lt;&gt;"1","[0]","")</f>
        <v>*/GoodsShipment[0]/AdditionalFiscalReference[0]/VATIdentificationNumber</v>
      </c>
    </row>
    <row r="157" spans="1:17" ht="12" customHeight="1" outlineLevel="2" x14ac:dyDescent="0.35">
      <c r="A157" s="3" t="str">
        <f>$E$2</f>
        <v>CC429B</v>
      </c>
      <c r="B157" s="4">
        <v>2</v>
      </c>
      <c r="C157" s="3" t="s">
        <v>24</v>
      </c>
      <c r="D157" s="3" t="s">
        <v>25</v>
      </c>
      <c r="E157" s="8" t="s">
        <v>241</v>
      </c>
      <c r="F157" s="4"/>
      <c r="G157" s="3" t="s">
        <v>27</v>
      </c>
      <c r="H157" s="4"/>
      <c r="I157" s="4"/>
      <c r="J157" s="4"/>
      <c r="K157" s="4"/>
      <c r="L157" s="4"/>
      <c r="M157" s="3" t="s">
        <v>241</v>
      </c>
      <c r="N157" s="4"/>
      <c r="O157" s="4"/>
      <c r="P157" s="3" t="s">
        <v>1502</v>
      </c>
      <c r="Q157" s="1" t="str">
        <f>IF($B157=0,$M157,_xlfn.TEXTBEFORE(Q156,"/",$B157,,,Q156)&amp;"/"&amp;$M157)&amp;IF(_xlfn.TEXTAFTER($D157,"..",,,,1)&lt;&gt;"1","[0]","")</f>
        <v>*/GoodsShipment[0]/Consignment</v>
      </c>
    </row>
    <row r="158" spans="1:17" ht="12" customHeight="1" outlineLevel="3" x14ac:dyDescent="0.35">
      <c r="A158" s="2" t="str">
        <f>$E$2</f>
        <v>CC429B</v>
      </c>
      <c r="B158" s="1">
        <v>3</v>
      </c>
      <c r="C158" s="1" t="s">
        <v>19</v>
      </c>
      <c r="D158" s="2" t="s">
        <v>30</v>
      </c>
      <c r="E158" s="9" t="s">
        <v>538</v>
      </c>
      <c r="F158" s="7" t="s">
        <v>123</v>
      </c>
      <c r="G158" s="2" t="s">
        <v>396</v>
      </c>
      <c r="I158" s="2" t="s">
        <v>1264</v>
      </c>
      <c r="J158" s="2" t="s">
        <v>539</v>
      </c>
      <c r="M158" s="2" t="s">
        <v>540</v>
      </c>
      <c r="P158" s="2" t="s">
        <v>367</v>
      </c>
      <c r="Q158" s="1" t="str">
        <f>IF($B158=0,$M158,_xlfn.TEXTBEFORE(Q157,"/",$B158,,,Q157)&amp;"/"&amp;$M158)&amp;IF(_xlfn.TEXTAFTER($D158,"..",,,,1)&lt;&gt;"1","[0]","")</f>
        <v>*/GoodsShipment[0]/Consignment/containerIndicator</v>
      </c>
    </row>
    <row r="159" spans="1:17" ht="12" customHeight="1" outlineLevel="3" x14ac:dyDescent="0.35">
      <c r="A159" s="2" t="str">
        <f>$E$2</f>
        <v>CC429B</v>
      </c>
      <c r="B159" s="1">
        <v>3</v>
      </c>
      <c r="C159" s="1" t="s">
        <v>19</v>
      </c>
      <c r="D159" s="2" t="s">
        <v>30</v>
      </c>
      <c r="E159" s="9" t="s">
        <v>541</v>
      </c>
      <c r="F159" s="7" t="s">
        <v>123</v>
      </c>
      <c r="G159" s="2" t="s">
        <v>396</v>
      </c>
      <c r="H159" s="2" t="s">
        <v>542</v>
      </c>
      <c r="I159" s="2" t="s">
        <v>543</v>
      </c>
      <c r="J159" s="2" t="s">
        <v>544</v>
      </c>
      <c r="M159" s="2" t="s">
        <v>545</v>
      </c>
      <c r="P159" s="2" t="s">
        <v>546</v>
      </c>
      <c r="Q159" s="1" t="str">
        <f>IF($B159=0,$M159,_xlfn.TEXTBEFORE(Q158,"/",$B159,,,Q158)&amp;"/"&amp;$M159)&amp;IF(_xlfn.TEXTAFTER($D159,"..",,,,1)&lt;&gt;"1","[0]","")</f>
        <v>*/GoodsShipment[0]/Consignment/inlandModeOfTransport</v>
      </c>
    </row>
    <row r="160" spans="1:17" ht="12" customHeight="1" outlineLevel="3" x14ac:dyDescent="0.35">
      <c r="A160" s="2" t="str">
        <f>$E$2</f>
        <v>CC429B</v>
      </c>
      <c r="B160" s="1">
        <v>3</v>
      </c>
      <c r="C160" s="1" t="s">
        <v>19</v>
      </c>
      <c r="D160" s="2" t="s">
        <v>30</v>
      </c>
      <c r="E160" s="9" t="s">
        <v>547</v>
      </c>
      <c r="F160" s="7" t="s">
        <v>123</v>
      </c>
      <c r="G160" s="2" t="s">
        <v>396</v>
      </c>
      <c r="H160" s="2" t="s">
        <v>1289</v>
      </c>
      <c r="I160" s="7" t="s">
        <v>1290</v>
      </c>
      <c r="J160" s="2" t="s">
        <v>544</v>
      </c>
      <c r="M160" s="2" t="s">
        <v>550</v>
      </c>
      <c r="P160" s="2" t="s">
        <v>546</v>
      </c>
      <c r="Q160" s="1" t="str">
        <f>IF($B160=0,$M160,_xlfn.TEXTBEFORE(Q159,"/",$B160,,,Q159)&amp;"/"&amp;$M160)&amp;IF(_xlfn.TEXTAFTER($D160,"..",,,,1)&lt;&gt;"1","[0]","")</f>
        <v>*/GoodsShipment[0]/Consignment/modeOfTransportAtTheBorder</v>
      </c>
    </row>
    <row r="161" spans="1:17" ht="12" customHeight="1" outlineLevel="3" x14ac:dyDescent="0.35">
      <c r="A161" s="2" t="str">
        <f>$E$2</f>
        <v>CC429B</v>
      </c>
      <c r="B161" s="1">
        <v>3</v>
      </c>
      <c r="C161" s="1" t="s">
        <v>19</v>
      </c>
      <c r="D161" s="2" t="s">
        <v>30</v>
      </c>
      <c r="E161" s="9" t="s">
        <v>310</v>
      </c>
      <c r="F161" s="7" t="s">
        <v>311</v>
      </c>
      <c r="G161" s="2" t="s">
        <v>22</v>
      </c>
      <c r="H161" s="2" t="s">
        <v>551</v>
      </c>
      <c r="M161" s="2" t="s">
        <v>312</v>
      </c>
      <c r="P161" s="2" t="s">
        <v>313</v>
      </c>
      <c r="Q161" s="1" t="str">
        <f>IF($B161=0,$M161,_xlfn.TEXTBEFORE(Q160,"/",$B161,,,Q160)&amp;"/"&amp;$M161)&amp;IF(_xlfn.TEXTAFTER($D161,"..",,,,1)&lt;&gt;"1","[0]","")</f>
        <v>*/GoodsShipment[0]/Consignment/grossMass</v>
      </c>
    </row>
    <row r="162" spans="1:17" ht="12" customHeight="1" outlineLevel="3" x14ac:dyDescent="0.35">
      <c r="A162" s="2" t="str">
        <f>$E$2</f>
        <v>CC429B</v>
      </c>
      <c r="B162" s="1">
        <v>3</v>
      </c>
      <c r="C162" s="1" t="s">
        <v>19</v>
      </c>
      <c r="D162" s="2" t="s">
        <v>30</v>
      </c>
      <c r="E162" s="9" t="s">
        <v>552</v>
      </c>
      <c r="F162" s="7" t="s">
        <v>156</v>
      </c>
      <c r="G162" s="2" t="s">
        <v>22</v>
      </c>
      <c r="M162" s="2" t="s">
        <v>553</v>
      </c>
      <c r="P162" s="2" t="s">
        <v>554</v>
      </c>
      <c r="Q162" s="1" t="str">
        <f>IF($B162=0,$M162,_xlfn.TEXTBEFORE(Q161,"/",$B162,,,Q161)&amp;"/"&amp;$M162)&amp;IF(_xlfn.TEXTAFTER($D162,"..",,,,1)&lt;&gt;"1","[0]","")</f>
        <v>*/GoodsShipment[0]/Consignment/referenceNumberUCR</v>
      </c>
    </row>
    <row r="163" spans="1:17" ht="12" customHeight="1" outlineLevel="3" x14ac:dyDescent="0.35">
      <c r="A163" s="3" t="str">
        <f>$E$2</f>
        <v>CC429B</v>
      </c>
      <c r="B163" s="4">
        <v>3</v>
      </c>
      <c r="C163" s="3" t="s">
        <v>24</v>
      </c>
      <c r="D163" s="3" t="s">
        <v>314</v>
      </c>
      <c r="E163" s="10" t="s">
        <v>244</v>
      </c>
      <c r="F163" s="4"/>
      <c r="G163" s="3" t="s">
        <v>22</v>
      </c>
      <c r="H163" s="3" t="s">
        <v>555</v>
      </c>
      <c r="I163" s="4"/>
      <c r="J163" s="4"/>
      <c r="K163" s="4"/>
      <c r="L163" s="4"/>
      <c r="M163" s="3" t="s">
        <v>245</v>
      </c>
      <c r="N163" s="4"/>
      <c r="O163" s="4"/>
      <c r="P163" s="3" t="s">
        <v>315</v>
      </c>
      <c r="Q163" s="1" t="str">
        <f>IF($B163=0,$M163,_xlfn.TEXTBEFORE(Q162,"/",$B163,,,Q162)&amp;"/"&amp;$M163)&amp;IF(_xlfn.TEXTAFTER($D163,"..",,,,1)&lt;&gt;"1","[0]","")</f>
        <v>*/GoodsShipment[0]/Consignment/TransportEquipment[0]</v>
      </c>
    </row>
    <row r="164" spans="1:17" ht="12" customHeight="1" outlineLevel="4" x14ac:dyDescent="0.35">
      <c r="A164" s="2" t="str">
        <f>$E$2</f>
        <v>CC429B</v>
      </c>
      <c r="B164" s="1">
        <v>4</v>
      </c>
      <c r="C164" s="1" t="s">
        <v>19</v>
      </c>
      <c r="D164" s="2" t="s">
        <v>25</v>
      </c>
      <c r="E164" s="11" t="s">
        <v>56</v>
      </c>
      <c r="F164" s="7" t="s">
        <v>57</v>
      </c>
      <c r="G164" s="2" t="s">
        <v>27</v>
      </c>
      <c r="H164" s="2" t="s">
        <v>393</v>
      </c>
      <c r="M164" s="2" t="s">
        <v>58</v>
      </c>
      <c r="P164" s="2" t="s">
        <v>59</v>
      </c>
      <c r="Q164" s="1" t="str">
        <f>IF($B164=0,$M164,_xlfn.TEXTBEFORE(Q163,"/",$B164,,,Q163)&amp;"/"&amp;$M164)&amp;IF(_xlfn.TEXTAFTER($D164,"..",,,,1)&lt;&gt;"1","[0]","")</f>
        <v>*/GoodsShipment[0]/Consignment/TransportEquipment[0]/sequenceNumber</v>
      </c>
    </row>
    <row r="165" spans="1:17" ht="12" customHeight="1" outlineLevel="4" x14ac:dyDescent="0.35">
      <c r="A165" s="2" t="str">
        <f>$E$2</f>
        <v>CC429B</v>
      </c>
      <c r="B165" s="1">
        <v>4</v>
      </c>
      <c r="C165" s="1" t="s">
        <v>19</v>
      </c>
      <c r="D165" s="2" t="s">
        <v>25</v>
      </c>
      <c r="E165" s="11" t="s">
        <v>247</v>
      </c>
      <c r="F165" s="7" t="s">
        <v>837</v>
      </c>
      <c r="G165" s="2" t="s">
        <v>27</v>
      </c>
      <c r="M165" s="2" t="s">
        <v>248</v>
      </c>
      <c r="P165" s="2" t="s">
        <v>249</v>
      </c>
      <c r="Q165" s="1" t="str">
        <f>IF($B165=0,$M165,_xlfn.TEXTBEFORE(Q164,"/",$B165,,,Q164)&amp;"/"&amp;$M165)&amp;IF(_xlfn.TEXTAFTER($D165,"..",,,,1)&lt;&gt;"1","[0]","")</f>
        <v>*/GoodsShipment[0]/Consignment/TransportEquipment[0]/containerIdentificationNumber</v>
      </c>
    </row>
    <row r="166" spans="1:17" ht="12" customHeight="1" outlineLevel="4" x14ac:dyDescent="0.35">
      <c r="A166" s="3" t="str">
        <f>$E$2</f>
        <v>CC429B</v>
      </c>
      <c r="B166" s="4">
        <v>4</v>
      </c>
      <c r="C166" s="3" t="s">
        <v>24</v>
      </c>
      <c r="D166" s="3" t="s">
        <v>314</v>
      </c>
      <c r="E166" s="12" t="s">
        <v>250</v>
      </c>
      <c r="F166" s="4"/>
      <c r="G166" s="3" t="s">
        <v>396</v>
      </c>
      <c r="H166" s="4"/>
      <c r="I166" s="3" t="s">
        <v>556</v>
      </c>
      <c r="J166" s="4"/>
      <c r="K166" s="4"/>
      <c r="L166" s="4"/>
      <c r="M166" s="3" t="s">
        <v>251</v>
      </c>
      <c r="N166" s="4"/>
      <c r="O166" s="4"/>
      <c r="P166" s="3" t="s">
        <v>252</v>
      </c>
      <c r="Q166" s="1" t="str">
        <f>IF($B166=0,$M166,_xlfn.TEXTBEFORE(Q165,"/",$B166,,,Q165)&amp;"/"&amp;$M166)&amp;IF(_xlfn.TEXTAFTER($D166,"..",,,,1)&lt;&gt;"1","[0]","")</f>
        <v>*/GoodsShipment[0]/Consignment/TransportEquipment[0]/GoodsReference[0]</v>
      </c>
    </row>
    <row r="167" spans="1:17" ht="12" customHeight="1" outlineLevel="5" x14ac:dyDescent="0.35">
      <c r="A167" s="2" t="str">
        <f>$E$2</f>
        <v>CC429B</v>
      </c>
      <c r="B167" s="1">
        <v>5</v>
      </c>
      <c r="C167" s="1" t="s">
        <v>19</v>
      </c>
      <c r="D167" s="2" t="s">
        <v>25</v>
      </c>
      <c r="E167" s="13" t="s">
        <v>56</v>
      </c>
      <c r="F167" s="7" t="s">
        <v>57</v>
      </c>
      <c r="G167" s="2" t="s">
        <v>27</v>
      </c>
      <c r="H167" s="2" t="s">
        <v>393</v>
      </c>
      <c r="M167" s="2" t="s">
        <v>58</v>
      </c>
      <c r="P167" s="2" t="s">
        <v>59</v>
      </c>
      <c r="Q167" s="1" t="str">
        <f>IF($B167=0,$M167,_xlfn.TEXTBEFORE(Q166,"/",$B167,,,Q166)&amp;"/"&amp;$M167)&amp;IF(_xlfn.TEXTAFTER($D167,"..",,,,1)&lt;&gt;"1","[0]","")</f>
        <v>*/GoodsShipment[0]/Consignment/TransportEquipment[0]/GoodsReference[0]/sequenceNumber</v>
      </c>
    </row>
    <row r="168" spans="1:17" ht="12" customHeight="1" outlineLevel="5" x14ac:dyDescent="0.35">
      <c r="A168" s="2" t="str">
        <f>$E$2</f>
        <v>CC429B</v>
      </c>
      <c r="B168" s="1">
        <v>5</v>
      </c>
      <c r="C168" s="1" t="s">
        <v>19</v>
      </c>
      <c r="D168" s="2" t="s">
        <v>25</v>
      </c>
      <c r="E168" s="13" t="s">
        <v>253</v>
      </c>
      <c r="F168" s="7" t="s">
        <v>57</v>
      </c>
      <c r="G168" s="2" t="s">
        <v>27</v>
      </c>
      <c r="M168" s="2" t="s">
        <v>254</v>
      </c>
      <c r="P168" s="2" t="s">
        <v>255</v>
      </c>
      <c r="Q168" s="1" t="str">
        <f>IF($B168=0,$M168,_xlfn.TEXTBEFORE(Q167,"/",$B168,,,Q167)&amp;"/"&amp;$M168)&amp;IF(_xlfn.TEXTAFTER($D168,"..",,,,1)&lt;&gt;"1","[0]","")</f>
        <v>*/GoodsShipment[0]/Consignment/TransportEquipment[0]/GoodsReference[0]/declarationGoodsItemNumber</v>
      </c>
    </row>
    <row r="169" spans="1:17" ht="12" customHeight="1" outlineLevel="3" x14ac:dyDescent="0.35">
      <c r="A169" s="3" t="str">
        <f>$E$2</f>
        <v>CC429B</v>
      </c>
      <c r="B169" s="4">
        <v>3</v>
      </c>
      <c r="C169" s="3" t="s">
        <v>24</v>
      </c>
      <c r="D169" s="3" t="s">
        <v>30</v>
      </c>
      <c r="E169" s="10" t="s">
        <v>256</v>
      </c>
      <c r="F169" s="4"/>
      <c r="G169" s="3" t="s">
        <v>396</v>
      </c>
      <c r="H169" s="3" t="s">
        <v>557</v>
      </c>
      <c r="I169" s="16" t="s">
        <v>752</v>
      </c>
      <c r="J169" s="4"/>
      <c r="K169" s="4"/>
      <c r="L169" s="4"/>
      <c r="M169" s="3" t="s">
        <v>257</v>
      </c>
      <c r="N169" s="4"/>
      <c r="O169" s="4"/>
      <c r="P169" s="3" t="s">
        <v>258</v>
      </c>
      <c r="Q169" s="1" t="str">
        <f>IF($B169=0,$M169,_xlfn.TEXTBEFORE(Q168,"/",$B169,,,Q168)&amp;"/"&amp;$M169)&amp;IF(_xlfn.TEXTAFTER($D169,"..",,,,1)&lt;&gt;"1","[0]","")</f>
        <v>*/GoodsShipment[0]/Consignment/LocationOfGoods</v>
      </c>
    </row>
    <row r="170" spans="1:17" ht="12" customHeight="1" outlineLevel="4" x14ac:dyDescent="0.35">
      <c r="A170" s="2" t="str">
        <f>$E$2</f>
        <v>CC429B</v>
      </c>
      <c r="B170" s="1">
        <v>4</v>
      </c>
      <c r="C170" s="1" t="s">
        <v>19</v>
      </c>
      <c r="D170" s="2" t="s">
        <v>25</v>
      </c>
      <c r="E170" s="11" t="s">
        <v>259</v>
      </c>
      <c r="F170" s="7" t="s">
        <v>44</v>
      </c>
      <c r="G170" s="2" t="s">
        <v>27</v>
      </c>
      <c r="J170" s="2" t="s">
        <v>558</v>
      </c>
      <c r="M170" s="2" t="s">
        <v>260</v>
      </c>
      <c r="P170" s="2" t="s">
        <v>261</v>
      </c>
      <c r="Q170" s="1" t="str">
        <f>IF($B170=0,$M170,_xlfn.TEXTBEFORE(Q169,"/",$B170,,,Q169)&amp;"/"&amp;$M170)&amp;IF(_xlfn.TEXTAFTER($D170,"..",,,,1)&lt;&gt;"1","[0]","")</f>
        <v>*/GoodsShipment[0]/Consignment/LocationOfGoods/typeOfLocation</v>
      </c>
    </row>
    <row r="171" spans="1:17" ht="12" customHeight="1" outlineLevel="4" x14ac:dyDescent="0.35">
      <c r="A171" s="2" t="str">
        <f>$E$2</f>
        <v>CC429B</v>
      </c>
      <c r="B171" s="1">
        <v>4</v>
      </c>
      <c r="C171" s="1" t="s">
        <v>19</v>
      </c>
      <c r="D171" s="2" t="s">
        <v>25</v>
      </c>
      <c r="E171" s="11" t="s">
        <v>262</v>
      </c>
      <c r="F171" s="7" t="s">
        <v>44</v>
      </c>
      <c r="G171" s="2" t="s">
        <v>27</v>
      </c>
      <c r="H171" s="2" t="s">
        <v>559</v>
      </c>
      <c r="J171" s="2" t="s">
        <v>560</v>
      </c>
      <c r="M171" s="2" t="s">
        <v>263</v>
      </c>
      <c r="P171" s="2" t="s">
        <v>264</v>
      </c>
      <c r="Q171" s="1" t="str">
        <f>IF($B171=0,$M171,_xlfn.TEXTBEFORE(Q170,"/",$B171,,,Q170)&amp;"/"&amp;$M171)&amp;IF(_xlfn.TEXTAFTER($D171,"..",,,,1)&lt;&gt;"1","[0]","")</f>
        <v>*/GoodsShipment[0]/Consignment/LocationOfGoods/qualifierOfIdentification</v>
      </c>
    </row>
    <row r="172" spans="1:17" ht="12" customHeight="1" outlineLevel="4" x14ac:dyDescent="0.35">
      <c r="A172" s="2" t="str">
        <f>$E$2</f>
        <v>CC429B</v>
      </c>
      <c r="B172" s="1">
        <v>4</v>
      </c>
      <c r="C172" s="1" t="s">
        <v>19</v>
      </c>
      <c r="D172" s="2" t="s">
        <v>30</v>
      </c>
      <c r="E172" s="11" t="s">
        <v>265</v>
      </c>
      <c r="F172" s="7" t="s">
        <v>834</v>
      </c>
      <c r="G172" s="2" t="s">
        <v>396</v>
      </c>
      <c r="I172" s="2" t="s">
        <v>561</v>
      </c>
      <c r="M172" s="2" t="s">
        <v>266</v>
      </c>
      <c r="P172" s="2" t="s">
        <v>66</v>
      </c>
      <c r="Q172" s="1" t="str">
        <f>IF($B172=0,$M172,_xlfn.TEXTBEFORE(Q171,"/",$B172,,,Q171)&amp;"/"&amp;$M172)&amp;IF(_xlfn.TEXTAFTER($D172,"..",,,,1)&lt;&gt;"1","[0]","")</f>
        <v>*/GoodsShipment[0]/Consignment/LocationOfGoods/authorisationNumber</v>
      </c>
    </row>
    <row r="173" spans="1:17" ht="12" customHeight="1" outlineLevel="4" x14ac:dyDescent="0.35">
      <c r="A173" s="2" t="str">
        <f>$E$2</f>
        <v>CC429B</v>
      </c>
      <c r="B173" s="1">
        <v>4</v>
      </c>
      <c r="C173" s="1" t="s">
        <v>19</v>
      </c>
      <c r="D173" s="2" t="s">
        <v>30</v>
      </c>
      <c r="E173" s="11" t="s">
        <v>267</v>
      </c>
      <c r="F173" s="7" t="s">
        <v>60</v>
      </c>
      <c r="G173" s="2" t="s">
        <v>396</v>
      </c>
      <c r="I173" s="2" t="s">
        <v>562</v>
      </c>
      <c r="M173" s="2" t="s">
        <v>268</v>
      </c>
      <c r="P173" s="2" t="s">
        <v>269</v>
      </c>
      <c r="Q173" s="1" t="str">
        <f>IF($B173=0,$M173,_xlfn.TEXTBEFORE(Q172,"/",$B173,,,Q172)&amp;"/"&amp;$M173)&amp;IF(_xlfn.TEXTAFTER($D173,"..",,,,1)&lt;&gt;"1","[0]","")</f>
        <v>*/GoodsShipment[0]/Consignment/LocationOfGoods/additionalIdentifier</v>
      </c>
    </row>
    <row r="174" spans="1:17" ht="12" customHeight="1" outlineLevel="4" x14ac:dyDescent="0.35">
      <c r="A174" s="2" t="str">
        <f>$E$2</f>
        <v>CC429B</v>
      </c>
      <c r="B174" s="1">
        <v>4</v>
      </c>
      <c r="C174" s="1" t="s">
        <v>19</v>
      </c>
      <c r="D174" s="2" t="s">
        <v>30</v>
      </c>
      <c r="E174" s="11" t="s">
        <v>270</v>
      </c>
      <c r="F174" s="7" t="s">
        <v>103</v>
      </c>
      <c r="G174" s="2" t="s">
        <v>396</v>
      </c>
      <c r="I174" s="2" t="s">
        <v>561</v>
      </c>
      <c r="J174" s="2" t="s">
        <v>459</v>
      </c>
      <c r="M174" s="2" t="s">
        <v>271</v>
      </c>
      <c r="P174" s="2" t="s">
        <v>272</v>
      </c>
      <c r="Q174" s="1" t="str">
        <f>IF($B174=0,$M174,_xlfn.TEXTBEFORE(Q173,"/",$B174,,,Q173)&amp;"/"&amp;$M174)&amp;IF(_xlfn.TEXTAFTER($D174,"..",,,,1)&lt;&gt;"1","[0]","")</f>
        <v>*/GoodsShipment[0]/Consignment/LocationOfGoods/UNLOCODE</v>
      </c>
    </row>
    <row r="175" spans="1:17" ht="12" customHeight="1" outlineLevel="4" x14ac:dyDescent="0.35">
      <c r="A175" s="3" t="str">
        <f>$E$2</f>
        <v>CC429B</v>
      </c>
      <c r="B175" s="4">
        <v>4</v>
      </c>
      <c r="C175" s="3" t="s">
        <v>24</v>
      </c>
      <c r="D175" s="3" t="s">
        <v>30</v>
      </c>
      <c r="E175" s="12" t="s">
        <v>273</v>
      </c>
      <c r="F175" s="4"/>
      <c r="G175" s="3" t="s">
        <v>396</v>
      </c>
      <c r="H175" s="4"/>
      <c r="I175" s="3" t="s">
        <v>561</v>
      </c>
      <c r="J175" s="4"/>
      <c r="K175" s="4"/>
      <c r="L175" s="4"/>
      <c r="M175" s="3" t="s">
        <v>274</v>
      </c>
      <c r="N175" s="4"/>
      <c r="O175" s="4"/>
      <c r="P175" s="3" t="s">
        <v>275</v>
      </c>
      <c r="Q175" s="1" t="str">
        <f>IF($B175=0,$M175,_xlfn.TEXTBEFORE(Q174,"/",$B175,,,Q174)&amp;"/"&amp;$M175)&amp;IF(_xlfn.TEXTAFTER($D175,"..",,,,1)&lt;&gt;"1","[0]","")</f>
        <v>*/GoodsShipment[0]/Consignment/LocationOfGoods/CustomsOffice</v>
      </c>
    </row>
    <row r="176" spans="1:17" ht="12" customHeight="1" outlineLevel="5" x14ac:dyDescent="0.35">
      <c r="A176" s="2" t="str">
        <f>$E$2</f>
        <v>CC429B</v>
      </c>
      <c r="B176" s="1">
        <v>5</v>
      </c>
      <c r="C176" s="1" t="s">
        <v>19</v>
      </c>
      <c r="D176" s="2" t="s">
        <v>25</v>
      </c>
      <c r="E176" s="13" t="s">
        <v>63</v>
      </c>
      <c r="F176" s="7" t="s">
        <v>74</v>
      </c>
      <c r="G176" s="2" t="s">
        <v>27</v>
      </c>
      <c r="J176" s="2" t="s">
        <v>399</v>
      </c>
      <c r="M176" s="2" t="s">
        <v>65</v>
      </c>
      <c r="P176" s="2" t="s">
        <v>75</v>
      </c>
      <c r="Q176" s="1" t="str">
        <f>IF($B176=0,$M176,_xlfn.TEXTBEFORE(Q175,"/",$B176,,,Q175)&amp;"/"&amp;$M176)&amp;IF(_xlfn.TEXTAFTER($D176,"..",,,,1)&lt;&gt;"1","[0]","")</f>
        <v>*/GoodsShipment[0]/Consignment/LocationOfGoods/CustomsOffice/referenceNumber</v>
      </c>
    </row>
    <row r="177" spans="1:17" ht="12" customHeight="1" outlineLevel="4" x14ac:dyDescent="0.35">
      <c r="A177" s="3" t="str">
        <f>$E$2</f>
        <v>CC429B</v>
      </c>
      <c r="B177" s="4">
        <v>4</v>
      </c>
      <c r="C177" s="3" t="s">
        <v>24</v>
      </c>
      <c r="D177" s="3" t="s">
        <v>30</v>
      </c>
      <c r="E177" s="12" t="s">
        <v>276</v>
      </c>
      <c r="F177" s="4"/>
      <c r="G177" s="3" t="s">
        <v>396</v>
      </c>
      <c r="H177" s="3" t="s">
        <v>563</v>
      </c>
      <c r="I177" s="3" t="s">
        <v>561</v>
      </c>
      <c r="J177" s="4"/>
      <c r="K177" s="4"/>
      <c r="L177" s="4"/>
      <c r="M177" s="3" t="s">
        <v>277</v>
      </c>
      <c r="N177" s="4"/>
      <c r="O177" s="4"/>
      <c r="P177" s="3" t="s">
        <v>278</v>
      </c>
      <c r="Q177" s="1" t="str">
        <f>IF($B177=0,$M177,_xlfn.TEXTBEFORE(Q176,"/",$B177,,,Q176)&amp;"/"&amp;$M177)&amp;IF(_xlfn.TEXTAFTER($D177,"..",,,,1)&lt;&gt;"1","[0]","")</f>
        <v>*/GoodsShipment[0]/Consignment/LocationOfGoods/GNSS</v>
      </c>
    </row>
    <row r="178" spans="1:17" ht="12" customHeight="1" outlineLevel="5" x14ac:dyDescent="0.35">
      <c r="A178" s="2" t="str">
        <f>$E$2</f>
        <v>CC429B</v>
      </c>
      <c r="B178" s="1">
        <v>5</v>
      </c>
      <c r="C178" s="1" t="s">
        <v>19</v>
      </c>
      <c r="D178" s="2" t="s">
        <v>25</v>
      </c>
      <c r="E178" s="13" t="s">
        <v>279</v>
      </c>
      <c r="F178" s="7" t="s">
        <v>280</v>
      </c>
      <c r="G178" s="2" t="s">
        <v>27</v>
      </c>
      <c r="M178" s="2" t="s">
        <v>281</v>
      </c>
      <c r="P178" s="2" t="s">
        <v>282</v>
      </c>
      <c r="Q178" s="1" t="str">
        <f>IF($B178=0,$M178,_xlfn.TEXTBEFORE(Q177,"/",$B178,,,Q177)&amp;"/"&amp;$M178)&amp;IF(_xlfn.TEXTAFTER($D178,"..",,,,1)&lt;&gt;"1","[0]","")</f>
        <v>*/GoodsShipment[0]/Consignment/LocationOfGoods/GNSS/latitude</v>
      </c>
    </row>
    <row r="179" spans="1:17" ht="12" customHeight="1" outlineLevel="5" x14ac:dyDescent="0.35">
      <c r="A179" s="2" t="str">
        <f>$E$2</f>
        <v>CC429B</v>
      </c>
      <c r="B179" s="1">
        <v>5</v>
      </c>
      <c r="C179" s="1" t="s">
        <v>19</v>
      </c>
      <c r="D179" s="2" t="s">
        <v>25</v>
      </c>
      <c r="E179" s="13" t="s">
        <v>283</v>
      </c>
      <c r="F179" s="7" t="s">
        <v>284</v>
      </c>
      <c r="G179" s="2" t="s">
        <v>27</v>
      </c>
      <c r="M179" s="2" t="s">
        <v>285</v>
      </c>
      <c r="P179" s="2" t="s">
        <v>286</v>
      </c>
      <c r="Q179" s="1" t="str">
        <f>IF($B179=0,$M179,_xlfn.TEXTBEFORE(Q178,"/",$B179,,,Q178)&amp;"/"&amp;$M179)&amp;IF(_xlfn.TEXTAFTER($D179,"..",,,,1)&lt;&gt;"1","[0]","")</f>
        <v>*/GoodsShipment[0]/Consignment/LocationOfGoods/GNSS/longitude</v>
      </c>
    </row>
    <row r="180" spans="1:17" ht="12" customHeight="1" outlineLevel="4" x14ac:dyDescent="0.35">
      <c r="A180" s="3" t="str">
        <f>$E$2</f>
        <v>CC429B</v>
      </c>
      <c r="B180" s="4">
        <v>4</v>
      </c>
      <c r="C180" s="3" t="s">
        <v>24</v>
      </c>
      <c r="D180" s="3" t="s">
        <v>30</v>
      </c>
      <c r="E180" s="12" t="s">
        <v>287</v>
      </c>
      <c r="F180" s="4"/>
      <c r="G180" s="3" t="s">
        <v>396</v>
      </c>
      <c r="H180" s="4"/>
      <c r="I180" s="3" t="s">
        <v>561</v>
      </c>
      <c r="J180" s="4"/>
      <c r="K180" s="4"/>
      <c r="L180" s="4"/>
      <c r="M180" s="3" t="s">
        <v>288</v>
      </c>
      <c r="N180" s="4"/>
      <c r="O180" s="4"/>
      <c r="P180" s="3" t="s">
        <v>289</v>
      </c>
      <c r="Q180" s="1" t="str">
        <f>IF($B180=0,$M180,_xlfn.TEXTBEFORE(Q179,"/",$B180,,,Q179)&amp;"/"&amp;$M180)&amp;IF(_xlfn.TEXTAFTER($D180,"..",,,,1)&lt;&gt;"1","[0]","")</f>
        <v>*/GoodsShipment[0]/Consignment/LocationOfGoods/EconomicOperator</v>
      </c>
    </row>
    <row r="181" spans="1:17" ht="12" customHeight="1" outlineLevel="5" x14ac:dyDescent="0.35">
      <c r="A181" s="2" t="str">
        <f>$E$2</f>
        <v>CC429B</v>
      </c>
      <c r="B181" s="1">
        <v>5</v>
      </c>
      <c r="C181" s="1" t="s">
        <v>19</v>
      </c>
      <c r="D181" s="2" t="s">
        <v>25</v>
      </c>
      <c r="E181" s="13" t="s">
        <v>81</v>
      </c>
      <c r="F181" s="7" t="s">
        <v>68</v>
      </c>
      <c r="G181" s="2" t="s">
        <v>27</v>
      </c>
      <c r="M181" s="2" t="s">
        <v>82</v>
      </c>
      <c r="P181" s="2" t="s">
        <v>70</v>
      </c>
      <c r="Q181" s="1" t="str">
        <f>IF($B181=0,$M181,_xlfn.TEXTBEFORE(Q180,"/",$B181,,,Q180)&amp;"/"&amp;$M181)&amp;IF(_xlfn.TEXTAFTER($D181,"..",,,,1)&lt;&gt;"1","[0]","")</f>
        <v>*/GoodsShipment[0]/Consignment/LocationOfGoods/EconomicOperator/identificationNumber</v>
      </c>
    </row>
    <row r="182" spans="1:17" ht="12" customHeight="1" outlineLevel="4" x14ac:dyDescent="0.35">
      <c r="A182" s="3" t="str">
        <f>$E$2</f>
        <v>CC429B</v>
      </c>
      <c r="B182" s="4">
        <v>4</v>
      </c>
      <c r="C182" s="3" t="s">
        <v>24</v>
      </c>
      <c r="D182" s="3" t="s">
        <v>30</v>
      </c>
      <c r="E182" s="12" t="s">
        <v>86</v>
      </c>
      <c r="F182" s="4"/>
      <c r="G182" s="3" t="s">
        <v>396</v>
      </c>
      <c r="H182" s="4"/>
      <c r="I182" s="3" t="s">
        <v>561</v>
      </c>
      <c r="J182" s="4"/>
      <c r="K182" s="4"/>
      <c r="L182" s="4"/>
      <c r="M182" s="3" t="s">
        <v>86</v>
      </c>
      <c r="N182" s="4"/>
      <c r="O182" s="4"/>
      <c r="P182" s="3" t="s">
        <v>87</v>
      </c>
      <c r="Q182" s="1" t="str">
        <f>IF($B182=0,$M182,_xlfn.TEXTBEFORE(Q181,"/",$B182,,,Q181)&amp;"/"&amp;$M182)&amp;IF(_xlfn.TEXTAFTER($D182,"..",,,,1)&lt;&gt;"1","[0]","")</f>
        <v>*/GoodsShipment[0]/Consignment/LocationOfGoods/Address</v>
      </c>
    </row>
    <row r="183" spans="1:17" ht="12" customHeight="1" outlineLevel="5" x14ac:dyDescent="0.35">
      <c r="A183" s="2" t="str">
        <f>$E$2</f>
        <v>CC429B</v>
      </c>
      <c r="B183" s="1">
        <v>5</v>
      </c>
      <c r="C183" s="1" t="s">
        <v>19</v>
      </c>
      <c r="D183" s="2" t="s">
        <v>25</v>
      </c>
      <c r="E183" s="13" t="s">
        <v>88</v>
      </c>
      <c r="F183" s="7" t="s">
        <v>83</v>
      </c>
      <c r="G183" s="2" t="s">
        <v>27</v>
      </c>
      <c r="M183" s="2" t="s">
        <v>89</v>
      </c>
      <c r="P183" s="2" t="s">
        <v>90</v>
      </c>
      <c r="Q183" s="1" t="str">
        <f>IF($B183=0,$M183,_xlfn.TEXTBEFORE(Q182,"/",$B183,,,Q182)&amp;"/"&amp;$M183)&amp;IF(_xlfn.TEXTAFTER($D183,"..",,,,1)&lt;&gt;"1","[0]","")</f>
        <v>*/GoodsShipment[0]/Consignment/LocationOfGoods/Address/streetAndNumber</v>
      </c>
    </row>
    <row r="184" spans="1:17" ht="12" customHeight="1" outlineLevel="5" x14ac:dyDescent="0.35">
      <c r="A184" s="2" t="str">
        <f>$E$2</f>
        <v>CC429B</v>
      </c>
      <c r="B184" s="1">
        <v>5</v>
      </c>
      <c r="C184" s="1" t="s">
        <v>19</v>
      </c>
      <c r="D184" s="2" t="s">
        <v>30</v>
      </c>
      <c r="E184" s="13" t="s">
        <v>91</v>
      </c>
      <c r="F184" s="7" t="s">
        <v>92</v>
      </c>
      <c r="G184" s="2" t="s">
        <v>396</v>
      </c>
      <c r="I184" s="2" t="s">
        <v>402</v>
      </c>
      <c r="M184" s="2" t="s">
        <v>93</v>
      </c>
      <c r="P184" s="2" t="s">
        <v>94</v>
      </c>
      <c r="Q184" s="1" t="str">
        <f>IF($B184=0,$M184,_xlfn.TEXTBEFORE(Q183,"/",$B184,,,Q183)&amp;"/"&amp;$M184)&amp;IF(_xlfn.TEXTAFTER($D184,"..",,,,1)&lt;&gt;"1","[0]","")</f>
        <v>*/GoodsShipment[0]/Consignment/LocationOfGoods/Address/postcode</v>
      </c>
    </row>
    <row r="185" spans="1:17" ht="12" customHeight="1" outlineLevel="5" x14ac:dyDescent="0.35">
      <c r="A185" s="2" t="str">
        <f>$E$2</f>
        <v>CC429B</v>
      </c>
      <c r="B185" s="1">
        <v>5</v>
      </c>
      <c r="C185" s="1" t="s">
        <v>19</v>
      </c>
      <c r="D185" s="2" t="s">
        <v>25</v>
      </c>
      <c r="E185" s="13" t="s">
        <v>95</v>
      </c>
      <c r="F185" s="7" t="s">
        <v>96</v>
      </c>
      <c r="G185" s="2" t="s">
        <v>27</v>
      </c>
      <c r="M185" s="2" t="s">
        <v>97</v>
      </c>
      <c r="P185" s="2" t="s">
        <v>98</v>
      </c>
      <c r="Q185" s="1" t="str">
        <f>IF($B185=0,$M185,_xlfn.TEXTBEFORE(Q184,"/",$B185,,,Q184)&amp;"/"&amp;$M185)&amp;IF(_xlfn.TEXTAFTER($D185,"..",,,,1)&lt;&gt;"1","[0]","")</f>
        <v>*/GoodsShipment[0]/Consignment/LocationOfGoods/Address/city</v>
      </c>
    </row>
    <row r="186" spans="1:17" ht="12" customHeight="1" outlineLevel="5" x14ac:dyDescent="0.35">
      <c r="A186" s="2" t="str">
        <f>$E$2</f>
        <v>CC429B</v>
      </c>
      <c r="B186" s="1">
        <v>5</v>
      </c>
      <c r="C186" s="1" t="s">
        <v>19</v>
      </c>
      <c r="D186" s="2" t="s">
        <v>25</v>
      </c>
      <c r="E186" s="13" t="s">
        <v>99</v>
      </c>
      <c r="F186" s="7" t="s">
        <v>50</v>
      </c>
      <c r="G186" s="2" t="s">
        <v>27</v>
      </c>
      <c r="J186" s="2" t="s">
        <v>403</v>
      </c>
      <c r="M186" s="2" t="s">
        <v>100</v>
      </c>
      <c r="P186" s="2" t="s">
        <v>52</v>
      </c>
      <c r="Q186" s="1" t="str">
        <f>IF($B186=0,$M186,_xlfn.TEXTBEFORE(Q185,"/",$B186,,,Q185)&amp;"/"&amp;$M186)&amp;IF(_xlfn.TEXTAFTER($D186,"..",,,,1)&lt;&gt;"1","[0]","")</f>
        <v>*/GoodsShipment[0]/Consignment/LocationOfGoods/Address/country</v>
      </c>
    </row>
    <row r="187" spans="1:17" ht="12" customHeight="1" outlineLevel="4" x14ac:dyDescent="0.35">
      <c r="A187" s="3" t="str">
        <f>$E$2</f>
        <v>CC429B</v>
      </c>
      <c r="B187" s="4">
        <v>4</v>
      </c>
      <c r="C187" s="3" t="s">
        <v>24</v>
      </c>
      <c r="D187" s="3" t="s">
        <v>30</v>
      </c>
      <c r="E187" s="12" t="s">
        <v>290</v>
      </c>
      <c r="F187" s="4"/>
      <c r="G187" s="3" t="s">
        <v>396</v>
      </c>
      <c r="H187" s="4"/>
      <c r="I187" s="3" t="s">
        <v>561</v>
      </c>
      <c r="J187" s="4"/>
      <c r="K187" s="4"/>
      <c r="L187" s="4"/>
      <c r="M187" s="3" t="s">
        <v>291</v>
      </c>
      <c r="N187" s="4"/>
      <c r="O187" s="4"/>
      <c r="P187" s="3" t="s">
        <v>292</v>
      </c>
      <c r="Q187" s="1" t="str">
        <f>IF($B187=0,$M187,_xlfn.TEXTBEFORE(Q186,"/",$B187,,,Q186)&amp;"/"&amp;$M187)&amp;IF(_xlfn.TEXTAFTER($D187,"..",,,,1)&lt;&gt;"1","[0]","")</f>
        <v>*/GoodsShipment[0]/Consignment/LocationOfGoods/PostcodeAddress</v>
      </c>
    </row>
    <row r="188" spans="1:17" ht="12" customHeight="1" outlineLevel="5" x14ac:dyDescent="0.35">
      <c r="A188" s="2" t="str">
        <f>$E$2</f>
        <v>CC429B</v>
      </c>
      <c r="B188" s="1">
        <v>5</v>
      </c>
      <c r="C188" s="1" t="s">
        <v>19</v>
      </c>
      <c r="D188" s="2" t="s">
        <v>30</v>
      </c>
      <c r="E188" s="13" t="s">
        <v>293</v>
      </c>
      <c r="F188" s="7" t="s">
        <v>96</v>
      </c>
      <c r="G188" s="2" t="s">
        <v>396</v>
      </c>
      <c r="I188" s="2" t="s">
        <v>564</v>
      </c>
      <c r="M188" s="2" t="s">
        <v>294</v>
      </c>
      <c r="P188" s="2" t="s">
        <v>295</v>
      </c>
      <c r="Q188" s="1" t="str">
        <f>IF($B188=0,$M188,_xlfn.TEXTBEFORE(Q187,"/",$B188,,,Q187)&amp;"/"&amp;$M188)&amp;IF(_xlfn.TEXTAFTER($D188,"..",,,,1)&lt;&gt;"1","[0]","")</f>
        <v>*/GoodsShipment[0]/Consignment/LocationOfGoods/PostcodeAddress/houseNumber</v>
      </c>
    </row>
    <row r="189" spans="1:17" ht="12" customHeight="1" outlineLevel="5" x14ac:dyDescent="0.35">
      <c r="A189" s="2" t="str">
        <f>$E$2</f>
        <v>CC429B</v>
      </c>
      <c r="B189" s="1">
        <v>5</v>
      </c>
      <c r="C189" s="1" t="s">
        <v>19</v>
      </c>
      <c r="D189" s="2" t="s">
        <v>25</v>
      </c>
      <c r="E189" s="13" t="s">
        <v>91</v>
      </c>
      <c r="F189" s="7" t="s">
        <v>92</v>
      </c>
      <c r="G189" s="2" t="s">
        <v>27</v>
      </c>
      <c r="M189" s="2" t="s">
        <v>93</v>
      </c>
      <c r="P189" s="2" t="s">
        <v>94</v>
      </c>
      <c r="Q189" s="1" t="str">
        <f>IF($B189=0,$M189,_xlfn.TEXTBEFORE(Q188,"/",$B189,,,Q188)&amp;"/"&amp;$M189)&amp;IF(_xlfn.TEXTAFTER($D189,"..",,,,1)&lt;&gt;"1","[0]","")</f>
        <v>*/GoodsShipment[0]/Consignment/LocationOfGoods/PostcodeAddress/postcode</v>
      </c>
    </row>
    <row r="190" spans="1:17" ht="12" customHeight="1" outlineLevel="5" x14ac:dyDescent="0.35">
      <c r="A190" s="2" t="str">
        <f>$E$2</f>
        <v>CC429B</v>
      </c>
      <c r="B190" s="1">
        <v>5</v>
      </c>
      <c r="C190" s="1" t="s">
        <v>19</v>
      </c>
      <c r="D190" s="2" t="s">
        <v>25</v>
      </c>
      <c r="E190" s="13" t="s">
        <v>99</v>
      </c>
      <c r="F190" s="7" t="s">
        <v>50</v>
      </c>
      <c r="G190" s="2" t="s">
        <v>27</v>
      </c>
      <c r="J190" s="2" t="s">
        <v>565</v>
      </c>
      <c r="M190" s="2" t="s">
        <v>100</v>
      </c>
      <c r="P190" s="2" t="s">
        <v>52</v>
      </c>
      <c r="Q190" s="1" t="str">
        <f>IF($B190=0,$M190,_xlfn.TEXTBEFORE(Q189,"/",$B190,,,Q189)&amp;"/"&amp;$M190)&amp;IF(_xlfn.TEXTAFTER($D190,"..",,,,1)&lt;&gt;"1","[0]","")</f>
        <v>*/GoodsShipment[0]/Consignment/LocationOfGoods/PostcodeAddress/country</v>
      </c>
    </row>
    <row r="191" spans="1:17" ht="12" customHeight="1" outlineLevel="3" x14ac:dyDescent="0.35">
      <c r="A191" s="3" t="str">
        <f>$E$2</f>
        <v>CC429B</v>
      </c>
      <c r="B191" s="4">
        <v>3</v>
      </c>
      <c r="C191" s="3" t="s">
        <v>24</v>
      </c>
      <c r="D191" s="3" t="s">
        <v>30</v>
      </c>
      <c r="E191" s="10" t="s">
        <v>566</v>
      </c>
      <c r="F191" s="4"/>
      <c r="G191" s="3" t="s">
        <v>396</v>
      </c>
      <c r="H191" s="3" t="s">
        <v>1291</v>
      </c>
      <c r="I191" s="16" t="s">
        <v>1292</v>
      </c>
      <c r="J191" s="4"/>
      <c r="K191" s="4"/>
      <c r="L191" s="4"/>
      <c r="M191" s="3" t="s">
        <v>568</v>
      </c>
      <c r="N191" s="4"/>
      <c r="O191" s="4"/>
      <c r="P191" s="3" t="s">
        <v>569</v>
      </c>
      <c r="Q191" s="1" t="str">
        <f>IF($B191=0,$M191,_xlfn.TEXTBEFORE(Q190,"/",$B191,,,Q190)&amp;"/"&amp;$M191)&amp;IF(_xlfn.TEXTAFTER($D191,"..",,,,1)&lt;&gt;"1","[0]","")</f>
        <v>*/GoodsShipment[0]/Consignment/ArrivalTransportMeans</v>
      </c>
    </row>
    <row r="192" spans="1:17" ht="12" customHeight="1" outlineLevel="4" x14ac:dyDescent="0.35">
      <c r="A192" s="2" t="str">
        <f>$E$2</f>
        <v>CC429B</v>
      </c>
      <c r="B192" s="1">
        <v>4</v>
      </c>
      <c r="C192" s="1" t="s">
        <v>19</v>
      </c>
      <c r="D192" s="2" t="s">
        <v>25</v>
      </c>
      <c r="E192" s="11" t="s">
        <v>570</v>
      </c>
      <c r="F192" s="7" t="s">
        <v>132</v>
      </c>
      <c r="G192" s="2" t="s">
        <v>27</v>
      </c>
      <c r="J192" s="2" t="s">
        <v>571</v>
      </c>
      <c r="M192" s="2" t="s">
        <v>572</v>
      </c>
      <c r="P192" s="2" t="s">
        <v>573</v>
      </c>
      <c r="Q192" s="1" t="str">
        <f>IF($B192=0,$M192,_xlfn.TEXTBEFORE(Q191,"/",$B192,,,Q191)&amp;"/"&amp;$M192)&amp;IF(_xlfn.TEXTAFTER($D192,"..",,,,1)&lt;&gt;"1","[0]","")</f>
        <v>*/GoodsShipment[0]/Consignment/ArrivalTransportMeans/typeOfIdentification</v>
      </c>
    </row>
    <row r="193" spans="1:17" ht="12" customHeight="1" outlineLevel="4" x14ac:dyDescent="0.35">
      <c r="A193" s="2" t="str">
        <f>$E$2</f>
        <v>CC429B</v>
      </c>
      <c r="B193" s="1">
        <v>4</v>
      </c>
      <c r="C193" s="1" t="s">
        <v>19</v>
      </c>
      <c r="D193" s="2" t="s">
        <v>25</v>
      </c>
      <c r="E193" s="11" t="s">
        <v>81</v>
      </c>
      <c r="F193" s="7" t="s">
        <v>96</v>
      </c>
      <c r="G193" s="2" t="s">
        <v>27</v>
      </c>
      <c r="M193" s="2" t="s">
        <v>82</v>
      </c>
      <c r="P193" s="2" t="s">
        <v>574</v>
      </c>
      <c r="Q193" s="1" t="str">
        <f>IF($B193=0,$M193,_xlfn.TEXTBEFORE(Q192,"/",$B193,,,Q192)&amp;"/"&amp;$M193)&amp;IF(_xlfn.TEXTAFTER($D193,"..",,,,1)&lt;&gt;"1","[0]","")</f>
        <v>*/GoodsShipment[0]/Consignment/ArrivalTransportMeans/identificationNumber</v>
      </c>
    </row>
    <row r="194" spans="1:17" ht="12" customHeight="1" outlineLevel="3" x14ac:dyDescent="0.35">
      <c r="A194" s="3" t="str">
        <f>$E$2</f>
        <v>CC429B</v>
      </c>
      <c r="B194" s="4">
        <v>3</v>
      </c>
      <c r="C194" s="3" t="s">
        <v>24</v>
      </c>
      <c r="D194" s="3" t="s">
        <v>30</v>
      </c>
      <c r="E194" s="10" t="s">
        <v>575</v>
      </c>
      <c r="F194" s="4"/>
      <c r="G194" s="3" t="s">
        <v>396</v>
      </c>
      <c r="H194" s="3" t="s">
        <v>1293</v>
      </c>
      <c r="I194" s="16" t="s">
        <v>1294</v>
      </c>
      <c r="J194" s="4"/>
      <c r="K194" s="4"/>
      <c r="L194" s="4"/>
      <c r="M194" s="3" t="s">
        <v>578</v>
      </c>
      <c r="N194" s="4"/>
      <c r="O194" s="4"/>
      <c r="P194" s="3" t="s">
        <v>579</v>
      </c>
      <c r="Q194" s="1" t="str">
        <f>IF($B194=0,$M194,_xlfn.TEXTBEFORE(Q193,"/",$B194,,,Q193)&amp;"/"&amp;$M194)&amp;IF(_xlfn.TEXTAFTER($D194,"..",,,,1)&lt;&gt;"1","[0]","")</f>
        <v>*/GoodsShipment[0]/Consignment/ActiveBorderTransportMeans</v>
      </c>
    </row>
    <row r="195" spans="1:17" ht="12" customHeight="1" outlineLevel="4" x14ac:dyDescent="0.35">
      <c r="A195" s="2" t="str">
        <f>$E$2</f>
        <v>CC429B</v>
      </c>
      <c r="B195" s="1">
        <v>4</v>
      </c>
      <c r="C195" s="1" t="s">
        <v>19</v>
      </c>
      <c r="D195" s="2" t="s">
        <v>25</v>
      </c>
      <c r="E195" s="11" t="s">
        <v>580</v>
      </c>
      <c r="F195" s="7" t="s">
        <v>50</v>
      </c>
      <c r="G195" s="2" t="s">
        <v>27</v>
      </c>
      <c r="J195" s="2" t="s">
        <v>581</v>
      </c>
      <c r="M195" s="2" t="s">
        <v>582</v>
      </c>
      <c r="P195" s="2" t="s">
        <v>52</v>
      </c>
      <c r="Q195" s="1" t="str">
        <f>IF($B195=0,$M195,_xlfn.TEXTBEFORE(Q194,"/",$B195,,,Q194)&amp;"/"&amp;$M195)&amp;IF(_xlfn.TEXTAFTER($D195,"..",,,,1)&lt;&gt;"1","[0]","")</f>
        <v>*/GoodsShipment[0]/Consignment/ActiveBorderTransportMeans/nationality</v>
      </c>
    </row>
    <row r="196" spans="1:17" ht="12" customHeight="1" outlineLevel="3" x14ac:dyDescent="0.35">
      <c r="A196" s="3" t="str">
        <f>$E$2</f>
        <v>CC429B</v>
      </c>
      <c r="B196" s="4">
        <v>3</v>
      </c>
      <c r="C196" s="3" t="s">
        <v>24</v>
      </c>
      <c r="D196" s="3" t="s">
        <v>193</v>
      </c>
      <c r="E196" s="10" t="s">
        <v>583</v>
      </c>
      <c r="F196" s="4"/>
      <c r="G196" s="3" t="s">
        <v>22</v>
      </c>
      <c r="H196" s="3" t="s">
        <v>489</v>
      </c>
      <c r="I196" s="4"/>
      <c r="J196" s="4"/>
      <c r="K196" s="4"/>
      <c r="L196" s="4"/>
      <c r="M196" s="3" t="s">
        <v>584</v>
      </c>
      <c r="N196" s="4"/>
      <c r="O196" s="4"/>
      <c r="P196" s="3" t="s">
        <v>585</v>
      </c>
      <c r="Q196" s="1" t="str">
        <f>IF($B196=0,$M196,_xlfn.TEXTBEFORE(Q195,"/",$B196,,,Q195)&amp;"/"&amp;$M196)&amp;IF(_xlfn.TEXTAFTER($D196,"..",,,,1)&lt;&gt;"1","[0]","")</f>
        <v>*/GoodsShipment[0]/Consignment/TransportDocument[0]</v>
      </c>
    </row>
    <row r="197" spans="1:17" ht="12" customHeight="1" outlineLevel="4" x14ac:dyDescent="0.35">
      <c r="A197" s="2" t="str">
        <f>$E$2</f>
        <v>CC429B</v>
      </c>
      <c r="B197" s="1">
        <v>4</v>
      </c>
      <c r="C197" s="1" t="s">
        <v>19</v>
      </c>
      <c r="D197" s="2" t="s">
        <v>25</v>
      </c>
      <c r="E197" s="11" t="s">
        <v>56</v>
      </c>
      <c r="F197" s="7" t="s">
        <v>57</v>
      </c>
      <c r="G197" s="2" t="s">
        <v>27</v>
      </c>
      <c r="H197" s="2" t="s">
        <v>393</v>
      </c>
      <c r="M197" s="2" t="s">
        <v>58</v>
      </c>
      <c r="P197" s="2" t="s">
        <v>59</v>
      </c>
      <c r="Q197" s="1" t="str">
        <f>IF($B197=0,$M197,_xlfn.TEXTBEFORE(Q196,"/",$B197,,,Q196)&amp;"/"&amp;$M197)&amp;IF(_xlfn.TEXTAFTER($D197,"..",,,,1)&lt;&gt;"1","[0]","")</f>
        <v>*/GoodsShipment[0]/Consignment/TransportDocument[0]/sequenceNumber</v>
      </c>
    </row>
    <row r="198" spans="1:17" ht="12" customHeight="1" outlineLevel="4" x14ac:dyDescent="0.35">
      <c r="A198" s="2" t="str">
        <f>$E$2</f>
        <v>CC429B</v>
      </c>
      <c r="B198" s="1">
        <v>4</v>
      </c>
      <c r="C198" s="1" t="s">
        <v>19</v>
      </c>
      <c r="D198" s="2" t="s">
        <v>25</v>
      </c>
      <c r="E198" s="11" t="s">
        <v>2</v>
      </c>
      <c r="F198" s="7" t="s">
        <v>306</v>
      </c>
      <c r="G198" s="2" t="s">
        <v>27</v>
      </c>
      <c r="J198" s="2" t="s">
        <v>586</v>
      </c>
      <c r="M198" s="2" t="s">
        <v>61</v>
      </c>
      <c r="P198" s="2" t="s">
        <v>307</v>
      </c>
      <c r="Q198" s="1" t="str">
        <f>IF($B198=0,$M198,_xlfn.TEXTBEFORE(Q197,"/",$B198,,,Q197)&amp;"/"&amp;$M198)&amp;IF(_xlfn.TEXTAFTER($D198,"..",,,,1)&lt;&gt;"1","[0]","")</f>
        <v>*/GoodsShipment[0]/Consignment/TransportDocument[0]/type</v>
      </c>
    </row>
    <row r="199" spans="1:17" ht="12" customHeight="1" outlineLevel="4" x14ac:dyDescent="0.35">
      <c r="A199" s="2" t="str">
        <f>$E$2</f>
        <v>CC429B</v>
      </c>
      <c r="B199" s="1">
        <v>4</v>
      </c>
      <c r="C199" s="1" t="s">
        <v>19</v>
      </c>
      <c r="D199" s="2" t="s">
        <v>25</v>
      </c>
      <c r="E199" s="11" t="s">
        <v>63</v>
      </c>
      <c r="F199" s="7" t="s">
        <v>83</v>
      </c>
      <c r="G199" s="2" t="s">
        <v>27</v>
      </c>
      <c r="H199" s="2" t="s">
        <v>494</v>
      </c>
      <c r="M199" s="2" t="s">
        <v>65</v>
      </c>
      <c r="P199" s="2" t="s">
        <v>308</v>
      </c>
      <c r="Q199" s="1" t="str">
        <f>IF($B199=0,$M199,_xlfn.TEXTBEFORE(Q198,"/",$B199,,,Q198)&amp;"/"&amp;$M199)&amp;IF(_xlfn.TEXTAFTER($D199,"..",,,,1)&lt;&gt;"1","[0]","")</f>
        <v>*/GoodsShipment[0]/Consignment/TransportDocument[0]/referenceNumber</v>
      </c>
    </row>
    <row r="200" spans="1:17" ht="12" customHeight="1" outlineLevel="2" x14ac:dyDescent="0.35">
      <c r="A200" s="3" t="str">
        <f>$E$2</f>
        <v>CC429B</v>
      </c>
      <c r="B200" s="4">
        <v>2</v>
      </c>
      <c r="C200" s="3" t="s">
        <v>24</v>
      </c>
      <c r="D200" s="3" t="s">
        <v>317</v>
      </c>
      <c r="E200" s="8" t="s">
        <v>318</v>
      </c>
      <c r="F200" s="4"/>
      <c r="G200" s="3" t="s">
        <v>27</v>
      </c>
      <c r="H200" s="4"/>
      <c r="I200" s="4"/>
      <c r="J200" s="4"/>
      <c r="K200" s="4"/>
      <c r="L200" s="4"/>
      <c r="M200" s="3" t="s">
        <v>319</v>
      </c>
      <c r="N200" s="4"/>
      <c r="O200" s="4"/>
      <c r="P200" s="3" t="s">
        <v>1503</v>
      </c>
      <c r="Q200" s="1" t="str">
        <f>IF($B200=0,$M200,_xlfn.TEXTBEFORE(Q199,"/",$B200,,,Q199)&amp;"/"&amp;$M200)&amp;IF(_xlfn.TEXTAFTER($D200,"..",,,,1)&lt;&gt;"1","[0]","")</f>
        <v>*/GoodsShipment[0]/GoodsShipmentItem[0]</v>
      </c>
    </row>
    <row r="201" spans="1:17" ht="12" customHeight="1" outlineLevel="3" x14ac:dyDescent="0.35">
      <c r="A201" s="2" t="str">
        <f>$E$2</f>
        <v>CC429B</v>
      </c>
      <c r="B201" s="1">
        <v>3</v>
      </c>
      <c r="C201" s="1" t="s">
        <v>19</v>
      </c>
      <c r="D201" s="2" t="s">
        <v>25</v>
      </c>
      <c r="E201" s="9" t="s">
        <v>253</v>
      </c>
      <c r="F201" s="7" t="s">
        <v>57</v>
      </c>
      <c r="G201" s="2" t="s">
        <v>27</v>
      </c>
      <c r="H201" s="2" t="s">
        <v>588</v>
      </c>
      <c r="M201" s="2" t="s">
        <v>254</v>
      </c>
      <c r="P201" s="2" t="s">
        <v>255</v>
      </c>
      <c r="Q201" s="1" t="str">
        <f>IF($B201=0,$M201,_xlfn.TEXTBEFORE(Q200,"/",$B201,,,Q200)&amp;"/"&amp;$M201)&amp;IF(_xlfn.TEXTAFTER($D201,"..",,,,1)&lt;&gt;"1","[0]","")</f>
        <v>*/GoodsShipment[0]/GoodsShipmentItem[0]/declarationGoodsItemNumber</v>
      </c>
    </row>
    <row r="202" spans="1:17" ht="12" customHeight="1" outlineLevel="3" x14ac:dyDescent="0.35">
      <c r="A202" s="2" t="str">
        <f>$E$2</f>
        <v>CC429B</v>
      </c>
      <c r="B202" s="1">
        <v>3</v>
      </c>
      <c r="C202" s="1" t="s">
        <v>19</v>
      </c>
      <c r="D202" s="2" t="s">
        <v>30</v>
      </c>
      <c r="E202" s="9" t="s">
        <v>589</v>
      </c>
      <c r="F202" s="7" t="s">
        <v>57</v>
      </c>
      <c r="G202" s="2" t="s">
        <v>396</v>
      </c>
      <c r="H202" s="2" t="s">
        <v>590</v>
      </c>
      <c r="I202" s="2" t="s">
        <v>591</v>
      </c>
      <c r="M202" s="2" t="s">
        <v>592</v>
      </c>
      <c r="P202" s="2" t="s">
        <v>255</v>
      </c>
      <c r="Q202" s="1" t="str">
        <f>IF($B202=0,$M202,_xlfn.TEXTBEFORE(Q201,"/",$B202,,,Q201)&amp;"/"&amp;$M202)&amp;IF(_xlfn.TEXTAFTER($D202,"..",,,,1)&lt;&gt;"1","[0]","")</f>
        <v>*/GoodsShipment[0]/GoodsShipmentItem[0]/goodsItemNumber</v>
      </c>
    </row>
    <row r="203" spans="1:17" ht="12" customHeight="1" outlineLevel="3" x14ac:dyDescent="0.35">
      <c r="A203" s="2" t="str">
        <f>$E$2</f>
        <v>CC429B</v>
      </c>
      <c r="B203" s="1">
        <v>3</v>
      </c>
      <c r="C203" s="1" t="s">
        <v>19</v>
      </c>
      <c r="D203" s="2" t="s">
        <v>30</v>
      </c>
      <c r="E203" s="9" t="s">
        <v>593</v>
      </c>
      <c r="F203" s="7" t="s">
        <v>181</v>
      </c>
      <c r="G203" s="2" t="s">
        <v>396</v>
      </c>
      <c r="H203" s="2" t="s">
        <v>1289</v>
      </c>
      <c r="I203" s="7" t="s">
        <v>1295</v>
      </c>
      <c r="M203" s="2" t="s">
        <v>594</v>
      </c>
      <c r="P203" s="2" t="s">
        <v>183</v>
      </c>
      <c r="Q203" s="1" t="str">
        <f>IF($B203=0,$M203,_xlfn.TEXTBEFORE(Q202,"/",$B203,,,Q202)&amp;"/"&amp;$M203)&amp;IF(_xlfn.TEXTAFTER($D203,"..",,,,1)&lt;&gt;"1","[0]","")</f>
        <v>*/GoodsShipment[0]/GoodsShipmentItem[0]/statisticalValue</v>
      </c>
    </row>
    <row r="204" spans="1:17" ht="12" customHeight="1" outlineLevel="3" x14ac:dyDescent="0.35">
      <c r="A204" s="2" t="str">
        <f>$E$2</f>
        <v>CC429B</v>
      </c>
      <c r="B204" s="1">
        <v>3</v>
      </c>
      <c r="C204" s="1" t="s">
        <v>19</v>
      </c>
      <c r="D204" s="2" t="s">
        <v>30</v>
      </c>
      <c r="E204" s="9" t="s">
        <v>176</v>
      </c>
      <c r="F204" s="7" t="s">
        <v>177</v>
      </c>
      <c r="G204" s="2" t="s">
        <v>396</v>
      </c>
      <c r="H204" s="2" t="s">
        <v>1272</v>
      </c>
      <c r="I204" s="7" t="s">
        <v>1296</v>
      </c>
      <c r="J204" s="2" t="s">
        <v>425</v>
      </c>
      <c r="M204" s="2" t="s">
        <v>178</v>
      </c>
      <c r="P204" s="2" t="s">
        <v>179</v>
      </c>
      <c r="Q204" s="1" t="str">
        <f>IF($B204=0,$M204,_xlfn.TEXTBEFORE(Q203,"/",$B204,,,Q203)&amp;"/"&amp;$M204)&amp;IF(_xlfn.TEXTAFTER($D204,"..",,,,1)&lt;&gt;"1","[0]","")</f>
        <v>*/GoodsShipment[0]/GoodsShipmentItem[0]/natureOfTransaction</v>
      </c>
    </row>
    <row r="205" spans="1:17" ht="12" customHeight="1" outlineLevel="3" x14ac:dyDescent="0.35">
      <c r="A205" s="2" t="str">
        <f>$E$2</f>
        <v>CC429B</v>
      </c>
      <c r="B205" s="1">
        <v>3</v>
      </c>
      <c r="C205" s="1" t="s">
        <v>19</v>
      </c>
      <c r="D205" s="2" t="s">
        <v>30</v>
      </c>
      <c r="E205" s="9" t="s">
        <v>552</v>
      </c>
      <c r="F205" s="7" t="s">
        <v>156</v>
      </c>
      <c r="G205" s="2" t="s">
        <v>22</v>
      </c>
      <c r="M205" s="2" t="s">
        <v>553</v>
      </c>
      <c r="P205" s="2" t="s">
        <v>554</v>
      </c>
      <c r="Q205" s="1" t="str">
        <f>IF($B205=0,$M205,_xlfn.TEXTBEFORE(Q204,"/",$B205,,,Q204)&amp;"/"&amp;$M205)&amp;IF(_xlfn.TEXTAFTER($D205,"..",,,,1)&lt;&gt;"1","[0]","")</f>
        <v>*/GoodsShipment[0]/GoodsShipmentItem[0]/referenceNumberUCR</v>
      </c>
    </row>
    <row r="206" spans="1:17" ht="12" customHeight="1" outlineLevel="3" x14ac:dyDescent="0.35">
      <c r="A206" s="3" t="str">
        <f>$E$2</f>
        <v>CC429B</v>
      </c>
      <c r="B206" s="4">
        <v>3</v>
      </c>
      <c r="C206" s="3" t="s">
        <v>24</v>
      </c>
      <c r="D206" s="3" t="s">
        <v>53</v>
      </c>
      <c r="E206" s="10" t="s">
        <v>54</v>
      </c>
      <c r="F206" s="4"/>
      <c r="G206" s="3" t="s">
        <v>396</v>
      </c>
      <c r="H206" s="3" t="s">
        <v>595</v>
      </c>
      <c r="I206" s="3" t="s">
        <v>596</v>
      </c>
      <c r="J206" s="4"/>
      <c r="K206" s="4"/>
      <c r="L206" s="4"/>
      <c r="M206" s="3" t="s">
        <v>54</v>
      </c>
      <c r="N206" s="4"/>
      <c r="O206" s="4"/>
      <c r="P206" s="3" t="s">
        <v>321</v>
      </c>
      <c r="Q206" s="1" t="str">
        <f>IF($B206=0,$M206,_xlfn.TEXTBEFORE(Q205,"/",$B206,,,Q205)&amp;"/"&amp;$M206)&amp;IF(_xlfn.TEXTAFTER($D206,"..",,,,1)&lt;&gt;"1","[0]","")</f>
        <v>*/GoodsShipment[0]/GoodsShipmentItem[0]/Authorisation[0]</v>
      </c>
    </row>
    <row r="207" spans="1:17" ht="12" customHeight="1" outlineLevel="4" x14ac:dyDescent="0.35">
      <c r="A207" s="2" t="str">
        <f>$E$2</f>
        <v>CC429B</v>
      </c>
      <c r="B207" s="1">
        <v>4</v>
      </c>
      <c r="C207" s="1" t="s">
        <v>19</v>
      </c>
      <c r="D207" s="2" t="s">
        <v>25</v>
      </c>
      <c r="E207" s="11" t="s">
        <v>56</v>
      </c>
      <c r="F207" s="7" t="s">
        <v>57</v>
      </c>
      <c r="G207" s="2" t="s">
        <v>27</v>
      </c>
      <c r="H207" s="2" t="s">
        <v>393</v>
      </c>
      <c r="M207" s="2" t="s">
        <v>58</v>
      </c>
      <c r="P207" s="2" t="s">
        <v>59</v>
      </c>
      <c r="Q207" s="1" t="str">
        <f>IF($B207=0,$M207,_xlfn.TEXTBEFORE(Q206,"/",$B207,,,Q206)&amp;"/"&amp;$M207)&amp;IF(_xlfn.TEXTAFTER($D207,"..",,,,1)&lt;&gt;"1","[0]","")</f>
        <v>*/GoodsShipment[0]/GoodsShipmentItem[0]/Authorisation[0]/sequenceNumber</v>
      </c>
    </row>
    <row r="208" spans="1:17" ht="12" customHeight="1" outlineLevel="4" x14ac:dyDescent="0.35">
      <c r="A208" s="2" t="str">
        <f>$E$2</f>
        <v>CC429B</v>
      </c>
      <c r="B208" s="1">
        <v>4</v>
      </c>
      <c r="C208" s="1" t="s">
        <v>19</v>
      </c>
      <c r="D208" s="2" t="s">
        <v>30</v>
      </c>
      <c r="E208" s="11" t="s">
        <v>2</v>
      </c>
      <c r="F208" s="7" t="s">
        <v>60</v>
      </c>
      <c r="G208" s="2" t="s">
        <v>396</v>
      </c>
      <c r="I208" s="2" t="s">
        <v>395</v>
      </c>
      <c r="J208" s="2" t="s">
        <v>597</v>
      </c>
      <c r="M208" s="2" t="s">
        <v>61</v>
      </c>
      <c r="P208" s="2" t="s">
        <v>62</v>
      </c>
      <c r="Q208" s="1" t="str">
        <f>IF($B208=0,$M208,_xlfn.TEXTBEFORE(Q207,"/",$B208,,,Q207)&amp;"/"&amp;$M208)&amp;IF(_xlfn.TEXTAFTER($D208,"..",,,,1)&lt;&gt;"1","[0]","")</f>
        <v>*/GoodsShipment[0]/GoodsShipmentItem[0]/Authorisation[0]/type</v>
      </c>
    </row>
    <row r="209" spans="1:17" ht="12" customHeight="1" outlineLevel="4" x14ac:dyDescent="0.35">
      <c r="A209" s="2" t="str">
        <f>$E$2</f>
        <v>CC429B</v>
      </c>
      <c r="B209" s="1">
        <v>4</v>
      </c>
      <c r="C209" s="1" t="s">
        <v>19</v>
      </c>
      <c r="D209" s="2" t="s">
        <v>25</v>
      </c>
      <c r="E209" s="11" t="s">
        <v>63</v>
      </c>
      <c r="F209" s="7" t="s">
        <v>834</v>
      </c>
      <c r="G209" s="2" t="s">
        <v>27</v>
      </c>
      <c r="M209" s="2" t="s">
        <v>65</v>
      </c>
      <c r="P209" s="2" t="s">
        <v>66</v>
      </c>
      <c r="Q209" s="1" t="str">
        <f>IF($B209=0,$M209,_xlfn.TEXTBEFORE(Q208,"/",$B209,,,Q208)&amp;"/"&amp;$M209)&amp;IF(_xlfn.TEXTAFTER($D209,"..",,,,1)&lt;&gt;"1","[0]","")</f>
        <v>*/GoodsShipment[0]/GoodsShipmentItem[0]/Authorisation[0]/referenceNumber</v>
      </c>
    </row>
    <row r="210" spans="1:17" ht="12" customHeight="1" outlineLevel="4" x14ac:dyDescent="0.35">
      <c r="A210" s="2" t="str">
        <f>$E$2</f>
        <v>CC429B</v>
      </c>
      <c r="B210" s="1">
        <v>4</v>
      </c>
      <c r="C210" s="1" t="s">
        <v>19</v>
      </c>
      <c r="D210" s="2" t="s">
        <v>30</v>
      </c>
      <c r="E210" s="11" t="s">
        <v>67</v>
      </c>
      <c r="F210" s="7" t="s">
        <v>68</v>
      </c>
      <c r="G210" s="2" t="s">
        <v>396</v>
      </c>
      <c r="H210" s="2" t="s">
        <v>397</v>
      </c>
      <c r="I210" s="2" t="s">
        <v>398</v>
      </c>
      <c r="M210" s="2" t="s">
        <v>69</v>
      </c>
      <c r="P210" s="2" t="s">
        <v>70</v>
      </c>
      <c r="Q210" s="1" t="str">
        <f>IF($B210=0,$M210,_xlfn.TEXTBEFORE(Q209,"/",$B210,,,Q209)&amp;"/"&amp;$M210)&amp;IF(_xlfn.TEXTAFTER($D210,"..",,,,1)&lt;&gt;"1","[0]","")</f>
        <v>*/GoodsShipment[0]/GoodsShipmentItem[0]/Authorisation[0]/holderOfTheAuthorisation</v>
      </c>
    </row>
    <row r="211" spans="1:17" ht="12" customHeight="1" outlineLevel="3" x14ac:dyDescent="0.35">
      <c r="A211" s="3" t="str">
        <f>$E$2</f>
        <v>CC429B</v>
      </c>
      <c r="B211" s="4">
        <v>3</v>
      </c>
      <c r="C211" s="3" t="s">
        <v>24</v>
      </c>
      <c r="D211" s="3" t="s">
        <v>25</v>
      </c>
      <c r="E211" s="10" t="s">
        <v>322</v>
      </c>
      <c r="F211" s="4"/>
      <c r="G211" s="3" t="s">
        <v>27</v>
      </c>
      <c r="H211" s="4"/>
      <c r="I211" s="4"/>
      <c r="J211" s="4"/>
      <c r="K211" s="4"/>
      <c r="L211" s="4"/>
      <c r="M211" s="3" t="s">
        <v>322</v>
      </c>
      <c r="N211" s="4"/>
      <c r="O211" s="4"/>
      <c r="P211" s="3" t="s">
        <v>1297</v>
      </c>
      <c r="Q211" s="1" t="str">
        <f>IF($B211=0,$M211,_xlfn.TEXTBEFORE(Q210,"/",$B211,,,Q210)&amp;"/"&amp;$M211)&amp;IF(_xlfn.TEXTAFTER($D211,"..",,,,1)&lt;&gt;"1","[0]","")</f>
        <v>*/GoodsShipment[0]/GoodsShipmentItem[0]/Procedure</v>
      </c>
    </row>
    <row r="212" spans="1:17" ht="12" customHeight="1" outlineLevel="4" x14ac:dyDescent="0.35">
      <c r="A212" s="2" t="str">
        <f>$E$2</f>
        <v>CC429B</v>
      </c>
      <c r="B212" s="1">
        <v>4</v>
      </c>
      <c r="C212" s="1" t="s">
        <v>19</v>
      </c>
      <c r="D212" s="2" t="s">
        <v>25</v>
      </c>
      <c r="E212" s="11" t="s">
        <v>324</v>
      </c>
      <c r="F212" s="7" t="s">
        <v>325</v>
      </c>
      <c r="G212" s="2" t="s">
        <v>27</v>
      </c>
      <c r="H212" s="2" t="s">
        <v>599</v>
      </c>
      <c r="J212" s="2" t="s">
        <v>600</v>
      </c>
      <c r="M212" s="2" t="s">
        <v>326</v>
      </c>
      <c r="P212" s="2" t="s">
        <v>327</v>
      </c>
      <c r="Q212" s="1" t="str">
        <f>IF($B212=0,$M212,_xlfn.TEXTBEFORE(Q211,"/",$B212,,,Q211)&amp;"/"&amp;$M212)&amp;IF(_xlfn.TEXTAFTER($D212,"..",,,,1)&lt;&gt;"1","[0]","")</f>
        <v>*/GoodsShipment[0]/GoodsShipmentItem[0]/Procedure/requestedProcedure</v>
      </c>
    </row>
    <row r="213" spans="1:17" ht="12" customHeight="1" outlineLevel="4" x14ac:dyDescent="0.35">
      <c r="A213" s="2" t="str">
        <f>$E$2</f>
        <v>CC429B</v>
      </c>
      <c r="B213" s="1">
        <v>4</v>
      </c>
      <c r="C213" s="1" t="s">
        <v>19</v>
      </c>
      <c r="D213" s="2" t="s">
        <v>25</v>
      </c>
      <c r="E213" s="11" t="s">
        <v>328</v>
      </c>
      <c r="F213" s="7" t="s">
        <v>325</v>
      </c>
      <c r="G213" s="2" t="s">
        <v>27</v>
      </c>
      <c r="H213" s="2" t="s">
        <v>601</v>
      </c>
      <c r="J213" s="2" t="s">
        <v>602</v>
      </c>
      <c r="M213" s="2" t="s">
        <v>329</v>
      </c>
      <c r="P213" s="2" t="s">
        <v>327</v>
      </c>
      <c r="Q213" s="1" t="str">
        <f>IF($B213=0,$M213,_xlfn.TEXTBEFORE(Q212,"/",$B213,,,Q212)&amp;"/"&amp;$M213)&amp;IF(_xlfn.TEXTAFTER($D213,"..",,,,1)&lt;&gt;"1","[0]","")</f>
        <v>*/GoodsShipment[0]/GoodsShipmentItem[0]/Procedure/previousProcedure</v>
      </c>
    </row>
    <row r="214" spans="1:17" ht="12" customHeight="1" outlineLevel="4" x14ac:dyDescent="0.35">
      <c r="A214" s="3" t="str">
        <f>$E$2</f>
        <v>CC429B</v>
      </c>
      <c r="B214" s="4">
        <v>4</v>
      </c>
      <c r="C214" s="3" t="s">
        <v>24</v>
      </c>
      <c r="D214" s="3" t="s">
        <v>193</v>
      </c>
      <c r="E214" s="12" t="s">
        <v>330</v>
      </c>
      <c r="F214" s="4"/>
      <c r="G214" s="3" t="s">
        <v>22</v>
      </c>
      <c r="H214" s="3" t="s">
        <v>477</v>
      </c>
      <c r="I214" s="4"/>
      <c r="J214" s="4"/>
      <c r="K214" s="4"/>
      <c r="L214" s="4"/>
      <c r="M214" s="3" t="s">
        <v>331</v>
      </c>
      <c r="N214" s="4"/>
      <c r="O214" s="4"/>
      <c r="P214" s="3" t="s">
        <v>332</v>
      </c>
      <c r="Q214" s="1" t="str">
        <f>IF($B214=0,$M214,_xlfn.TEXTBEFORE(Q213,"/",$B214,,,Q213)&amp;"/"&amp;$M214)&amp;IF(_xlfn.TEXTAFTER($D214,"..",,,,1)&lt;&gt;"1","[0]","")</f>
        <v>*/GoodsShipment[0]/GoodsShipmentItem[0]/Procedure/AdditionalProcedure[0]</v>
      </c>
    </row>
    <row r="215" spans="1:17" ht="12" customHeight="1" outlineLevel="5" x14ac:dyDescent="0.35">
      <c r="A215" s="2" t="str">
        <f>$E$2</f>
        <v>CC429B</v>
      </c>
      <c r="B215" s="1">
        <v>5</v>
      </c>
      <c r="C215" s="1" t="s">
        <v>19</v>
      </c>
      <c r="D215" s="2" t="s">
        <v>25</v>
      </c>
      <c r="E215" s="13" t="s">
        <v>56</v>
      </c>
      <c r="F215" s="7" t="s">
        <v>57</v>
      </c>
      <c r="G215" s="2" t="s">
        <v>27</v>
      </c>
      <c r="H215" s="2" t="s">
        <v>393</v>
      </c>
      <c r="M215" s="2" t="s">
        <v>58</v>
      </c>
      <c r="P215" s="2" t="s">
        <v>59</v>
      </c>
      <c r="Q215" s="1" t="str">
        <f>IF($B215=0,$M215,_xlfn.TEXTBEFORE(Q214,"/",$B215,,,Q214)&amp;"/"&amp;$M215)&amp;IF(_xlfn.TEXTAFTER($D215,"..",,,,1)&lt;&gt;"1","[0]","")</f>
        <v>*/GoodsShipment[0]/GoodsShipmentItem[0]/Procedure/AdditionalProcedure[0]/sequenceNumber</v>
      </c>
    </row>
    <row r="216" spans="1:17" ht="12" customHeight="1" outlineLevel="5" x14ac:dyDescent="0.35">
      <c r="A216" s="2" t="str">
        <f>$E$2</f>
        <v>CC429B</v>
      </c>
      <c r="B216" s="1">
        <v>5</v>
      </c>
      <c r="C216" s="1" t="s">
        <v>19</v>
      </c>
      <c r="D216" s="2" t="s">
        <v>25</v>
      </c>
      <c r="E216" s="13" t="s">
        <v>330</v>
      </c>
      <c r="F216" s="7" t="s">
        <v>333</v>
      </c>
      <c r="G216" s="2" t="s">
        <v>27</v>
      </c>
      <c r="H216" s="2" t="s">
        <v>477</v>
      </c>
      <c r="J216" s="2" t="s">
        <v>603</v>
      </c>
      <c r="M216" s="2" t="s">
        <v>334</v>
      </c>
      <c r="P216" s="2" t="s">
        <v>335</v>
      </c>
      <c r="Q216" s="1" t="str">
        <f>IF($B216=0,$M216,_xlfn.TEXTBEFORE(Q215,"/",$B216,,,Q215)&amp;"/"&amp;$M216)&amp;IF(_xlfn.TEXTAFTER($D216,"..",,,,1)&lt;&gt;"1","[0]","")</f>
        <v>*/GoodsShipment[0]/GoodsShipmentItem[0]/Procedure/AdditionalProcedure[0]/additionalProcedure</v>
      </c>
    </row>
    <row r="217" spans="1:17" ht="12" customHeight="1" outlineLevel="5" x14ac:dyDescent="0.35">
      <c r="A217" s="2" t="str">
        <f>$E$2</f>
        <v>CC429B</v>
      </c>
      <c r="B217" s="1">
        <v>5</v>
      </c>
      <c r="C217" s="1" t="s">
        <v>19</v>
      </c>
      <c r="D217" s="2" t="s">
        <v>30</v>
      </c>
      <c r="E217" s="13" t="s">
        <v>142</v>
      </c>
      <c r="F217" s="7" t="s">
        <v>50</v>
      </c>
      <c r="G217" s="2" t="s">
        <v>396</v>
      </c>
      <c r="H217" s="2" t="s">
        <v>492</v>
      </c>
      <c r="I217" s="2" t="s">
        <v>493</v>
      </c>
      <c r="J217" s="2" t="s">
        <v>416</v>
      </c>
      <c r="M217" s="2" t="s">
        <v>143</v>
      </c>
      <c r="P217" s="2" t="s">
        <v>52</v>
      </c>
      <c r="Q217" s="1" t="str">
        <f>IF($B217=0,$M217,_xlfn.TEXTBEFORE(Q216,"/",$B217,,,Q216)&amp;"/"&amp;$M217)&amp;IF(_xlfn.TEXTAFTER($D217,"..",,,,1)&lt;&gt;"1","[0]","")</f>
        <v>*/GoodsShipment[0]/GoodsShipmentItem[0]/Procedure/AdditionalProcedure[0]/ccQualifier</v>
      </c>
    </row>
    <row r="218" spans="1:17" ht="12" customHeight="1" outlineLevel="3" x14ac:dyDescent="0.35">
      <c r="A218" s="3" t="str">
        <f>$E$2</f>
        <v>CC429B</v>
      </c>
      <c r="B218" s="4">
        <v>3</v>
      </c>
      <c r="C218" s="3" t="s">
        <v>24</v>
      </c>
      <c r="D218" s="3" t="s">
        <v>193</v>
      </c>
      <c r="E218" s="10" t="s">
        <v>194</v>
      </c>
      <c r="F218" s="4"/>
      <c r="G218" s="3" t="s">
        <v>22</v>
      </c>
      <c r="H218" s="3" t="s">
        <v>1275</v>
      </c>
      <c r="I218" s="4"/>
      <c r="J218" s="4"/>
      <c r="K218" s="4"/>
      <c r="L218" s="4"/>
      <c r="M218" s="3" t="s">
        <v>195</v>
      </c>
      <c r="N218" s="4"/>
      <c r="O218" s="4"/>
      <c r="P218" s="3" t="s">
        <v>196</v>
      </c>
      <c r="Q218" s="1" t="str">
        <f>IF($B218=0,$M218,_xlfn.TEXTBEFORE(Q217,"/",$B218,,,Q217)&amp;"/"&amp;$M218)&amp;IF(_xlfn.TEXTAFTER($D218,"..",,,,1)&lt;&gt;"1","[0]","")</f>
        <v>*/GoodsShipment[0]/GoodsShipmentItem[0]/AdditionalSupplyChainActor[0]</v>
      </c>
    </row>
    <row r="219" spans="1:17" ht="12" customHeight="1" outlineLevel="4" x14ac:dyDescent="0.35">
      <c r="A219" s="2" t="str">
        <f>$E$2</f>
        <v>CC429B</v>
      </c>
      <c r="B219" s="1">
        <v>4</v>
      </c>
      <c r="C219" s="1" t="s">
        <v>19</v>
      </c>
      <c r="D219" s="2" t="s">
        <v>25</v>
      </c>
      <c r="E219" s="11" t="s">
        <v>56</v>
      </c>
      <c r="F219" s="7" t="s">
        <v>57</v>
      </c>
      <c r="G219" s="2" t="s">
        <v>27</v>
      </c>
      <c r="H219" s="2" t="s">
        <v>393</v>
      </c>
      <c r="M219" s="2" t="s">
        <v>58</v>
      </c>
      <c r="P219" s="2" t="s">
        <v>59</v>
      </c>
      <c r="Q219" s="1" t="str">
        <f>IF($B219=0,$M219,_xlfn.TEXTBEFORE(Q218,"/",$B219,,,Q218)&amp;"/"&amp;$M219)&amp;IF(_xlfn.TEXTAFTER($D219,"..",,,,1)&lt;&gt;"1","[0]","")</f>
        <v>*/GoodsShipment[0]/GoodsShipmentItem[0]/AdditionalSupplyChainActor[0]/sequenceNumber</v>
      </c>
    </row>
    <row r="220" spans="1:17" ht="12" customHeight="1" outlineLevel="4" x14ac:dyDescent="0.35">
      <c r="A220" s="2" t="str">
        <f>$E$2</f>
        <v>CC429B</v>
      </c>
      <c r="B220" s="1">
        <v>4</v>
      </c>
      <c r="C220" s="1" t="s">
        <v>19</v>
      </c>
      <c r="D220" s="2" t="s">
        <v>25</v>
      </c>
      <c r="E220" s="11" t="s">
        <v>197</v>
      </c>
      <c r="F220" s="7" t="s">
        <v>198</v>
      </c>
      <c r="G220" s="2" t="s">
        <v>27</v>
      </c>
      <c r="J220" s="2" t="s">
        <v>433</v>
      </c>
      <c r="M220" s="2" t="s">
        <v>199</v>
      </c>
      <c r="P220" s="2" t="s">
        <v>200</v>
      </c>
      <c r="Q220" s="1" t="str">
        <f>IF($B220=0,$M220,_xlfn.TEXTBEFORE(Q219,"/",$B220,,,Q219)&amp;"/"&amp;$M220)&amp;IF(_xlfn.TEXTAFTER($D220,"..",,,,1)&lt;&gt;"1","[0]","")</f>
        <v>*/GoodsShipment[0]/GoodsShipmentItem[0]/AdditionalSupplyChainActor[0]/role</v>
      </c>
    </row>
    <row r="221" spans="1:17" ht="12" customHeight="1" outlineLevel="4" x14ac:dyDescent="0.35">
      <c r="A221" s="2" t="str">
        <f>$E$2</f>
        <v>CC429B</v>
      </c>
      <c r="B221" s="1">
        <v>4</v>
      </c>
      <c r="C221" s="1" t="s">
        <v>19</v>
      </c>
      <c r="D221" s="2" t="s">
        <v>25</v>
      </c>
      <c r="E221" s="11" t="s">
        <v>81</v>
      </c>
      <c r="F221" s="7" t="s">
        <v>68</v>
      </c>
      <c r="G221" s="2" t="s">
        <v>27</v>
      </c>
      <c r="H221" s="2" t="s">
        <v>434</v>
      </c>
      <c r="M221" s="2" t="s">
        <v>82</v>
      </c>
      <c r="P221" s="2" t="s">
        <v>70</v>
      </c>
      <c r="Q221" s="1" t="str">
        <f>IF($B221=0,$M221,_xlfn.TEXTBEFORE(Q220,"/",$B221,,,Q220)&amp;"/"&amp;$M221)&amp;IF(_xlfn.TEXTAFTER($D221,"..",,,,1)&lt;&gt;"1","[0]","")</f>
        <v>*/GoodsShipment[0]/GoodsShipmentItem[0]/AdditionalSupplyChainActor[0]/identificationNumber</v>
      </c>
    </row>
    <row r="222" spans="1:17" ht="12" customHeight="1" outlineLevel="3" x14ac:dyDescent="0.35">
      <c r="A222" s="3" t="str">
        <f>$E$2</f>
        <v>CC429B</v>
      </c>
      <c r="B222" s="4">
        <v>3</v>
      </c>
      <c r="C222" s="3" t="s">
        <v>24</v>
      </c>
      <c r="D222" s="3" t="s">
        <v>30</v>
      </c>
      <c r="E222" s="10" t="s">
        <v>201</v>
      </c>
      <c r="F222" s="4"/>
      <c r="G222" s="3" t="s">
        <v>396</v>
      </c>
      <c r="H222" s="3" t="s">
        <v>1272</v>
      </c>
      <c r="I222" s="3" t="s">
        <v>436</v>
      </c>
      <c r="J222" s="4"/>
      <c r="K222" s="4"/>
      <c r="L222" s="4"/>
      <c r="M222" s="3" t="s">
        <v>201</v>
      </c>
      <c r="N222" s="4"/>
      <c r="O222" s="4"/>
      <c r="P222" s="3" t="s">
        <v>202</v>
      </c>
      <c r="Q222" s="1" t="str">
        <f>IF($B222=0,$M222,_xlfn.TEXTBEFORE(Q221,"/",$B222,,,Q221)&amp;"/"&amp;$M222)&amp;IF(_xlfn.TEXTAFTER($D222,"..",,,,1)&lt;&gt;"1","[0]","")</f>
        <v>*/GoodsShipment[0]/GoodsShipmentItem[0]/Buyer</v>
      </c>
    </row>
    <row r="223" spans="1:17" ht="12" customHeight="1" outlineLevel="4" x14ac:dyDescent="0.35">
      <c r="A223" s="2" t="str">
        <f>$E$2</f>
        <v>CC429B</v>
      </c>
      <c r="B223" s="1">
        <v>4</v>
      </c>
      <c r="C223" s="1" t="s">
        <v>19</v>
      </c>
      <c r="D223" s="2" t="s">
        <v>30</v>
      </c>
      <c r="E223" s="11" t="s">
        <v>81</v>
      </c>
      <c r="F223" s="7" t="s">
        <v>68</v>
      </c>
      <c r="G223" s="2" t="s">
        <v>22</v>
      </c>
      <c r="H223" s="2" t="s">
        <v>434</v>
      </c>
      <c r="M223" s="2" t="s">
        <v>82</v>
      </c>
      <c r="P223" s="2" t="s">
        <v>70</v>
      </c>
      <c r="Q223" s="1" t="str">
        <f>IF($B223=0,$M223,_xlfn.TEXTBEFORE(Q222,"/",$B223,,,Q222)&amp;"/"&amp;$M223)&amp;IF(_xlfn.TEXTAFTER($D223,"..",,,,1)&lt;&gt;"1","[0]","")</f>
        <v>*/GoodsShipment[0]/GoodsShipmentItem[0]/Buyer/identificationNumber</v>
      </c>
    </row>
    <row r="224" spans="1:17" ht="12" customHeight="1" outlineLevel="4" x14ac:dyDescent="0.35">
      <c r="A224" s="2" t="str">
        <f>$E$2</f>
        <v>CC429B</v>
      </c>
      <c r="B224" s="1">
        <v>4</v>
      </c>
      <c r="C224" s="1" t="s">
        <v>19</v>
      </c>
      <c r="D224" s="2" t="s">
        <v>30</v>
      </c>
      <c r="E224" s="11" t="s">
        <v>4</v>
      </c>
      <c r="F224" s="7" t="s">
        <v>83</v>
      </c>
      <c r="G224" s="2" t="s">
        <v>396</v>
      </c>
      <c r="I224" s="2" t="s">
        <v>401</v>
      </c>
      <c r="M224" s="2" t="s">
        <v>84</v>
      </c>
      <c r="P224" s="2" t="s">
        <v>85</v>
      </c>
      <c r="Q224" s="1" t="str">
        <f>IF($B224=0,$M224,_xlfn.TEXTBEFORE(Q223,"/",$B224,,,Q223)&amp;"/"&amp;$M224)&amp;IF(_xlfn.TEXTAFTER($D224,"..",,,,1)&lt;&gt;"1","[0]","")</f>
        <v>*/GoodsShipment[0]/GoodsShipmentItem[0]/Buyer/name</v>
      </c>
    </row>
    <row r="225" spans="1:17" ht="12" customHeight="1" outlineLevel="4" x14ac:dyDescent="0.35">
      <c r="A225" s="3" t="str">
        <f>$E$2</f>
        <v>CC429B</v>
      </c>
      <c r="B225" s="4">
        <v>4</v>
      </c>
      <c r="C225" s="3" t="s">
        <v>24</v>
      </c>
      <c r="D225" s="3" t="s">
        <v>30</v>
      </c>
      <c r="E225" s="12" t="s">
        <v>86</v>
      </c>
      <c r="F225" s="4"/>
      <c r="G225" s="3" t="s">
        <v>396</v>
      </c>
      <c r="H225" s="4"/>
      <c r="I225" s="3" t="s">
        <v>401</v>
      </c>
      <c r="J225" s="4"/>
      <c r="K225" s="4"/>
      <c r="L225" s="4"/>
      <c r="M225" s="3" t="s">
        <v>86</v>
      </c>
      <c r="N225" s="4"/>
      <c r="O225" s="4"/>
      <c r="P225" s="3" t="s">
        <v>87</v>
      </c>
      <c r="Q225" s="1" t="str">
        <f>IF($B225=0,$M225,_xlfn.TEXTBEFORE(Q224,"/",$B225,,,Q224)&amp;"/"&amp;$M225)&amp;IF(_xlfn.TEXTAFTER($D225,"..",,,,1)&lt;&gt;"1","[0]","")</f>
        <v>*/GoodsShipment[0]/GoodsShipmentItem[0]/Buyer/Address</v>
      </c>
    </row>
    <row r="226" spans="1:17" ht="12" customHeight="1" outlineLevel="5" x14ac:dyDescent="0.35">
      <c r="A226" s="2" t="str">
        <f>$E$2</f>
        <v>CC429B</v>
      </c>
      <c r="B226" s="1">
        <v>5</v>
      </c>
      <c r="C226" s="1" t="s">
        <v>19</v>
      </c>
      <c r="D226" s="2" t="s">
        <v>25</v>
      </c>
      <c r="E226" s="13" t="s">
        <v>88</v>
      </c>
      <c r="F226" s="7" t="s">
        <v>83</v>
      </c>
      <c r="G226" s="2" t="s">
        <v>27</v>
      </c>
      <c r="M226" s="2" t="s">
        <v>89</v>
      </c>
      <c r="P226" s="2" t="s">
        <v>90</v>
      </c>
      <c r="Q226" s="1" t="str">
        <f>IF($B226=0,$M226,_xlfn.TEXTBEFORE(Q225,"/",$B226,,,Q225)&amp;"/"&amp;$M226)&amp;IF(_xlfn.TEXTAFTER($D226,"..",,,,1)&lt;&gt;"1","[0]","")</f>
        <v>*/GoodsShipment[0]/GoodsShipmentItem[0]/Buyer/Address/streetAndNumber</v>
      </c>
    </row>
    <row r="227" spans="1:17" ht="12" customHeight="1" outlineLevel="5" x14ac:dyDescent="0.35">
      <c r="A227" s="2" t="str">
        <f>$E$2</f>
        <v>CC429B</v>
      </c>
      <c r="B227" s="1">
        <v>5</v>
      </c>
      <c r="C227" s="1" t="s">
        <v>19</v>
      </c>
      <c r="D227" s="2" t="s">
        <v>30</v>
      </c>
      <c r="E227" s="13" t="s">
        <v>91</v>
      </c>
      <c r="F227" s="7" t="s">
        <v>92</v>
      </c>
      <c r="G227" s="2" t="s">
        <v>396</v>
      </c>
      <c r="I227" s="2" t="s">
        <v>402</v>
      </c>
      <c r="M227" s="2" t="s">
        <v>93</v>
      </c>
      <c r="P227" s="2" t="s">
        <v>94</v>
      </c>
      <c r="Q227" s="1" t="str">
        <f>IF($B227=0,$M227,_xlfn.TEXTBEFORE(Q226,"/",$B227,,,Q226)&amp;"/"&amp;$M227)&amp;IF(_xlfn.TEXTAFTER($D227,"..",,,,1)&lt;&gt;"1","[0]","")</f>
        <v>*/GoodsShipment[0]/GoodsShipmentItem[0]/Buyer/Address/postcode</v>
      </c>
    </row>
    <row r="228" spans="1:17" ht="12" customHeight="1" outlineLevel="5" x14ac:dyDescent="0.35">
      <c r="A228" s="2" t="str">
        <f>$E$2</f>
        <v>CC429B</v>
      </c>
      <c r="B228" s="1">
        <v>5</v>
      </c>
      <c r="C228" s="1" t="s">
        <v>19</v>
      </c>
      <c r="D228" s="2" t="s">
        <v>25</v>
      </c>
      <c r="E228" s="13" t="s">
        <v>95</v>
      </c>
      <c r="F228" s="7" t="s">
        <v>96</v>
      </c>
      <c r="G228" s="2" t="s">
        <v>27</v>
      </c>
      <c r="M228" s="2" t="s">
        <v>97</v>
      </c>
      <c r="P228" s="2" t="s">
        <v>98</v>
      </c>
      <c r="Q228" s="1" t="str">
        <f>IF($B228=0,$M228,_xlfn.TEXTBEFORE(Q227,"/",$B228,,,Q227)&amp;"/"&amp;$M228)&amp;IF(_xlfn.TEXTAFTER($D228,"..",,,,1)&lt;&gt;"1","[0]","")</f>
        <v>*/GoodsShipment[0]/GoodsShipmentItem[0]/Buyer/Address/city</v>
      </c>
    </row>
    <row r="229" spans="1:17" ht="12" customHeight="1" outlineLevel="5" x14ac:dyDescent="0.35">
      <c r="A229" s="2" t="str">
        <f>$E$2</f>
        <v>CC429B</v>
      </c>
      <c r="B229" s="1">
        <v>5</v>
      </c>
      <c r="C229" s="1" t="s">
        <v>19</v>
      </c>
      <c r="D229" s="2" t="s">
        <v>25</v>
      </c>
      <c r="E229" s="13" t="s">
        <v>99</v>
      </c>
      <c r="F229" s="7" t="s">
        <v>50</v>
      </c>
      <c r="G229" s="2" t="s">
        <v>27</v>
      </c>
      <c r="J229" s="2" t="s">
        <v>403</v>
      </c>
      <c r="M229" s="2" t="s">
        <v>100</v>
      </c>
      <c r="P229" s="2" t="s">
        <v>52</v>
      </c>
      <c r="Q229" s="1" t="str">
        <f>IF($B229=0,$M229,_xlfn.TEXTBEFORE(Q228,"/",$B229,,,Q228)&amp;"/"&amp;$M229)&amp;IF(_xlfn.TEXTAFTER($D229,"..",,,,1)&lt;&gt;"1","[0]","")</f>
        <v>*/GoodsShipment[0]/GoodsShipmentItem[0]/Buyer/Address/country</v>
      </c>
    </row>
    <row r="230" spans="1:17" ht="12" customHeight="1" outlineLevel="3" x14ac:dyDescent="0.35">
      <c r="A230" s="3" t="str">
        <f>$E$2</f>
        <v>CC429B</v>
      </c>
      <c r="B230" s="4">
        <v>3</v>
      </c>
      <c r="C230" s="3" t="s">
        <v>24</v>
      </c>
      <c r="D230" s="3" t="s">
        <v>30</v>
      </c>
      <c r="E230" s="10" t="s">
        <v>203</v>
      </c>
      <c r="F230" s="4"/>
      <c r="G230" s="3" t="s">
        <v>396</v>
      </c>
      <c r="H230" s="3" t="s">
        <v>1272</v>
      </c>
      <c r="I230" s="3" t="s">
        <v>436</v>
      </c>
      <c r="J230" s="4"/>
      <c r="K230" s="4"/>
      <c r="L230" s="4"/>
      <c r="M230" s="3" t="s">
        <v>203</v>
      </c>
      <c r="N230" s="4"/>
      <c r="O230" s="4"/>
      <c r="P230" s="3" t="s">
        <v>204</v>
      </c>
      <c r="Q230" s="1" t="str">
        <f>IF($B230=0,$M230,_xlfn.TEXTBEFORE(Q229,"/",$B230,,,Q229)&amp;"/"&amp;$M230)&amp;IF(_xlfn.TEXTAFTER($D230,"..",,,,1)&lt;&gt;"1","[0]","")</f>
        <v>*/GoodsShipment[0]/GoodsShipmentItem[0]/Seller</v>
      </c>
    </row>
    <row r="231" spans="1:17" ht="12" customHeight="1" outlineLevel="4" x14ac:dyDescent="0.35">
      <c r="A231" s="2" t="str">
        <f>$E$2</f>
        <v>CC429B</v>
      </c>
      <c r="B231" s="1">
        <v>4</v>
      </c>
      <c r="C231" s="1" t="s">
        <v>19</v>
      </c>
      <c r="D231" s="2" t="s">
        <v>30</v>
      </c>
      <c r="E231" s="11" t="s">
        <v>81</v>
      </c>
      <c r="F231" s="7" t="s">
        <v>68</v>
      </c>
      <c r="G231" s="2" t="s">
        <v>22</v>
      </c>
      <c r="H231" s="2" t="s">
        <v>434</v>
      </c>
      <c r="M231" s="2" t="s">
        <v>82</v>
      </c>
      <c r="P231" s="2" t="s">
        <v>70</v>
      </c>
      <c r="Q231" s="1" t="str">
        <f>IF($B231=0,$M231,_xlfn.TEXTBEFORE(Q230,"/",$B231,,,Q230)&amp;"/"&amp;$M231)&amp;IF(_xlfn.TEXTAFTER($D231,"..",,,,1)&lt;&gt;"1","[0]","")</f>
        <v>*/GoodsShipment[0]/GoodsShipmentItem[0]/Seller/identificationNumber</v>
      </c>
    </row>
    <row r="232" spans="1:17" ht="12" customHeight="1" outlineLevel="4" x14ac:dyDescent="0.35">
      <c r="A232" s="2" t="str">
        <f>$E$2</f>
        <v>CC429B</v>
      </c>
      <c r="B232" s="1">
        <v>4</v>
      </c>
      <c r="C232" s="1" t="s">
        <v>19</v>
      </c>
      <c r="D232" s="2" t="s">
        <v>30</v>
      </c>
      <c r="E232" s="11" t="s">
        <v>4</v>
      </c>
      <c r="F232" s="7" t="s">
        <v>83</v>
      </c>
      <c r="G232" s="2" t="s">
        <v>396</v>
      </c>
      <c r="I232" s="2" t="s">
        <v>401</v>
      </c>
      <c r="M232" s="2" t="s">
        <v>84</v>
      </c>
      <c r="P232" s="2" t="s">
        <v>85</v>
      </c>
      <c r="Q232" s="1" t="str">
        <f>IF($B232=0,$M232,_xlfn.TEXTBEFORE(Q231,"/",$B232,,,Q231)&amp;"/"&amp;$M232)&amp;IF(_xlfn.TEXTAFTER($D232,"..",,,,1)&lt;&gt;"1","[0]","")</f>
        <v>*/GoodsShipment[0]/GoodsShipmentItem[0]/Seller/name</v>
      </c>
    </row>
    <row r="233" spans="1:17" ht="12" customHeight="1" outlineLevel="4" x14ac:dyDescent="0.35">
      <c r="A233" s="3" t="str">
        <f>$E$2</f>
        <v>CC429B</v>
      </c>
      <c r="B233" s="4">
        <v>4</v>
      </c>
      <c r="C233" s="3" t="s">
        <v>24</v>
      </c>
      <c r="D233" s="3" t="s">
        <v>30</v>
      </c>
      <c r="E233" s="12" t="s">
        <v>86</v>
      </c>
      <c r="F233" s="4"/>
      <c r="G233" s="3" t="s">
        <v>396</v>
      </c>
      <c r="H233" s="4"/>
      <c r="I233" s="3" t="s">
        <v>401</v>
      </c>
      <c r="J233" s="4"/>
      <c r="K233" s="4"/>
      <c r="L233" s="4"/>
      <c r="M233" s="3" t="s">
        <v>86</v>
      </c>
      <c r="N233" s="4"/>
      <c r="O233" s="4"/>
      <c r="P233" s="3" t="s">
        <v>87</v>
      </c>
      <c r="Q233" s="1" t="str">
        <f>IF($B233=0,$M233,_xlfn.TEXTBEFORE(Q232,"/",$B233,,,Q232)&amp;"/"&amp;$M233)&amp;IF(_xlfn.TEXTAFTER($D233,"..",,,,1)&lt;&gt;"1","[0]","")</f>
        <v>*/GoodsShipment[0]/GoodsShipmentItem[0]/Seller/Address</v>
      </c>
    </row>
    <row r="234" spans="1:17" ht="12" customHeight="1" outlineLevel="5" x14ac:dyDescent="0.35">
      <c r="A234" s="2" t="str">
        <f>$E$2</f>
        <v>CC429B</v>
      </c>
      <c r="B234" s="1">
        <v>5</v>
      </c>
      <c r="C234" s="1" t="s">
        <v>19</v>
      </c>
      <c r="D234" s="2" t="s">
        <v>25</v>
      </c>
      <c r="E234" s="13" t="s">
        <v>88</v>
      </c>
      <c r="F234" s="7" t="s">
        <v>83</v>
      </c>
      <c r="G234" s="2" t="s">
        <v>27</v>
      </c>
      <c r="M234" s="2" t="s">
        <v>89</v>
      </c>
      <c r="P234" s="2" t="s">
        <v>90</v>
      </c>
      <c r="Q234" s="1" t="str">
        <f>IF($B234=0,$M234,_xlfn.TEXTBEFORE(Q233,"/",$B234,,,Q233)&amp;"/"&amp;$M234)&amp;IF(_xlfn.TEXTAFTER($D234,"..",,,,1)&lt;&gt;"1","[0]","")</f>
        <v>*/GoodsShipment[0]/GoodsShipmentItem[0]/Seller/Address/streetAndNumber</v>
      </c>
    </row>
    <row r="235" spans="1:17" ht="12" customHeight="1" outlineLevel="5" x14ac:dyDescent="0.35">
      <c r="A235" s="2" t="str">
        <f>$E$2</f>
        <v>CC429B</v>
      </c>
      <c r="B235" s="1">
        <v>5</v>
      </c>
      <c r="C235" s="1" t="s">
        <v>19</v>
      </c>
      <c r="D235" s="2" t="s">
        <v>30</v>
      </c>
      <c r="E235" s="13" t="s">
        <v>91</v>
      </c>
      <c r="F235" s="7" t="s">
        <v>92</v>
      </c>
      <c r="G235" s="2" t="s">
        <v>396</v>
      </c>
      <c r="I235" s="2" t="s">
        <v>402</v>
      </c>
      <c r="M235" s="2" t="s">
        <v>93</v>
      </c>
      <c r="P235" s="2" t="s">
        <v>94</v>
      </c>
      <c r="Q235" s="1" t="str">
        <f>IF($B235=0,$M235,_xlfn.TEXTBEFORE(Q234,"/",$B235,,,Q234)&amp;"/"&amp;$M235)&amp;IF(_xlfn.TEXTAFTER($D235,"..",,,,1)&lt;&gt;"1","[0]","")</f>
        <v>*/GoodsShipment[0]/GoodsShipmentItem[0]/Seller/Address/postcode</v>
      </c>
    </row>
    <row r="236" spans="1:17" ht="12" customHeight="1" outlineLevel="5" x14ac:dyDescent="0.35">
      <c r="A236" s="2" t="str">
        <f>$E$2</f>
        <v>CC429B</v>
      </c>
      <c r="B236" s="1">
        <v>5</v>
      </c>
      <c r="C236" s="1" t="s">
        <v>19</v>
      </c>
      <c r="D236" s="2" t="s">
        <v>25</v>
      </c>
      <c r="E236" s="13" t="s">
        <v>95</v>
      </c>
      <c r="F236" s="7" t="s">
        <v>96</v>
      </c>
      <c r="G236" s="2" t="s">
        <v>27</v>
      </c>
      <c r="M236" s="2" t="s">
        <v>97</v>
      </c>
      <c r="P236" s="2" t="s">
        <v>98</v>
      </c>
      <c r="Q236" s="1" t="str">
        <f>IF($B236=0,$M236,_xlfn.TEXTBEFORE(Q235,"/",$B236,,,Q235)&amp;"/"&amp;$M236)&amp;IF(_xlfn.TEXTAFTER($D236,"..",,,,1)&lt;&gt;"1","[0]","")</f>
        <v>*/GoodsShipment[0]/GoodsShipmentItem[0]/Seller/Address/city</v>
      </c>
    </row>
    <row r="237" spans="1:17" ht="12" customHeight="1" outlineLevel="5" x14ac:dyDescent="0.35">
      <c r="A237" s="2" t="str">
        <f>$E$2</f>
        <v>CC429B</v>
      </c>
      <c r="B237" s="1">
        <v>5</v>
      </c>
      <c r="C237" s="1" t="s">
        <v>19</v>
      </c>
      <c r="D237" s="2" t="s">
        <v>25</v>
      </c>
      <c r="E237" s="13" t="s">
        <v>99</v>
      </c>
      <c r="F237" s="7" t="s">
        <v>50</v>
      </c>
      <c r="G237" s="2" t="s">
        <v>27</v>
      </c>
      <c r="J237" s="2" t="s">
        <v>403</v>
      </c>
      <c r="M237" s="2" t="s">
        <v>100</v>
      </c>
      <c r="P237" s="2" t="s">
        <v>52</v>
      </c>
      <c r="Q237" s="1" t="str">
        <f>IF($B237=0,$M237,_xlfn.TEXTBEFORE(Q236,"/",$B237,,,Q236)&amp;"/"&amp;$M237)&amp;IF(_xlfn.TEXTAFTER($D237,"..",,,,1)&lt;&gt;"1","[0]","")</f>
        <v>*/GoodsShipment[0]/GoodsShipmentItem[0]/Seller/Address/country</v>
      </c>
    </row>
    <row r="238" spans="1:17" ht="12" customHeight="1" outlineLevel="3" x14ac:dyDescent="0.35">
      <c r="A238" s="3" t="str">
        <f>$E$2</f>
        <v>CC429B</v>
      </c>
      <c r="B238" s="4">
        <v>3</v>
      </c>
      <c r="C238" s="3" t="s">
        <v>24</v>
      </c>
      <c r="D238" s="3" t="s">
        <v>30</v>
      </c>
      <c r="E238" s="10" t="s">
        <v>205</v>
      </c>
      <c r="F238" s="4"/>
      <c r="G238" s="3" t="s">
        <v>396</v>
      </c>
      <c r="H238" s="3" t="s">
        <v>1275</v>
      </c>
      <c r="I238" s="16" t="s">
        <v>1298</v>
      </c>
      <c r="J238" s="4"/>
      <c r="K238" s="4"/>
      <c r="L238" s="4"/>
      <c r="M238" s="3" t="s">
        <v>205</v>
      </c>
      <c r="N238" s="4"/>
      <c r="O238" s="4"/>
      <c r="P238" s="3" t="s">
        <v>206</v>
      </c>
      <c r="Q238" s="1" t="str">
        <f>IF($B238=0,$M238,_xlfn.TEXTBEFORE(Q237,"/",$B238,,,Q237)&amp;"/"&amp;$M238)&amp;IF(_xlfn.TEXTAFTER($D238,"..",,,,1)&lt;&gt;"1","[0]","")</f>
        <v>*/GoodsShipment[0]/GoodsShipmentItem[0]/Exporter</v>
      </c>
    </row>
    <row r="239" spans="1:17" ht="12" customHeight="1" outlineLevel="4" x14ac:dyDescent="0.35">
      <c r="A239" s="2" t="str">
        <f>$E$2</f>
        <v>CC429B</v>
      </c>
      <c r="B239" s="1">
        <v>4</v>
      </c>
      <c r="C239" s="1" t="s">
        <v>19</v>
      </c>
      <c r="D239" s="2" t="s">
        <v>30</v>
      </c>
      <c r="E239" s="11" t="s">
        <v>81</v>
      </c>
      <c r="F239" s="7" t="s">
        <v>68</v>
      </c>
      <c r="G239" s="2" t="s">
        <v>22</v>
      </c>
      <c r="H239" s="2" t="s">
        <v>434</v>
      </c>
      <c r="M239" s="2" t="s">
        <v>82</v>
      </c>
      <c r="P239" s="2" t="s">
        <v>70</v>
      </c>
      <c r="Q239" s="1" t="str">
        <f>IF($B239=0,$M239,_xlfn.TEXTBEFORE(Q238,"/",$B239,,,Q238)&amp;"/"&amp;$M239)&amp;IF(_xlfn.TEXTAFTER($D239,"..",,,,1)&lt;&gt;"1","[0]","")</f>
        <v>*/GoodsShipment[0]/GoodsShipmentItem[0]/Exporter/identificationNumber</v>
      </c>
    </row>
    <row r="240" spans="1:17" ht="12" customHeight="1" outlineLevel="4" x14ac:dyDescent="0.35">
      <c r="A240" s="2" t="str">
        <f>$E$2</f>
        <v>CC429B</v>
      </c>
      <c r="B240" s="1">
        <v>4</v>
      </c>
      <c r="C240" s="1" t="s">
        <v>19</v>
      </c>
      <c r="D240" s="2" t="s">
        <v>30</v>
      </c>
      <c r="E240" s="11" t="s">
        <v>4</v>
      </c>
      <c r="F240" s="7" t="s">
        <v>83</v>
      </c>
      <c r="G240" s="2" t="s">
        <v>396</v>
      </c>
      <c r="I240" s="2" t="s">
        <v>401</v>
      </c>
      <c r="M240" s="2" t="s">
        <v>84</v>
      </c>
      <c r="P240" s="2" t="s">
        <v>85</v>
      </c>
      <c r="Q240" s="1" t="str">
        <f>IF($B240=0,$M240,_xlfn.TEXTBEFORE(Q239,"/",$B240,,,Q239)&amp;"/"&amp;$M240)&amp;IF(_xlfn.TEXTAFTER($D240,"..",,,,1)&lt;&gt;"1","[0]","")</f>
        <v>*/GoodsShipment[0]/GoodsShipmentItem[0]/Exporter/name</v>
      </c>
    </row>
    <row r="241" spans="1:17" ht="12" customHeight="1" outlineLevel="4" x14ac:dyDescent="0.35">
      <c r="A241" s="3" t="str">
        <f>$E$2</f>
        <v>CC429B</v>
      </c>
      <c r="B241" s="4">
        <v>4</v>
      </c>
      <c r="C241" s="3" t="s">
        <v>24</v>
      </c>
      <c r="D241" s="3" t="s">
        <v>30</v>
      </c>
      <c r="E241" s="12" t="s">
        <v>86</v>
      </c>
      <c r="F241" s="4"/>
      <c r="G241" s="3" t="s">
        <v>396</v>
      </c>
      <c r="H241" s="4"/>
      <c r="I241" s="3" t="s">
        <v>401</v>
      </c>
      <c r="J241" s="4"/>
      <c r="K241" s="4"/>
      <c r="L241" s="4"/>
      <c r="M241" s="3" t="s">
        <v>86</v>
      </c>
      <c r="N241" s="4"/>
      <c r="O241" s="4"/>
      <c r="P241" s="3" t="s">
        <v>87</v>
      </c>
      <c r="Q241" s="1" t="str">
        <f>IF($B241=0,$M241,_xlfn.TEXTBEFORE(Q240,"/",$B241,,,Q240)&amp;"/"&amp;$M241)&amp;IF(_xlfn.TEXTAFTER($D241,"..",,,,1)&lt;&gt;"1","[0]","")</f>
        <v>*/GoodsShipment[0]/GoodsShipmentItem[0]/Exporter/Address</v>
      </c>
    </row>
    <row r="242" spans="1:17" ht="12" customHeight="1" outlineLevel="5" x14ac:dyDescent="0.35">
      <c r="A242" s="2" t="str">
        <f>$E$2</f>
        <v>CC429B</v>
      </c>
      <c r="B242" s="1">
        <v>5</v>
      </c>
      <c r="C242" s="1" t="s">
        <v>19</v>
      </c>
      <c r="D242" s="2" t="s">
        <v>25</v>
      </c>
      <c r="E242" s="13" t="s">
        <v>88</v>
      </c>
      <c r="F242" s="7" t="s">
        <v>83</v>
      </c>
      <c r="G242" s="2" t="s">
        <v>27</v>
      </c>
      <c r="M242" s="2" t="s">
        <v>89</v>
      </c>
      <c r="P242" s="2" t="s">
        <v>90</v>
      </c>
      <c r="Q242" s="1" t="str">
        <f>IF($B242=0,$M242,_xlfn.TEXTBEFORE(Q241,"/",$B242,,,Q241)&amp;"/"&amp;$M242)&amp;IF(_xlfn.TEXTAFTER($D242,"..",,,,1)&lt;&gt;"1","[0]","")</f>
        <v>*/GoodsShipment[0]/GoodsShipmentItem[0]/Exporter/Address/streetAndNumber</v>
      </c>
    </row>
    <row r="243" spans="1:17" ht="12" customHeight="1" outlineLevel="5" x14ac:dyDescent="0.35">
      <c r="A243" s="2" t="str">
        <f>$E$2</f>
        <v>CC429B</v>
      </c>
      <c r="B243" s="1">
        <v>5</v>
      </c>
      <c r="C243" s="1" t="s">
        <v>19</v>
      </c>
      <c r="D243" s="2" t="s">
        <v>30</v>
      </c>
      <c r="E243" s="13" t="s">
        <v>91</v>
      </c>
      <c r="F243" s="7" t="s">
        <v>92</v>
      </c>
      <c r="G243" s="2" t="s">
        <v>396</v>
      </c>
      <c r="I243" s="2" t="s">
        <v>402</v>
      </c>
      <c r="M243" s="2" t="s">
        <v>93</v>
      </c>
      <c r="P243" s="2" t="s">
        <v>94</v>
      </c>
      <c r="Q243" s="1" t="str">
        <f>IF($B243=0,$M243,_xlfn.TEXTBEFORE(Q242,"/",$B243,,,Q242)&amp;"/"&amp;$M243)&amp;IF(_xlfn.TEXTAFTER($D243,"..",,,,1)&lt;&gt;"1","[0]","")</f>
        <v>*/GoodsShipment[0]/GoodsShipmentItem[0]/Exporter/Address/postcode</v>
      </c>
    </row>
    <row r="244" spans="1:17" ht="12" customHeight="1" outlineLevel="5" x14ac:dyDescent="0.35">
      <c r="A244" s="2" t="str">
        <f>$E$2</f>
        <v>CC429B</v>
      </c>
      <c r="B244" s="1">
        <v>5</v>
      </c>
      <c r="C244" s="1" t="s">
        <v>19</v>
      </c>
      <c r="D244" s="2" t="s">
        <v>25</v>
      </c>
      <c r="E244" s="13" t="s">
        <v>95</v>
      </c>
      <c r="F244" s="7" t="s">
        <v>96</v>
      </c>
      <c r="G244" s="2" t="s">
        <v>27</v>
      </c>
      <c r="M244" s="2" t="s">
        <v>97</v>
      </c>
      <c r="P244" s="2" t="s">
        <v>98</v>
      </c>
      <c r="Q244" s="1" t="str">
        <f>IF($B244=0,$M244,_xlfn.TEXTBEFORE(Q243,"/",$B244,,,Q243)&amp;"/"&amp;$M244)&amp;IF(_xlfn.TEXTAFTER($D244,"..",,,,1)&lt;&gt;"1","[0]","")</f>
        <v>*/GoodsShipment[0]/GoodsShipmentItem[0]/Exporter/Address/city</v>
      </c>
    </row>
    <row r="245" spans="1:17" ht="12" customHeight="1" outlineLevel="5" x14ac:dyDescent="0.35">
      <c r="A245" s="2" t="str">
        <f>$E$2</f>
        <v>CC429B</v>
      </c>
      <c r="B245" s="1">
        <v>5</v>
      </c>
      <c r="C245" s="1" t="s">
        <v>19</v>
      </c>
      <c r="D245" s="2" t="s">
        <v>25</v>
      </c>
      <c r="E245" s="13" t="s">
        <v>99</v>
      </c>
      <c r="F245" s="7" t="s">
        <v>50</v>
      </c>
      <c r="G245" s="2" t="s">
        <v>27</v>
      </c>
      <c r="J245" s="2" t="s">
        <v>403</v>
      </c>
      <c r="M245" s="2" t="s">
        <v>100</v>
      </c>
      <c r="P245" s="2" t="s">
        <v>52</v>
      </c>
      <c r="Q245" s="1" t="str">
        <f>IF($B245=0,$M245,_xlfn.TEXTBEFORE(Q244,"/",$B245,,,Q244)&amp;"/"&amp;$M245)&amp;IF(_xlfn.TEXTAFTER($D245,"..",,,,1)&lt;&gt;"1","[0]","")</f>
        <v>*/GoodsShipment[0]/GoodsShipmentItem[0]/Exporter/Address/country</v>
      </c>
    </row>
    <row r="246" spans="1:17" ht="12" customHeight="1" outlineLevel="3" x14ac:dyDescent="0.35">
      <c r="A246" s="3" t="str">
        <f>$E$2</f>
        <v>CC429B</v>
      </c>
      <c r="B246" s="4">
        <v>3</v>
      </c>
      <c r="C246" s="3" t="s">
        <v>24</v>
      </c>
      <c r="D246" s="3" t="s">
        <v>30</v>
      </c>
      <c r="E246" s="10" t="s">
        <v>604</v>
      </c>
      <c r="F246" s="4"/>
      <c r="G246" s="3" t="s">
        <v>396</v>
      </c>
      <c r="H246" s="4"/>
      <c r="I246" s="3" t="s">
        <v>605</v>
      </c>
      <c r="J246" s="4"/>
      <c r="K246" s="4"/>
      <c r="L246" s="4"/>
      <c r="M246" s="3" t="s">
        <v>604</v>
      </c>
      <c r="N246" s="4"/>
      <c r="O246" s="4"/>
      <c r="P246" s="3" t="s">
        <v>606</v>
      </c>
      <c r="Q246" s="1" t="str">
        <f>IF($B246=0,$M246,_xlfn.TEXTBEFORE(Q245,"/",$B246,,,Q245)&amp;"/"&amp;$M246)&amp;IF(_xlfn.TEXTAFTER($D246,"..",,,,1)&lt;&gt;"1","[0]","")</f>
        <v>*/GoodsShipment[0]/GoodsShipmentItem[0]/Origin</v>
      </c>
    </row>
    <row r="247" spans="1:17" ht="12" customHeight="1" outlineLevel="4" x14ac:dyDescent="0.35">
      <c r="A247" s="2" t="str">
        <f>$E$2</f>
        <v>CC429B</v>
      </c>
      <c r="B247" s="1">
        <v>4</v>
      </c>
      <c r="C247" s="1" t="s">
        <v>19</v>
      </c>
      <c r="D247" s="2" t="s">
        <v>30</v>
      </c>
      <c r="E247" s="11" t="s">
        <v>607</v>
      </c>
      <c r="F247" s="7" t="s">
        <v>50</v>
      </c>
      <c r="G247" s="2" t="s">
        <v>396</v>
      </c>
      <c r="H247" s="2" t="s">
        <v>608</v>
      </c>
      <c r="I247" s="2" t="s">
        <v>609</v>
      </c>
      <c r="J247" s="2" t="s">
        <v>468</v>
      </c>
      <c r="M247" s="2" t="s">
        <v>610</v>
      </c>
      <c r="P247" s="2" t="s">
        <v>52</v>
      </c>
      <c r="Q247" s="1" t="str">
        <f>IF($B247=0,$M247,_xlfn.TEXTBEFORE(Q246,"/",$B247,,,Q246)&amp;"/"&amp;$M247)&amp;IF(_xlfn.TEXTAFTER($D247,"..",,,,1)&lt;&gt;"1","[0]","")</f>
        <v>*/GoodsShipment[0]/GoodsShipmentItem[0]/Origin/countryOfOrigin</v>
      </c>
    </row>
    <row r="248" spans="1:17" ht="12" customHeight="1" outlineLevel="4" x14ac:dyDescent="0.35">
      <c r="A248" s="2" t="str">
        <f>$E$2</f>
        <v>CC429B</v>
      </c>
      <c r="B248" s="1">
        <v>4</v>
      </c>
      <c r="C248" s="1" t="s">
        <v>19</v>
      </c>
      <c r="D248" s="2" t="s">
        <v>30</v>
      </c>
      <c r="E248" s="11" t="s">
        <v>611</v>
      </c>
      <c r="F248" s="7" t="s">
        <v>60</v>
      </c>
      <c r="G248" s="2" t="s">
        <v>396</v>
      </c>
      <c r="H248" s="2" t="s">
        <v>427</v>
      </c>
      <c r="I248" s="2" t="s">
        <v>612</v>
      </c>
      <c r="M248" s="2" t="s">
        <v>613</v>
      </c>
      <c r="P248" s="2" t="s">
        <v>614</v>
      </c>
      <c r="Q248" s="1" t="str">
        <f>IF($B248=0,$M248,_xlfn.TEXTBEFORE(Q247,"/",$B248,,,Q247)&amp;"/"&amp;$M248)&amp;IF(_xlfn.TEXTAFTER($D248,"..",,,,1)&lt;&gt;"1","[0]","")</f>
        <v>*/GoodsShipment[0]/GoodsShipmentItem[0]/Origin/countryOfPreferentialOrigin</v>
      </c>
    </row>
    <row r="249" spans="1:17" ht="12" customHeight="1" outlineLevel="3" x14ac:dyDescent="0.35">
      <c r="A249" s="3" t="str">
        <f>$E$2</f>
        <v>CC429B</v>
      </c>
      <c r="B249" s="4">
        <v>3</v>
      </c>
      <c r="C249" s="3" t="s">
        <v>24</v>
      </c>
      <c r="D249" s="3" t="s">
        <v>30</v>
      </c>
      <c r="E249" s="10" t="s">
        <v>464</v>
      </c>
      <c r="F249" s="4"/>
      <c r="G249" s="3" t="s">
        <v>396</v>
      </c>
      <c r="H249" s="3" t="s">
        <v>1272</v>
      </c>
      <c r="I249" s="16" t="s">
        <v>1299</v>
      </c>
      <c r="J249" s="4"/>
      <c r="K249" s="4"/>
      <c r="L249" s="4"/>
      <c r="M249" s="3" t="s">
        <v>465</v>
      </c>
      <c r="N249" s="4"/>
      <c r="O249" s="4"/>
      <c r="P249" s="3" t="s">
        <v>466</v>
      </c>
      <c r="Q249" s="1" t="str">
        <f>IF($B249=0,$M249,_xlfn.TEXTBEFORE(Q248,"/",$B249,,,Q248)&amp;"/"&amp;$M249)&amp;IF(_xlfn.TEXTAFTER($D249,"..",,,,1)&lt;&gt;"1","[0]","")</f>
        <v>*/GoodsShipment[0]/GoodsShipmentItem[0]/CountryOfDispatch</v>
      </c>
    </row>
    <row r="250" spans="1:17" ht="12" customHeight="1" outlineLevel="4" x14ac:dyDescent="0.35">
      <c r="A250" s="2" t="str">
        <f>$E$2</f>
        <v>CC429B</v>
      </c>
      <c r="B250" s="1">
        <v>4</v>
      </c>
      <c r="C250" s="1" t="s">
        <v>19</v>
      </c>
      <c r="D250" s="2" t="s">
        <v>25</v>
      </c>
      <c r="E250" s="11" t="s">
        <v>464</v>
      </c>
      <c r="F250" s="7" t="s">
        <v>50</v>
      </c>
      <c r="G250" s="2" t="s">
        <v>27</v>
      </c>
      <c r="H250" s="2" t="s">
        <v>467</v>
      </c>
      <c r="J250" s="2" t="s">
        <v>468</v>
      </c>
      <c r="M250" s="2" t="s">
        <v>469</v>
      </c>
      <c r="P250" s="2" t="s">
        <v>52</v>
      </c>
      <c r="Q250" s="1" t="str">
        <f>IF($B250=0,$M250,_xlfn.TEXTBEFORE(Q249,"/",$B250,,,Q249)&amp;"/"&amp;$M250)&amp;IF(_xlfn.TEXTAFTER($D250,"..",,,,1)&lt;&gt;"1","[0]","")</f>
        <v>*/GoodsShipment[0]/GoodsShipmentItem[0]/CountryOfDispatch/countryOfDispatch</v>
      </c>
    </row>
    <row r="251" spans="1:17" ht="12" customHeight="1" outlineLevel="3" x14ac:dyDescent="0.35">
      <c r="A251" s="3" t="str">
        <f>$E$2</f>
        <v>CC429B</v>
      </c>
      <c r="B251" s="4">
        <v>3</v>
      </c>
      <c r="C251" s="3" t="s">
        <v>24</v>
      </c>
      <c r="D251" s="3" t="s">
        <v>30</v>
      </c>
      <c r="E251" s="10" t="s">
        <v>470</v>
      </c>
      <c r="F251" s="4"/>
      <c r="G251" s="3" t="s">
        <v>396</v>
      </c>
      <c r="H251" s="3" t="s">
        <v>1300</v>
      </c>
      <c r="I251" s="16" t="s">
        <v>1281</v>
      </c>
      <c r="J251" s="4"/>
      <c r="K251" s="4"/>
      <c r="L251" s="4"/>
      <c r="M251" s="3" t="s">
        <v>470</v>
      </c>
      <c r="N251" s="4"/>
      <c r="O251" s="4"/>
      <c r="P251" s="3" t="s">
        <v>471</v>
      </c>
      <c r="Q251" s="1" t="str">
        <f>IF($B251=0,$M251,_xlfn.TEXTBEFORE(Q250,"/",$B251,,,Q250)&amp;"/"&amp;$M251)&amp;IF(_xlfn.TEXTAFTER($D251,"..",,,,1)&lt;&gt;"1","[0]","")</f>
        <v>*/GoodsShipment[0]/GoodsShipmentItem[0]/Destination</v>
      </c>
    </row>
    <row r="252" spans="1:17" ht="12" customHeight="1" outlineLevel="4" x14ac:dyDescent="0.35">
      <c r="A252" s="2" t="str">
        <f>$E$2</f>
        <v>CC429B</v>
      </c>
      <c r="B252" s="1">
        <v>4</v>
      </c>
      <c r="C252" s="1" t="s">
        <v>19</v>
      </c>
      <c r="D252" s="2" t="s">
        <v>30</v>
      </c>
      <c r="E252" s="11" t="s">
        <v>472</v>
      </c>
      <c r="F252" s="7" t="s">
        <v>50</v>
      </c>
      <c r="G252" s="2" t="s">
        <v>396</v>
      </c>
      <c r="H252" s="2" t="s">
        <v>473</v>
      </c>
      <c r="I252" s="2" t="s">
        <v>474</v>
      </c>
      <c r="J252" s="2" t="s">
        <v>416</v>
      </c>
      <c r="M252" s="2" t="s">
        <v>475</v>
      </c>
      <c r="P252" s="2" t="s">
        <v>52</v>
      </c>
      <c r="Q252" s="1" t="str">
        <f>IF($B252=0,$M252,_xlfn.TEXTBEFORE(Q251,"/",$B252,,,Q251)&amp;"/"&amp;$M252)&amp;IF(_xlfn.TEXTAFTER($D252,"..",,,,1)&lt;&gt;"1","[0]","")</f>
        <v>*/GoodsShipment[0]/GoodsShipmentItem[0]/Destination/countryOfDestination</v>
      </c>
    </row>
    <row r="253" spans="1:17" ht="12" customHeight="1" outlineLevel="4" x14ac:dyDescent="0.35">
      <c r="A253" s="2" t="str">
        <f>$E$2</f>
        <v>CC429B</v>
      </c>
      <c r="B253" s="1">
        <v>4</v>
      </c>
      <c r="C253" s="1" t="s">
        <v>19</v>
      </c>
      <c r="D253" s="2" t="s">
        <v>30</v>
      </c>
      <c r="E253" s="11" t="s">
        <v>476</v>
      </c>
      <c r="F253" s="7" t="s">
        <v>96</v>
      </c>
      <c r="G253" s="2" t="s">
        <v>396</v>
      </c>
      <c r="H253" s="2" t="s">
        <v>477</v>
      </c>
      <c r="I253" s="7" t="s">
        <v>1282</v>
      </c>
      <c r="M253" s="2" t="s">
        <v>478</v>
      </c>
      <c r="P253" s="2" t="s">
        <v>479</v>
      </c>
      <c r="Q253" s="1" t="str">
        <f>IF($B253=0,$M253,_xlfn.TEXTBEFORE(Q252,"/",$B253,,,Q252)&amp;"/"&amp;$M253)&amp;IF(_xlfn.TEXTAFTER($D253,"..",,,,1)&lt;&gt;"1","[0]","")</f>
        <v>*/GoodsShipment[0]/GoodsShipmentItem[0]/Destination/regionOfDestination</v>
      </c>
    </row>
    <row r="254" spans="1:17" ht="12" customHeight="1" outlineLevel="4" x14ac:dyDescent="0.35">
      <c r="A254" s="2" t="str">
        <f>$E$2</f>
        <v>CC429B</v>
      </c>
      <c r="B254" s="1">
        <v>4</v>
      </c>
      <c r="C254" s="1" t="s">
        <v>19</v>
      </c>
      <c r="D254" s="2" t="s">
        <v>30</v>
      </c>
      <c r="E254" s="11" t="s">
        <v>142</v>
      </c>
      <c r="F254" s="7" t="s">
        <v>50</v>
      </c>
      <c r="G254" s="2" t="s">
        <v>396</v>
      </c>
      <c r="H254" s="2" t="s">
        <v>1283</v>
      </c>
      <c r="I254" s="2" t="s">
        <v>480</v>
      </c>
      <c r="J254" s="2" t="s">
        <v>416</v>
      </c>
      <c r="M254" s="2" t="s">
        <v>143</v>
      </c>
      <c r="P254" s="2" t="s">
        <v>52</v>
      </c>
      <c r="Q254" s="1" t="str">
        <f>IF($B254=0,$M254,_xlfn.TEXTBEFORE(Q253,"/",$B254,,,Q253)&amp;"/"&amp;$M254)&amp;IF(_xlfn.TEXTAFTER($D254,"..",,,,1)&lt;&gt;"1","[0]","")</f>
        <v>*/GoodsShipment[0]/GoodsShipmentItem[0]/Destination/ccQualifier</v>
      </c>
    </row>
    <row r="255" spans="1:17" ht="12" customHeight="1" outlineLevel="3" x14ac:dyDescent="0.35">
      <c r="A255" s="3" t="str">
        <f>$E$2</f>
        <v>CC429B</v>
      </c>
      <c r="B255" s="4">
        <v>3</v>
      </c>
      <c r="C255" s="3" t="s">
        <v>24</v>
      </c>
      <c r="D255" s="3" t="s">
        <v>25</v>
      </c>
      <c r="E255" s="10" t="s">
        <v>336</v>
      </c>
      <c r="F255" s="4"/>
      <c r="G255" s="3" t="s">
        <v>27</v>
      </c>
      <c r="H255" s="4"/>
      <c r="I255" s="4"/>
      <c r="J255" s="4"/>
      <c r="K255" s="4"/>
      <c r="L255" s="4"/>
      <c r="M255" s="3" t="s">
        <v>336</v>
      </c>
      <c r="N255" s="4"/>
      <c r="O255" s="4"/>
      <c r="P255" s="3" t="s">
        <v>1504</v>
      </c>
      <c r="Q255" s="1" t="str">
        <f>IF($B255=0,$M255,_xlfn.TEXTBEFORE(Q254,"/",$B255,,,Q254)&amp;"/"&amp;$M255)&amp;IF(_xlfn.TEXTAFTER($D255,"..",,,,1)&lt;&gt;"1","[0]","")</f>
        <v>*/GoodsShipment[0]/GoodsShipmentItem[0]/Commodity</v>
      </c>
    </row>
    <row r="256" spans="1:17" ht="12" customHeight="1" outlineLevel="4" x14ac:dyDescent="0.35">
      <c r="A256" s="2" t="str">
        <f>$E$2</f>
        <v>CC429B</v>
      </c>
      <c r="B256" s="1">
        <v>4</v>
      </c>
      <c r="C256" s="1" t="s">
        <v>19</v>
      </c>
      <c r="D256" s="2" t="s">
        <v>25</v>
      </c>
      <c r="E256" s="11" t="s">
        <v>338</v>
      </c>
      <c r="F256" s="7" t="s">
        <v>216</v>
      </c>
      <c r="G256" s="2" t="s">
        <v>27</v>
      </c>
      <c r="M256" s="2" t="s">
        <v>339</v>
      </c>
      <c r="P256" s="2" t="s">
        <v>218</v>
      </c>
      <c r="Q256" s="1" t="str">
        <f>IF($B256=0,$M256,_xlfn.TEXTBEFORE(Q255,"/",$B256,,,Q255)&amp;"/"&amp;$M256)&amp;IF(_xlfn.TEXTAFTER($D256,"..",,,,1)&lt;&gt;"1","[0]","")</f>
        <v>*/GoodsShipment[0]/GoodsShipmentItem[0]/Commodity/descriptionOfGoods</v>
      </c>
    </row>
    <row r="257" spans="1:17" ht="12" customHeight="1" outlineLevel="4" x14ac:dyDescent="0.35">
      <c r="A257" s="2" t="str">
        <f>$E$2</f>
        <v>CC429B</v>
      </c>
      <c r="B257" s="1">
        <v>4</v>
      </c>
      <c r="C257" s="1" t="s">
        <v>19</v>
      </c>
      <c r="D257" s="2" t="s">
        <v>30</v>
      </c>
      <c r="E257" s="11" t="s">
        <v>617</v>
      </c>
      <c r="F257" s="7" t="s">
        <v>618</v>
      </c>
      <c r="G257" s="2" t="s">
        <v>22</v>
      </c>
      <c r="H257" s="2" t="s">
        <v>619</v>
      </c>
      <c r="J257" s="2" t="s">
        <v>620</v>
      </c>
      <c r="M257" s="2" t="s">
        <v>621</v>
      </c>
      <c r="P257" s="2" t="s">
        <v>622</v>
      </c>
      <c r="Q257" s="1" t="str">
        <f>IF($B257=0,$M257,_xlfn.TEXTBEFORE(Q256,"/",$B257,,,Q256)&amp;"/"&amp;$M257)&amp;IF(_xlfn.TEXTAFTER($D257,"..",,,,1)&lt;&gt;"1","[0]","")</f>
        <v>*/GoodsShipment[0]/GoodsShipmentItem[0]/Commodity/CUSCode</v>
      </c>
    </row>
    <row r="258" spans="1:17" ht="12" customHeight="1" outlineLevel="4" x14ac:dyDescent="0.35">
      <c r="A258" s="2" t="str">
        <f>$E$2</f>
        <v>CC429B</v>
      </c>
      <c r="B258" s="1">
        <v>4</v>
      </c>
      <c r="C258" s="1" t="s">
        <v>19</v>
      </c>
      <c r="D258" s="2" t="s">
        <v>30</v>
      </c>
      <c r="E258" s="11" t="s">
        <v>623</v>
      </c>
      <c r="F258" s="7" t="s">
        <v>624</v>
      </c>
      <c r="G258" s="2" t="s">
        <v>22</v>
      </c>
      <c r="M258" s="2" t="s">
        <v>625</v>
      </c>
      <c r="P258" s="2" t="s">
        <v>626</v>
      </c>
      <c r="Q258" s="1" t="str">
        <f>IF($B258=0,$M258,_xlfn.TEXTBEFORE(Q257,"/",$B258,,,Q257)&amp;"/"&amp;$M258)&amp;IF(_xlfn.TEXTAFTER($D258,"..",,,,1)&lt;&gt;"1","[0]","")</f>
        <v>*/GoodsShipment[0]/GoodsShipmentItem[0]/Commodity/quotaOrderNumber</v>
      </c>
    </row>
    <row r="259" spans="1:17" ht="12" customHeight="1" outlineLevel="4" x14ac:dyDescent="0.35">
      <c r="A259" s="3" t="str">
        <f>$E$2</f>
        <v>CC429B</v>
      </c>
      <c r="B259" s="4">
        <v>4</v>
      </c>
      <c r="C259" s="3" t="s">
        <v>24</v>
      </c>
      <c r="D259" s="3" t="s">
        <v>30</v>
      </c>
      <c r="E259" s="12" t="s">
        <v>627</v>
      </c>
      <c r="F259" s="4"/>
      <c r="G259" s="3" t="s">
        <v>396</v>
      </c>
      <c r="H259" s="3" t="s">
        <v>1301</v>
      </c>
      <c r="I259" s="16" t="s">
        <v>1302</v>
      </c>
      <c r="J259" s="4"/>
      <c r="K259" s="4"/>
      <c r="L259" s="4"/>
      <c r="M259" s="3" t="s">
        <v>629</v>
      </c>
      <c r="N259" s="4"/>
      <c r="O259" s="4"/>
      <c r="P259" s="3" t="s">
        <v>1505</v>
      </c>
      <c r="Q259" s="1" t="str">
        <f>IF($B259=0,$M259,_xlfn.TEXTBEFORE(Q258,"/",$B259,,,Q258)&amp;"/"&amp;$M259)&amp;IF(_xlfn.TEXTAFTER($D259,"..",,,,1)&lt;&gt;"1","[0]","")</f>
        <v>*/GoodsShipment[0]/GoodsShipmentItem[0]/Commodity/CommodityCode</v>
      </c>
    </row>
    <row r="260" spans="1:17" ht="12" customHeight="1" outlineLevel="5" x14ac:dyDescent="0.35">
      <c r="A260" s="2" t="str">
        <f>$E$2</f>
        <v>CC429B</v>
      </c>
      <c r="B260" s="1">
        <v>5</v>
      </c>
      <c r="C260" s="1" t="s">
        <v>19</v>
      </c>
      <c r="D260" s="2" t="s">
        <v>25</v>
      </c>
      <c r="E260" s="13" t="s">
        <v>631</v>
      </c>
      <c r="F260" s="7" t="s">
        <v>624</v>
      </c>
      <c r="G260" s="2" t="s">
        <v>27</v>
      </c>
      <c r="J260" s="2" t="s">
        <v>632</v>
      </c>
      <c r="M260" s="2" t="s">
        <v>633</v>
      </c>
      <c r="P260" s="2" t="s">
        <v>634</v>
      </c>
      <c r="Q260" s="1" t="str">
        <f>IF($B260=0,$M260,_xlfn.TEXTBEFORE(Q259,"/",$B260,,,Q259)&amp;"/"&amp;$M260)&amp;IF(_xlfn.TEXTAFTER($D260,"..",,,,1)&lt;&gt;"1","[0]","")</f>
        <v>*/GoodsShipment[0]/GoodsShipmentItem[0]/Commodity/CommodityCode/harmonizedSystemSubheadingCode</v>
      </c>
    </row>
    <row r="261" spans="1:17" ht="12" customHeight="1" outlineLevel="5" x14ac:dyDescent="0.35">
      <c r="A261" s="2" t="str">
        <f>$E$2</f>
        <v>CC429B</v>
      </c>
      <c r="B261" s="1">
        <v>5</v>
      </c>
      <c r="C261" s="1" t="s">
        <v>19</v>
      </c>
      <c r="D261" s="2" t="s">
        <v>25</v>
      </c>
      <c r="E261" s="13" t="s">
        <v>635</v>
      </c>
      <c r="F261" s="7" t="s">
        <v>325</v>
      </c>
      <c r="G261" s="2" t="s">
        <v>27</v>
      </c>
      <c r="M261" s="2" t="s">
        <v>636</v>
      </c>
      <c r="P261" s="2" t="s">
        <v>637</v>
      </c>
      <c r="Q261" s="1" t="str">
        <f>IF($B261=0,$M261,_xlfn.TEXTBEFORE(Q260,"/",$B261,,,Q260)&amp;"/"&amp;$M261)&amp;IF(_xlfn.TEXTAFTER($D261,"..",,,,1)&lt;&gt;"1","[0]","")</f>
        <v>*/GoodsShipment[0]/GoodsShipmentItem[0]/Commodity/CommodityCode/combinedNomenclatureCode</v>
      </c>
    </row>
    <row r="262" spans="1:17" ht="12" customHeight="1" outlineLevel="5" x14ac:dyDescent="0.35">
      <c r="A262" s="2" t="str">
        <f>$E$2</f>
        <v>CC429B</v>
      </c>
      <c r="B262" s="1">
        <v>5</v>
      </c>
      <c r="C262" s="1" t="s">
        <v>19</v>
      </c>
      <c r="D262" s="2" t="s">
        <v>30</v>
      </c>
      <c r="E262" s="13" t="s">
        <v>638</v>
      </c>
      <c r="F262" s="7" t="s">
        <v>325</v>
      </c>
      <c r="G262" s="2" t="s">
        <v>396</v>
      </c>
      <c r="I262" s="2" t="s">
        <v>639</v>
      </c>
      <c r="M262" s="2" t="s">
        <v>640</v>
      </c>
      <c r="P262" s="2" t="s">
        <v>641</v>
      </c>
      <c r="Q262" s="1" t="str">
        <f>IF($B262=0,$M262,_xlfn.TEXTBEFORE(Q261,"/",$B262,,,Q261)&amp;"/"&amp;$M262)&amp;IF(_xlfn.TEXTAFTER($D262,"..",,,,1)&lt;&gt;"1","[0]","")</f>
        <v>*/GoodsShipment[0]/GoodsShipmentItem[0]/Commodity/CommodityCode/taricCode</v>
      </c>
    </row>
    <row r="263" spans="1:17" ht="12" customHeight="1" outlineLevel="5" x14ac:dyDescent="0.35">
      <c r="A263" s="3" t="str">
        <f>$E$2</f>
        <v>CC429B</v>
      </c>
      <c r="B263" s="4">
        <v>5</v>
      </c>
      <c r="C263" s="3" t="s">
        <v>24</v>
      </c>
      <c r="D263" s="3" t="s">
        <v>193</v>
      </c>
      <c r="E263" s="17" t="s">
        <v>642</v>
      </c>
      <c r="F263" s="4"/>
      <c r="G263" s="3" t="s">
        <v>396</v>
      </c>
      <c r="H263" s="3" t="s">
        <v>643</v>
      </c>
      <c r="I263" s="16" t="s">
        <v>758</v>
      </c>
      <c r="J263" s="4"/>
      <c r="K263" s="4"/>
      <c r="L263" s="4"/>
      <c r="M263" s="3" t="s">
        <v>644</v>
      </c>
      <c r="N263" s="4"/>
      <c r="O263" s="4"/>
      <c r="P263" s="3" t="s">
        <v>645</v>
      </c>
      <c r="Q263" s="1" t="str">
        <f>IF($B263=0,$M263,_xlfn.TEXTBEFORE(Q262,"/",$B263,,,Q262)&amp;"/"&amp;$M263)&amp;IF(_xlfn.TEXTAFTER($D263,"..",,,,1)&lt;&gt;"1","[0]","")</f>
        <v>*/GoodsShipment[0]/GoodsShipmentItem[0]/Commodity/CommodityCode/TaricAdditionalCode[0]</v>
      </c>
    </row>
    <row r="264" spans="1:17" ht="12" customHeight="1" outlineLevel="6" x14ac:dyDescent="0.35">
      <c r="A264" s="2" t="str">
        <f>$E$2</f>
        <v>CC429B</v>
      </c>
      <c r="B264" s="1">
        <v>6</v>
      </c>
      <c r="C264" s="1" t="s">
        <v>19</v>
      </c>
      <c r="D264" s="2" t="s">
        <v>25</v>
      </c>
      <c r="E264" s="18" t="s">
        <v>56</v>
      </c>
      <c r="F264" s="7" t="s">
        <v>57</v>
      </c>
      <c r="G264" s="2" t="s">
        <v>27</v>
      </c>
      <c r="H264" s="2" t="s">
        <v>393</v>
      </c>
      <c r="M264" s="2" t="s">
        <v>58</v>
      </c>
      <c r="P264" s="2" t="s">
        <v>59</v>
      </c>
      <c r="Q264" s="1" t="str">
        <f>IF($B264=0,$M264,_xlfn.TEXTBEFORE(Q263,"/",$B264,,,Q263)&amp;"/"&amp;$M264)&amp;IF(_xlfn.TEXTAFTER($D264,"..",,,,1)&lt;&gt;"1","[0]","")</f>
        <v>*/GoodsShipment[0]/GoodsShipmentItem[0]/Commodity/CommodityCode/TaricAdditionalCode[0]/sequenceNumber</v>
      </c>
    </row>
    <row r="265" spans="1:17" ht="12" customHeight="1" outlineLevel="6" x14ac:dyDescent="0.35">
      <c r="A265" s="2" t="str">
        <f>$E$2</f>
        <v>CC429B</v>
      </c>
      <c r="B265" s="1">
        <v>6</v>
      </c>
      <c r="C265" s="1" t="s">
        <v>19</v>
      </c>
      <c r="D265" s="2" t="s">
        <v>25</v>
      </c>
      <c r="E265" s="18" t="s">
        <v>642</v>
      </c>
      <c r="F265" s="7" t="s">
        <v>306</v>
      </c>
      <c r="G265" s="2" t="s">
        <v>27</v>
      </c>
      <c r="M265" s="2" t="s">
        <v>646</v>
      </c>
      <c r="P265" s="2" t="s">
        <v>647</v>
      </c>
      <c r="Q265" s="1" t="str">
        <f>IF($B265=0,$M265,_xlfn.TEXTBEFORE(Q264,"/",$B265,,,Q264)&amp;"/"&amp;$M265)&amp;IF(_xlfn.TEXTAFTER($D265,"..",,,,1)&lt;&gt;"1","[0]","")</f>
        <v>*/GoodsShipment[0]/GoodsShipmentItem[0]/Commodity/CommodityCode/TaricAdditionalCode[0]/taricAdditionalCode</v>
      </c>
    </row>
    <row r="266" spans="1:17" ht="12" customHeight="1" outlineLevel="5" x14ac:dyDescent="0.35">
      <c r="A266" s="3" t="str">
        <f>$E$2</f>
        <v>CC429B</v>
      </c>
      <c r="B266" s="4">
        <v>5</v>
      </c>
      <c r="C266" s="3" t="s">
        <v>24</v>
      </c>
      <c r="D266" s="3" t="s">
        <v>193</v>
      </c>
      <c r="E266" s="17" t="s">
        <v>648</v>
      </c>
      <c r="F266" s="4"/>
      <c r="G266" s="3" t="s">
        <v>22</v>
      </c>
      <c r="H266" s="3" t="s">
        <v>477</v>
      </c>
      <c r="I266" s="4"/>
      <c r="J266" s="4"/>
      <c r="K266" s="4"/>
      <c r="L266" s="4"/>
      <c r="M266" s="3" t="s">
        <v>649</v>
      </c>
      <c r="N266" s="4"/>
      <c r="O266" s="4"/>
      <c r="P266" s="3" t="s">
        <v>650</v>
      </c>
      <c r="Q266" s="1" t="str">
        <f>IF($B266=0,$M266,_xlfn.TEXTBEFORE(Q265,"/",$B266,,,Q265)&amp;"/"&amp;$M266)&amp;IF(_xlfn.TEXTAFTER($D266,"..",,,,1)&lt;&gt;"1","[0]","")</f>
        <v>*/GoodsShipment[0]/GoodsShipmentItem[0]/Commodity/CommodityCode/NationalAdditionalCode[0]</v>
      </c>
    </row>
    <row r="267" spans="1:17" ht="12" customHeight="1" outlineLevel="6" x14ac:dyDescent="0.35">
      <c r="A267" s="2" t="str">
        <f>$E$2</f>
        <v>CC429B</v>
      </c>
      <c r="B267" s="1">
        <v>6</v>
      </c>
      <c r="C267" s="1" t="s">
        <v>19</v>
      </c>
      <c r="D267" s="2" t="s">
        <v>25</v>
      </c>
      <c r="E267" s="18" t="s">
        <v>56</v>
      </c>
      <c r="F267" s="7" t="s">
        <v>57</v>
      </c>
      <c r="G267" s="2" t="s">
        <v>27</v>
      </c>
      <c r="H267" s="2" t="s">
        <v>393</v>
      </c>
      <c r="M267" s="2" t="s">
        <v>58</v>
      </c>
      <c r="P267" s="2" t="s">
        <v>59</v>
      </c>
      <c r="Q267" s="1" t="str">
        <f>IF($B267=0,$M267,_xlfn.TEXTBEFORE(Q266,"/",$B267,,,Q266)&amp;"/"&amp;$M267)&amp;IF(_xlfn.TEXTAFTER($D267,"..",,,,1)&lt;&gt;"1","[0]","")</f>
        <v>*/GoodsShipment[0]/GoodsShipmentItem[0]/Commodity/CommodityCode/NationalAdditionalCode[0]/sequenceNumber</v>
      </c>
    </row>
    <row r="268" spans="1:17" ht="12" customHeight="1" outlineLevel="6" x14ac:dyDescent="0.35">
      <c r="A268" s="2" t="str">
        <f>$E$2</f>
        <v>CC429B</v>
      </c>
      <c r="B268" s="1">
        <v>6</v>
      </c>
      <c r="C268" s="1" t="s">
        <v>19</v>
      </c>
      <c r="D268" s="2" t="s">
        <v>25</v>
      </c>
      <c r="E268" s="18" t="s">
        <v>648</v>
      </c>
      <c r="F268" s="7" t="s">
        <v>60</v>
      </c>
      <c r="G268" s="2" t="s">
        <v>27</v>
      </c>
      <c r="H268" s="2" t="s">
        <v>477</v>
      </c>
      <c r="M268" s="2" t="s">
        <v>651</v>
      </c>
      <c r="P268" s="2" t="s">
        <v>652</v>
      </c>
      <c r="Q268" s="1" t="str">
        <f>IF($B268=0,$M268,_xlfn.TEXTBEFORE(Q267,"/",$B268,,,Q267)&amp;"/"&amp;$M268)&amp;IF(_xlfn.TEXTAFTER($D268,"..",,,,1)&lt;&gt;"1","[0]","")</f>
        <v>*/GoodsShipment[0]/GoodsShipmentItem[0]/Commodity/CommodityCode/NationalAdditionalCode[0]/nationalAdditionalCode</v>
      </c>
    </row>
    <row r="269" spans="1:17" ht="12" customHeight="1" outlineLevel="6" x14ac:dyDescent="0.35">
      <c r="A269" s="2" t="str">
        <f>$E$2</f>
        <v>CC429B</v>
      </c>
      <c r="B269" s="1">
        <v>6</v>
      </c>
      <c r="C269" s="1" t="s">
        <v>19</v>
      </c>
      <c r="D269" s="2" t="s">
        <v>30</v>
      </c>
      <c r="E269" s="18" t="s">
        <v>142</v>
      </c>
      <c r="F269" s="7" t="s">
        <v>50</v>
      </c>
      <c r="G269" s="2" t="s">
        <v>396</v>
      </c>
      <c r="H269" s="2" t="s">
        <v>492</v>
      </c>
      <c r="I269" s="2" t="s">
        <v>493</v>
      </c>
      <c r="J269" s="2" t="s">
        <v>416</v>
      </c>
      <c r="M269" s="2" t="s">
        <v>143</v>
      </c>
      <c r="P269" s="2" t="s">
        <v>52</v>
      </c>
      <c r="Q269" s="1" t="str">
        <f>IF($B269=0,$M269,_xlfn.TEXTBEFORE(Q268,"/",$B269,,,Q268)&amp;"/"&amp;$M269)&amp;IF(_xlfn.TEXTAFTER($D269,"..",,,,1)&lt;&gt;"1","[0]","")</f>
        <v>*/GoodsShipment[0]/GoodsShipmentItem[0]/Commodity/CommodityCode/NationalAdditionalCode[0]/ccQualifier</v>
      </c>
    </row>
    <row r="270" spans="1:17" ht="12" customHeight="1" outlineLevel="4" x14ac:dyDescent="0.35">
      <c r="A270" s="3" t="str">
        <f>$E$2</f>
        <v>CC429B</v>
      </c>
      <c r="B270" s="4">
        <v>4</v>
      </c>
      <c r="C270" s="3" t="s">
        <v>24</v>
      </c>
      <c r="D270" s="3" t="s">
        <v>25</v>
      </c>
      <c r="E270" s="12" t="s">
        <v>340</v>
      </c>
      <c r="F270" s="4"/>
      <c r="G270" s="3" t="s">
        <v>27</v>
      </c>
      <c r="H270" s="4"/>
      <c r="I270" s="4"/>
      <c r="J270" s="4"/>
      <c r="K270" s="4"/>
      <c r="L270" s="4"/>
      <c r="M270" s="3" t="s">
        <v>341</v>
      </c>
      <c r="N270" s="4"/>
      <c r="O270" s="4"/>
      <c r="P270" s="3" t="s">
        <v>1303</v>
      </c>
      <c r="Q270" s="1" t="str">
        <f>IF($B270=0,$M270,_xlfn.TEXTBEFORE(Q269,"/",$B270,,,Q269)&amp;"/"&amp;$M270)&amp;IF(_xlfn.TEXTAFTER($D270,"..",,,,1)&lt;&gt;"1","[0]","")</f>
        <v>*/GoodsShipment[0]/GoodsShipmentItem[0]/Commodity/GoodsMeasure</v>
      </c>
    </row>
    <row r="271" spans="1:17" ht="12" customHeight="1" outlineLevel="5" x14ac:dyDescent="0.35">
      <c r="A271" s="2" t="str">
        <f>$E$2</f>
        <v>CC429B</v>
      </c>
      <c r="B271" s="1">
        <v>5</v>
      </c>
      <c r="C271" s="1" t="s">
        <v>19</v>
      </c>
      <c r="D271" s="2" t="s">
        <v>30</v>
      </c>
      <c r="E271" s="13" t="s">
        <v>310</v>
      </c>
      <c r="F271" s="7" t="s">
        <v>311</v>
      </c>
      <c r="G271" s="2" t="s">
        <v>22</v>
      </c>
      <c r="H271" s="2" t="s">
        <v>551</v>
      </c>
      <c r="M271" s="2" t="s">
        <v>312</v>
      </c>
      <c r="P271" s="2" t="s">
        <v>313</v>
      </c>
      <c r="Q271" s="1" t="str">
        <f>IF($B271=0,$M271,_xlfn.TEXTBEFORE(Q270,"/",$B271,,,Q270)&amp;"/"&amp;$M271)&amp;IF(_xlfn.TEXTAFTER($D271,"..",,,,1)&lt;&gt;"1","[0]","")</f>
        <v>*/GoodsShipment[0]/GoodsShipmentItem[0]/Commodity/GoodsMeasure/grossMass</v>
      </c>
    </row>
    <row r="272" spans="1:17" ht="12" customHeight="1" outlineLevel="5" x14ac:dyDescent="0.35">
      <c r="A272" s="2" t="str">
        <f>$E$2</f>
        <v>CC429B</v>
      </c>
      <c r="B272" s="1">
        <v>5</v>
      </c>
      <c r="C272" s="1" t="s">
        <v>19</v>
      </c>
      <c r="D272" s="2" t="s">
        <v>30</v>
      </c>
      <c r="E272" s="13" t="s">
        <v>655</v>
      </c>
      <c r="F272" s="7" t="s">
        <v>311</v>
      </c>
      <c r="G272" s="2" t="s">
        <v>396</v>
      </c>
      <c r="H272" s="2" t="s">
        <v>1304</v>
      </c>
      <c r="I272" s="7" t="s">
        <v>1305</v>
      </c>
      <c r="M272" s="2" t="s">
        <v>657</v>
      </c>
      <c r="P272" s="2" t="s">
        <v>313</v>
      </c>
      <c r="Q272" s="1" t="str">
        <f>IF($B272=0,$M272,_xlfn.TEXTBEFORE(Q271,"/",$B272,,,Q271)&amp;"/"&amp;$M272)&amp;IF(_xlfn.TEXTAFTER($D272,"..",,,,1)&lt;&gt;"1","[0]","")</f>
        <v>*/GoodsShipment[0]/GoodsShipmentItem[0]/Commodity/GoodsMeasure/netMass</v>
      </c>
    </row>
    <row r="273" spans="1:17" ht="12" customHeight="1" outlineLevel="5" x14ac:dyDescent="0.35">
      <c r="A273" s="2" t="str">
        <f>$E$2</f>
        <v>CC429B</v>
      </c>
      <c r="B273" s="1">
        <v>5</v>
      </c>
      <c r="C273" s="1" t="s">
        <v>19</v>
      </c>
      <c r="D273" s="2" t="s">
        <v>30</v>
      </c>
      <c r="E273" s="13" t="s">
        <v>658</v>
      </c>
      <c r="F273" s="7" t="s">
        <v>311</v>
      </c>
      <c r="G273" s="2" t="s">
        <v>396</v>
      </c>
      <c r="H273" s="2" t="s">
        <v>427</v>
      </c>
      <c r="I273" s="7" t="s">
        <v>1306</v>
      </c>
      <c r="M273" s="2" t="s">
        <v>659</v>
      </c>
      <c r="P273" s="2" t="s">
        <v>313</v>
      </c>
      <c r="Q273" s="1" t="str">
        <f>IF($B273=0,$M273,_xlfn.TEXTBEFORE(Q272,"/",$B273,,,Q272)&amp;"/"&amp;$M273)&amp;IF(_xlfn.TEXTAFTER($D273,"..",,,,1)&lt;&gt;"1","[0]","")</f>
        <v>*/GoodsShipment[0]/GoodsShipmentItem[0]/Commodity/GoodsMeasure/supplementaryUnits</v>
      </c>
    </row>
    <row r="274" spans="1:17" ht="12" customHeight="1" outlineLevel="4" x14ac:dyDescent="0.35">
      <c r="A274" s="3" t="str">
        <f>$E$2</f>
        <v>CC429B</v>
      </c>
      <c r="B274" s="4">
        <v>4</v>
      </c>
      <c r="C274" s="3" t="s">
        <v>24</v>
      </c>
      <c r="D274" s="3" t="s">
        <v>30</v>
      </c>
      <c r="E274" s="12" t="s">
        <v>660</v>
      </c>
      <c r="F274" s="4"/>
      <c r="G274" s="3" t="s">
        <v>396</v>
      </c>
      <c r="H274" s="3" t="s">
        <v>661</v>
      </c>
      <c r="I274" s="16" t="s">
        <v>1307</v>
      </c>
      <c r="J274" s="4"/>
      <c r="K274" s="4"/>
      <c r="L274" s="4"/>
      <c r="M274" s="3" t="s">
        <v>663</v>
      </c>
      <c r="N274" s="4"/>
      <c r="O274" s="4"/>
      <c r="P274" s="3" t="s">
        <v>664</v>
      </c>
      <c r="Q274" s="1" t="str">
        <f>IF($B274=0,$M274,_xlfn.TEXTBEFORE(Q273,"/",$B274,,,Q273)&amp;"/"&amp;$M274)&amp;IF(_xlfn.TEXTAFTER($D274,"..",,,,1)&lt;&gt;"1","[0]","")</f>
        <v>*/GoodsShipment[0]/GoodsShipmentItem[0]/Commodity/InvoiceLine</v>
      </c>
    </row>
    <row r="275" spans="1:17" ht="12" customHeight="1" outlineLevel="5" x14ac:dyDescent="0.35">
      <c r="A275" s="2" t="str">
        <f>$E$2</f>
        <v>CC429B</v>
      </c>
      <c r="B275" s="1">
        <v>5</v>
      </c>
      <c r="C275" s="1" t="s">
        <v>19</v>
      </c>
      <c r="D275" s="2" t="s">
        <v>25</v>
      </c>
      <c r="E275" s="13" t="s">
        <v>665</v>
      </c>
      <c r="F275" s="7" t="s">
        <v>152</v>
      </c>
      <c r="G275" s="2" t="s">
        <v>27</v>
      </c>
      <c r="H275" s="2" t="s">
        <v>419</v>
      </c>
      <c r="M275" s="2" t="s">
        <v>666</v>
      </c>
      <c r="P275" s="2" t="s">
        <v>154</v>
      </c>
      <c r="Q275" s="1" t="str">
        <f>IF($B275=0,$M275,_xlfn.TEXTBEFORE(Q274,"/",$B275,,,Q274)&amp;"/"&amp;$M275)&amp;IF(_xlfn.TEXTAFTER($D275,"..",,,,1)&lt;&gt;"1","[0]","")</f>
        <v>*/GoodsShipment[0]/GoodsShipmentItem[0]/Commodity/InvoiceLine/itemAmountInvoiced</v>
      </c>
    </row>
    <row r="276" spans="1:17" ht="12" customHeight="1" outlineLevel="4" x14ac:dyDescent="0.35">
      <c r="A276" s="3" t="str">
        <f>$E$2</f>
        <v>CC429B</v>
      </c>
      <c r="B276" s="4">
        <v>4</v>
      </c>
      <c r="C276" s="3" t="s">
        <v>24</v>
      </c>
      <c r="D276" s="3" t="s">
        <v>30</v>
      </c>
      <c r="E276" s="12" t="s">
        <v>667</v>
      </c>
      <c r="F276" s="4"/>
      <c r="G276" s="3" t="s">
        <v>396</v>
      </c>
      <c r="H276" s="4"/>
      <c r="I276" s="3" t="s">
        <v>1264</v>
      </c>
      <c r="J276" s="4"/>
      <c r="K276" s="4"/>
      <c r="L276" s="4"/>
      <c r="M276" s="3" t="s">
        <v>669</v>
      </c>
      <c r="N276" s="4"/>
      <c r="O276" s="4"/>
      <c r="P276" s="3" t="s">
        <v>1506</v>
      </c>
      <c r="Q276" s="1" t="str">
        <f>IF($B276=0,$M276,_xlfn.TEXTBEFORE(Q275,"/",$B276,,,Q275)&amp;"/"&amp;$M276)&amp;IF(_xlfn.TEXTAFTER($D276,"..",,,,1)&lt;&gt;"1","[0]","")</f>
        <v>*/GoodsShipment[0]/GoodsShipmentItem[0]/Commodity/CalculationOfTaxes</v>
      </c>
    </row>
    <row r="277" spans="1:17" ht="12" customHeight="1" outlineLevel="5" x14ac:dyDescent="0.35">
      <c r="A277" s="2" t="str">
        <f>$E$2</f>
        <v>CC429B</v>
      </c>
      <c r="B277" s="1">
        <v>5</v>
      </c>
      <c r="C277" s="1" t="s">
        <v>19</v>
      </c>
      <c r="D277" s="2" t="s">
        <v>30</v>
      </c>
      <c r="E277" s="13" t="s">
        <v>671</v>
      </c>
      <c r="F277" s="7" t="s">
        <v>672</v>
      </c>
      <c r="G277" s="2" t="s">
        <v>396</v>
      </c>
      <c r="H277" s="2" t="s">
        <v>673</v>
      </c>
      <c r="I277" s="2" t="s">
        <v>668</v>
      </c>
      <c r="J277" s="2" t="s">
        <v>674</v>
      </c>
      <c r="M277" s="2" t="s">
        <v>675</v>
      </c>
      <c r="P277" s="2" t="s">
        <v>676</v>
      </c>
      <c r="Q277" s="1" t="str">
        <f>IF($B277=0,$M277,_xlfn.TEXTBEFORE(Q276,"/",$B277,,,Q276)&amp;"/"&amp;$M277)&amp;IF(_xlfn.TEXTAFTER($D277,"..",,,,1)&lt;&gt;"1","[0]","")</f>
        <v>*/GoodsShipment[0]/GoodsShipmentItem[0]/Commodity/CalculationOfTaxes/preference</v>
      </c>
    </row>
    <row r="278" spans="1:17" ht="12" customHeight="1" outlineLevel="5" x14ac:dyDescent="0.35">
      <c r="A278" s="2" t="str">
        <f>$E$2</f>
        <v>CC429B</v>
      </c>
      <c r="B278" s="1">
        <v>5</v>
      </c>
      <c r="C278" s="1" t="s">
        <v>19</v>
      </c>
      <c r="D278" s="2" t="s">
        <v>30</v>
      </c>
      <c r="E278" s="13" t="s">
        <v>677</v>
      </c>
      <c r="F278" s="7" t="s">
        <v>152</v>
      </c>
      <c r="G278" s="2" t="s">
        <v>22</v>
      </c>
      <c r="H278" s="2" t="s">
        <v>680</v>
      </c>
      <c r="M278" s="2" t="s">
        <v>678</v>
      </c>
      <c r="P278" s="2" t="s">
        <v>154</v>
      </c>
      <c r="Q278" s="1" t="str">
        <f>IF($B278=0,$M278,_xlfn.TEXTBEFORE(Q277,"/",$B278,,,Q277)&amp;"/"&amp;$M278)&amp;IF(_xlfn.TEXTAFTER($D278,"..",,,,1)&lt;&gt;"1","[0]","")</f>
        <v>*/GoodsShipment[0]/GoodsShipmentItem[0]/Commodity/CalculationOfTaxes/totalDutiesAndTaxesAmount</v>
      </c>
    </row>
    <row r="279" spans="1:17" ht="12" customHeight="1" outlineLevel="5" x14ac:dyDescent="0.35">
      <c r="A279" s="3" t="str">
        <f>$E$2</f>
        <v>CC429B</v>
      </c>
      <c r="B279" s="4">
        <v>5</v>
      </c>
      <c r="C279" s="3" t="s">
        <v>24</v>
      </c>
      <c r="D279" s="3" t="s">
        <v>193</v>
      </c>
      <c r="E279" s="17" t="s">
        <v>679</v>
      </c>
      <c r="F279" s="4"/>
      <c r="G279" s="3" t="s">
        <v>396</v>
      </c>
      <c r="H279" s="3" t="s">
        <v>1308</v>
      </c>
      <c r="I279" s="16" t="s">
        <v>1309</v>
      </c>
      <c r="J279" s="4"/>
      <c r="K279" s="4"/>
      <c r="L279" s="4"/>
      <c r="M279" s="3" t="s">
        <v>681</v>
      </c>
      <c r="N279" s="4"/>
      <c r="O279" s="4"/>
      <c r="P279" s="3" t="s">
        <v>1507</v>
      </c>
      <c r="Q279" s="1" t="str">
        <f>IF($B279=0,$M279,_xlfn.TEXTBEFORE(Q278,"/",$B279,,,Q278)&amp;"/"&amp;$M279)&amp;IF(_xlfn.TEXTAFTER($D279,"..",,,,1)&lt;&gt;"1","[0]","")</f>
        <v>*/GoodsShipment[0]/GoodsShipmentItem[0]/Commodity/CalculationOfTaxes/DutiesAndTaxes[0]</v>
      </c>
    </row>
    <row r="280" spans="1:17" ht="12" customHeight="1" outlineLevel="6" x14ac:dyDescent="0.35">
      <c r="A280" s="2" t="str">
        <f>$E$2</f>
        <v>CC429B</v>
      </c>
      <c r="B280" s="1">
        <v>6</v>
      </c>
      <c r="C280" s="1" t="s">
        <v>19</v>
      </c>
      <c r="D280" s="2" t="s">
        <v>25</v>
      </c>
      <c r="E280" s="18" t="s">
        <v>56</v>
      </c>
      <c r="F280" s="7" t="s">
        <v>57</v>
      </c>
      <c r="G280" s="2" t="s">
        <v>27</v>
      </c>
      <c r="H280" s="2" t="s">
        <v>393</v>
      </c>
      <c r="M280" s="2" t="s">
        <v>58</v>
      </c>
      <c r="P280" s="2" t="s">
        <v>59</v>
      </c>
      <c r="Q280" s="1" t="str">
        <f>IF($B280=0,$M280,_xlfn.TEXTBEFORE(Q279,"/",$B280,,,Q279)&amp;"/"&amp;$M280)&amp;IF(_xlfn.TEXTAFTER($D280,"..",,,,1)&lt;&gt;"1","[0]","")</f>
        <v>*/GoodsShipment[0]/GoodsShipmentItem[0]/Commodity/CalculationOfTaxes/DutiesAndTaxes[0]/sequenceNumber</v>
      </c>
    </row>
    <row r="281" spans="1:17" ht="12" customHeight="1" outlineLevel="6" x14ac:dyDescent="0.35">
      <c r="A281" s="2" t="str">
        <f>$E$2</f>
        <v>CC429B</v>
      </c>
      <c r="B281" s="1">
        <v>6</v>
      </c>
      <c r="C281" s="1" t="s">
        <v>19</v>
      </c>
      <c r="D281" s="2" t="s">
        <v>25</v>
      </c>
      <c r="E281" s="18" t="s">
        <v>683</v>
      </c>
      <c r="F281" s="7" t="s">
        <v>333</v>
      </c>
      <c r="G281" s="2" t="s">
        <v>27</v>
      </c>
      <c r="H281" s="2" t="s">
        <v>680</v>
      </c>
      <c r="J281" s="2" t="s">
        <v>684</v>
      </c>
      <c r="M281" s="2" t="s">
        <v>685</v>
      </c>
      <c r="P281" s="2" t="s">
        <v>686</v>
      </c>
      <c r="Q281" s="1" t="str">
        <f>IF($B281=0,$M281,_xlfn.TEXTBEFORE(Q280,"/",$B281,,,Q280)&amp;"/"&amp;$M281)&amp;IF(_xlfn.TEXTAFTER($D281,"..",,,,1)&lt;&gt;"1","[0]","")</f>
        <v>*/GoodsShipment[0]/GoodsShipmentItem[0]/Commodity/CalculationOfTaxes/DutiesAndTaxes[0]/taxType</v>
      </c>
    </row>
    <row r="282" spans="1:17" ht="12" customHeight="1" outlineLevel="6" x14ac:dyDescent="0.35">
      <c r="A282" s="2" t="str">
        <f>$E$2</f>
        <v>CC429B</v>
      </c>
      <c r="B282" s="1">
        <v>6</v>
      </c>
      <c r="C282" s="1" t="s">
        <v>19</v>
      </c>
      <c r="D282" s="2" t="s">
        <v>30</v>
      </c>
      <c r="E282" s="18" t="s">
        <v>142</v>
      </c>
      <c r="F282" s="7" t="s">
        <v>50</v>
      </c>
      <c r="G282" s="2" t="s">
        <v>396</v>
      </c>
      <c r="H282" s="2" t="s">
        <v>492</v>
      </c>
      <c r="I282" s="2" t="s">
        <v>493</v>
      </c>
      <c r="J282" s="2" t="s">
        <v>416</v>
      </c>
      <c r="M282" s="2" t="s">
        <v>143</v>
      </c>
      <c r="P282" s="2" t="s">
        <v>52</v>
      </c>
      <c r="Q282" s="1" t="str">
        <f>IF($B282=0,$M282,_xlfn.TEXTBEFORE(Q281,"/",$B282,,,Q281)&amp;"/"&amp;$M282)&amp;IF(_xlfn.TEXTAFTER($D282,"..",,,,1)&lt;&gt;"1","[0]","")</f>
        <v>*/GoodsShipment[0]/GoodsShipmentItem[0]/Commodity/CalculationOfTaxes/DutiesAndTaxes[0]/ccQualifier</v>
      </c>
    </row>
    <row r="283" spans="1:17" ht="12" customHeight="1" outlineLevel="6" x14ac:dyDescent="0.35">
      <c r="A283" s="2" t="str">
        <f>$E$2</f>
        <v>CC429B</v>
      </c>
      <c r="B283" s="1">
        <v>6</v>
      </c>
      <c r="C283" s="1" t="s">
        <v>19</v>
      </c>
      <c r="D283" s="2" t="s">
        <v>25</v>
      </c>
      <c r="E283" s="18" t="s">
        <v>687</v>
      </c>
      <c r="F283" s="7" t="s">
        <v>152</v>
      </c>
      <c r="G283" s="2" t="s">
        <v>27</v>
      </c>
      <c r="H283" s="2" t="s">
        <v>705</v>
      </c>
      <c r="M283" s="2" t="s">
        <v>688</v>
      </c>
      <c r="P283" s="2" t="s">
        <v>154</v>
      </c>
      <c r="Q283" s="1" t="str">
        <f>IF($B283=0,$M283,_xlfn.TEXTBEFORE(Q282,"/",$B283,,,Q282)&amp;"/"&amp;$M283)&amp;IF(_xlfn.TEXTAFTER($D283,"..",,,,1)&lt;&gt;"1","[0]","")</f>
        <v>*/GoodsShipment[0]/GoodsShipmentItem[0]/Commodity/CalculationOfTaxes/DutiesAndTaxes[0]/payableTaxAmount</v>
      </c>
    </row>
    <row r="284" spans="1:17" ht="12" customHeight="1" outlineLevel="6" x14ac:dyDescent="0.35">
      <c r="A284" s="2" t="str">
        <f>$E$2</f>
        <v>CC429B</v>
      </c>
      <c r="B284" s="1">
        <v>6</v>
      </c>
      <c r="C284" s="1" t="s">
        <v>19</v>
      </c>
      <c r="D284" s="2" t="s">
        <v>25</v>
      </c>
      <c r="E284" s="18" t="s">
        <v>689</v>
      </c>
      <c r="F284" s="7" t="s">
        <v>44</v>
      </c>
      <c r="G284" s="2" t="s">
        <v>27</v>
      </c>
      <c r="H284" s="2" t="s">
        <v>690</v>
      </c>
      <c r="J284" s="2" t="s">
        <v>691</v>
      </c>
      <c r="M284" s="2" t="s">
        <v>692</v>
      </c>
      <c r="P284" s="2" t="s">
        <v>693</v>
      </c>
      <c r="Q284" s="1" t="str">
        <f>IF($B284=0,$M284,_xlfn.TEXTBEFORE(Q283,"/",$B284,,,Q283)&amp;"/"&amp;$M284)&amp;IF(_xlfn.TEXTAFTER($D284,"..",,,,1)&lt;&gt;"1","[0]","")</f>
        <v>*/GoodsShipment[0]/GoodsShipmentItem[0]/Commodity/CalculationOfTaxes/DutiesAndTaxes[0]/methodOfPayment</v>
      </c>
    </row>
    <row r="285" spans="1:17" ht="12" customHeight="1" outlineLevel="6" x14ac:dyDescent="0.35">
      <c r="A285" s="3" t="str">
        <f>$E$2</f>
        <v>CC429B</v>
      </c>
      <c r="B285" s="4">
        <v>6</v>
      </c>
      <c r="C285" s="3" t="s">
        <v>24</v>
      </c>
      <c r="D285" s="3" t="s">
        <v>193</v>
      </c>
      <c r="E285" s="19" t="s">
        <v>694</v>
      </c>
      <c r="F285" s="4"/>
      <c r="G285" s="3" t="s">
        <v>396</v>
      </c>
      <c r="H285" s="3" t="s">
        <v>1308</v>
      </c>
      <c r="I285" s="16" t="s">
        <v>1309</v>
      </c>
      <c r="J285" s="4"/>
      <c r="K285" s="4"/>
      <c r="L285" s="4"/>
      <c r="M285" s="3" t="s">
        <v>695</v>
      </c>
      <c r="N285" s="4"/>
      <c r="O285" s="4"/>
      <c r="P285" s="3" t="s">
        <v>1508</v>
      </c>
      <c r="Q285" s="1" t="str">
        <f>IF($B285=0,$M285,_xlfn.TEXTBEFORE(Q284,"/",$B285,,,Q284)&amp;"/"&amp;$M285)&amp;IF(_xlfn.TEXTAFTER($D285,"..",,,,1)&lt;&gt;"1","[0]","")</f>
        <v>*/GoodsShipment[0]/GoodsShipmentItem[0]/Commodity/CalculationOfTaxes/DutiesAndTaxes[0]/TaxBase[0]</v>
      </c>
    </row>
    <row r="286" spans="1:17" ht="12" customHeight="1" outlineLevel="7" x14ac:dyDescent="0.35">
      <c r="A286" s="2" t="str">
        <f>$E$2</f>
        <v>CC429B</v>
      </c>
      <c r="B286" s="1">
        <v>7</v>
      </c>
      <c r="C286" s="1" t="s">
        <v>19</v>
      </c>
      <c r="D286" s="2" t="s">
        <v>25</v>
      </c>
      <c r="E286" s="20" t="s">
        <v>56</v>
      </c>
      <c r="F286" s="7" t="s">
        <v>57</v>
      </c>
      <c r="G286" s="2" t="s">
        <v>27</v>
      </c>
      <c r="H286" s="2" t="s">
        <v>393</v>
      </c>
      <c r="M286" s="2" t="s">
        <v>58</v>
      </c>
      <c r="P286" s="2" t="s">
        <v>59</v>
      </c>
      <c r="Q286" s="1" t="str">
        <f>IF($B286=0,$M286,_xlfn.TEXTBEFORE(Q285,"/",$B286,,,Q285)&amp;"/"&amp;$M286)&amp;IF(_xlfn.TEXTAFTER($D286,"..",,,,1)&lt;&gt;"1","[0]","")</f>
        <v>*/GoodsShipment[0]/GoodsShipmentItem[0]/Commodity/CalculationOfTaxes/DutiesAndTaxes[0]/TaxBase[0]/sequenceNumber</v>
      </c>
    </row>
    <row r="287" spans="1:17" ht="12" customHeight="1" outlineLevel="7" x14ac:dyDescent="0.35">
      <c r="A287" s="2" t="str">
        <f>$E$2</f>
        <v>CC429B</v>
      </c>
      <c r="B287" s="1">
        <v>7</v>
      </c>
      <c r="C287" s="1" t="s">
        <v>19</v>
      </c>
      <c r="D287" s="2" t="s">
        <v>30</v>
      </c>
      <c r="E287" s="20" t="s">
        <v>697</v>
      </c>
      <c r="F287" s="7" t="s">
        <v>698</v>
      </c>
      <c r="G287" s="2" t="s">
        <v>22</v>
      </c>
      <c r="H287" s="2" t="s">
        <v>680</v>
      </c>
      <c r="M287" s="2" t="s">
        <v>699</v>
      </c>
      <c r="P287" s="2" t="s">
        <v>700</v>
      </c>
      <c r="Q287" s="1" t="str">
        <f>IF($B287=0,$M287,_xlfn.TEXTBEFORE(Q286,"/",$B287,,,Q286)&amp;"/"&amp;$M287)&amp;IF(_xlfn.TEXTAFTER($D287,"..",,,,1)&lt;&gt;"1","[0]","")</f>
        <v>*/GoodsShipment[0]/GoodsShipmentItem[0]/Commodity/CalculationOfTaxes/DutiesAndTaxes[0]/TaxBase[0]/taxRate</v>
      </c>
    </row>
    <row r="288" spans="1:17" ht="12" customHeight="1" outlineLevel="7" x14ac:dyDescent="0.35">
      <c r="A288" s="2" t="str">
        <f>$E$2</f>
        <v>CC429B</v>
      </c>
      <c r="B288" s="1">
        <v>7</v>
      </c>
      <c r="C288" s="1" t="s">
        <v>19</v>
      </c>
      <c r="D288" s="2" t="s">
        <v>30</v>
      </c>
      <c r="E288" s="20" t="s">
        <v>353</v>
      </c>
      <c r="F288" s="7" t="s">
        <v>60</v>
      </c>
      <c r="G288" s="2" t="s">
        <v>396</v>
      </c>
      <c r="H288" s="2" t="s">
        <v>477</v>
      </c>
      <c r="I288" s="2" t="s">
        <v>701</v>
      </c>
      <c r="M288" s="2" t="s">
        <v>354</v>
      </c>
      <c r="P288" s="2" t="s">
        <v>355</v>
      </c>
      <c r="Q288" s="1" t="str">
        <f>IF($B288=0,$M288,_xlfn.TEXTBEFORE(Q287,"/",$B288,,,Q287)&amp;"/"&amp;$M288)&amp;IF(_xlfn.TEXTAFTER($D288,"..",,,,1)&lt;&gt;"1","[0]","")</f>
        <v>*/GoodsShipment[0]/GoodsShipmentItem[0]/Commodity/CalculationOfTaxes/DutiesAndTaxes[0]/TaxBase[0]/measurementUnitAndQualifier</v>
      </c>
    </row>
    <row r="289" spans="1:17" ht="12" customHeight="1" outlineLevel="7" x14ac:dyDescent="0.35">
      <c r="A289" s="2" t="str">
        <f>$E$2</f>
        <v>CC429B</v>
      </c>
      <c r="B289" s="1">
        <v>7</v>
      </c>
      <c r="C289" s="1" t="s">
        <v>19</v>
      </c>
      <c r="D289" s="2" t="s">
        <v>30</v>
      </c>
      <c r="E289" s="20" t="s">
        <v>356</v>
      </c>
      <c r="F289" s="7" t="s">
        <v>50</v>
      </c>
      <c r="G289" s="2" t="s">
        <v>396</v>
      </c>
      <c r="H289" s="2" t="s">
        <v>512</v>
      </c>
      <c r="I289" s="2" t="s">
        <v>493</v>
      </c>
      <c r="J289" s="2" t="s">
        <v>416</v>
      </c>
      <c r="M289" s="2" t="s">
        <v>357</v>
      </c>
      <c r="P289" s="2" t="s">
        <v>52</v>
      </c>
      <c r="Q289" s="1" t="str">
        <f>IF($B289=0,$M289,_xlfn.TEXTBEFORE(Q288,"/",$B289,,,Q288)&amp;"/"&amp;$M289)&amp;IF(_xlfn.TEXTAFTER($D289,"..",,,,1)&lt;&gt;"1","[0]","")</f>
        <v>*/GoodsShipment[0]/GoodsShipmentItem[0]/Commodity/CalculationOfTaxes/DutiesAndTaxes[0]/TaxBase[0]/ccQualifierForMeasurementUnitAndQualifier</v>
      </c>
    </row>
    <row r="290" spans="1:17" ht="12" customHeight="1" outlineLevel="7" x14ac:dyDescent="0.35">
      <c r="A290" s="2" t="str">
        <f>$E$2</f>
        <v>CC429B</v>
      </c>
      <c r="B290" s="1">
        <v>7</v>
      </c>
      <c r="C290" s="1" t="s">
        <v>19</v>
      </c>
      <c r="D290" s="2" t="s">
        <v>30</v>
      </c>
      <c r="E290" s="20" t="s">
        <v>358</v>
      </c>
      <c r="F290" s="7" t="s">
        <v>311</v>
      </c>
      <c r="G290" s="2" t="s">
        <v>396</v>
      </c>
      <c r="I290" s="2" t="s">
        <v>702</v>
      </c>
      <c r="M290" s="2" t="s">
        <v>359</v>
      </c>
      <c r="P290" s="2" t="s">
        <v>313</v>
      </c>
      <c r="Q290" s="1" t="str">
        <f>IF($B290=0,$M290,_xlfn.TEXTBEFORE(Q289,"/",$B290,,,Q289)&amp;"/"&amp;$M290)&amp;IF(_xlfn.TEXTAFTER($D290,"..",,,,1)&lt;&gt;"1","[0]","")</f>
        <v>*/GoodsShipment[0]/GoodsShipmentItem[0]/Commodity/CalculationOfTaxes/DutiesAndTaxes[0]/TaxBase[0]/quantity</v>
      </c>
    </row>
    <row r="291" spans="1:17" ht="12" customHeight="1" outlineLevel="7" x14ac:dyDescent="0.35">
      <c r="A291" s="2" t="str">
        <f>$E$2</f>
        <v>CC429B</v>
      </c>
      <c r="B291" s="1">
        <v>7</v>
      </c>
      <c r="C291" s="1" t="s">
        <v>19</v>
      </c>
      <c r="D291" s="2" t="s">
        <v>30</v>
      </c>
      <c r="E291" s="20" t="s">
        <v>524</v>
      </c>
      <c r="F291" s="7" t="s">
        <v>181</v>
      </c>
      <c r="G291" s="2" t="s">
        <v>396</v>
      </c>
      <c r="I291" s="2" t="s">
        <v>703</v>
      </c>
      <c r="M291" s="2" t="s">
        <v>525</v>
      </c>
      <c r="P291" s="2" t="s">
        <v>183</v>
      </c>
      <c r="Q291" s="1" t="str">
        <f>IF($B291=0,$M291,_xlfn.TEXTBEFORE(Q290,"/",$B291,,,Q290)&amp;"/"&amp;$M291)&amp;IF(_xlfn.TEXTAFTER($D291,"..",,,,1)&lt;&gt;"1","[0]","")</f>
        <v>*/GoodsShipment[0]/GoodsShipmentItem[0]/Commodity/CalculationOfTaxes/DutiesAndTaxes[0]/TaxBase[0]/amount</v>
      </c>
    </row>
    <row r="292" spans="1:17" ht="12" customHeight="1" outlineLevel="7" x14ac:dyDescent="0.35">
      <c r="A292" s="2" t="str">
        <f>$E$2</f>
        <v>CC429B</v>
      </c>
      <c r="B292" s="1">
        <v>7</v>
      </c>
      <c r="C292" s="1" t="s">
        <v>19</v>
      </c>
      <c r="D292" s="2" t="s">
        <v>30</v>
      </c>
      <c r="E292" s="20" t="s">
        <v>704</v>
      </c>
      <c r="F292" s="7" t="s">
        <v>181</v>
      </c>
      <c r="G292" s="2" t="s">
        <v>22</v>
      </c>
      <c r="H292" s="2" t="s">
        <v>705</v>
      </c>
      <c r="M292" s="2" t="s">
        <v>706</v>
      </c>
      <c r="P292" s="2" t="s">
        <v>183</v>
      </c>
      <c r="Q292" s="1" t="str">
        <f>IF($B292=0,$M292,_xlfn.TEXTBEFORE(Q291,"/",$B292,,,Q291)&amp;"/"&amp;$M292)&amp;IF(_xlfn.TEXTAFTER($D292,"..",,,,1)&lt;&gt;"1","[0]","")</f>
        <v>*/GoodsShipment[0]/GoodsShipmentItem[0]/Commodity/CalculationOfTaxes/DutiesAndTaxes[0]/TaxBase[0]/taxAmount</v>
      </c>
    </row>
    <row r="293" spans="1:17" ht="12" customHeight="1" outlineLevel="3" x14ac:dyDescent="0.35">
      <c r="A293" s="3" t="str">
        <f>$E$2</f>
        <v>CC429B</v>
      </c>
      <c r="B293" s="4">
        <v>3</v>
      </c>
      <c r="C293" s="3" t="s">
        <v>24</v>
      </c>
      <c r="D293" s="3" t="s">
        <v>193</v>
      </c>
      <c r="E293" s="10" t="s">
        <v>343</v>
      </c>
      <c r="F293" s="4"/>
      <c r="G293" s="3" t="s">
        <v>396</v>
      </c>
      <c r="H293" s="4"/>
      <c r="I293" s="3" t="s">
        <v>1310</v>
      </c>
      <c r="J293" s="4"/>
      <c r="K293" s="4"/>
      <c r="L293" s="4"/>
      <c r="M293" s="3" t="s">
        <v>343</v>
      </c>
      <c r="N293" s="4"/>
      <c r="O293" s="4"/>
      <c r="P293" s="3" t="s">
        <v>1509</v>
      </c>
      <c r="Q293" s="1" t="str">
        <f>IF($B293=0,$M293,_xlfn.TEXTBEFORE(Q292,"/",$B293,,,Q292)&amp;"/"&amp;$M293)&amp;IF(_xlfn.TEXTAFTER($D293,"..",,,,1)&lt;&gt;"1","[0]","")</f>
        <v>*/GoodsShipment[0]/GoodsShipmentItem[0]/Packaging[0]</v>
      </c>
    </row>
    <row r="294" spans="1:17" ht="12" customHeight="1" outlineLevel="4" x14ac:dyDescent="0.35">
      <c r="A294" s="2" t="str">
        <f>$E$2</f>
        <v>CC429B</v>
      </c>
      <c r="B294" s="1">
        <v>4</v>
      </c>
      <c r="C294" s="1" t="s">
        <v>19</v>
      </c>
      <c r="D294" s="2" t="s">
        <v>25</v>
      </c>
      <c r="E294" s="11" t="s">
        <v>56</v>
      </c>
      <c r="F294" s="7" t="s">
        <v>57</v>
      </c>
      <c r="G294" s="2" t="s">
        <v>27</v>
      </c>
      <c r="H294" s="2" t="s">
        <v>393</v>
      </c>
      <c r="M294" s="2" t="s">
        <v>58</v>
      </c>
      <c r="P294" s="2" t="s">
        <v>59</v>
      </c>
      <c r="Q294" s="1" t="str">
        <f>IF($B294=0,$M294,_xlfn.TEXTBEFORE(Q293,"/",$B294,,,Q293)&amp;"/"&amp;$M294)&amp;IF(_xlfn.TEXTAFTER($D294,"..",,,,1)&lt;&gt;"1","[0]","")</f>
        <v>*/GoodsShipment[0]/GoodsShipmentItem[0]/Packaging[0]/sequenceNumber</v>
      </c>
    </row>
    <row r="295" spans="1:17" ht="12" customHeight="1" outlineLevel="4" x14ac:dyDescent="0.35">
      <c r="A295" s="2" t="str">
        <f>$E$2</f>
        <v>CC429B</v>
      </c>
      <c r="B295" s="1">
        <v>4</v>
      </c>
      <c r="C295" s="1" t="s">
        <v>19</v>
      </c>
      <c r="D295" s="2" t="s">
        <v>25</v>
      </c>
      <c r="E295" s="11" t="s">
        <v>345</v>
      </c>
      <c r="F295" s="7" t="s">
        <v>325</v>
      </c>
      <c r="G295" s="2" t="s">
        <v>27</v>
      </c>
      <c r="J295" s="2" t="s">
        <v>708</v>
      </c>
      <c r="M295" s="2" t="s">
        <v>346</v>
      </c>
      <c r="P295" s="2" t="s">
        <v>347</v>
      </c>
      <c r="Q295" s="1" t="str">
        <f>IF($B295=0,$M295,_xlfn.TEXTBEFORE(Q294,"/",$B295,,,Q294)&amp;"/"&amp;$M295)&amp;IF(_xlfn.TEXTAFTER($D295,"..",,,,1)&lt;&gt;"1","[0]","")</f>
        <v>*/GoodsShipment[0]/GoodsShipmentItem[0]/Packaging[0]/typeOfPackages</v>
      </c>
    </row>
    <row r="296" spans="1:17" ht="12" customHeight="1" outlineLevel="4" x14ac:dyDescent="0.35">
      <c r="A296" s="2" t="str">
        <f>$E$2</f>
        <v>CC429B</v>
      </c>
      <c r="B296" s="1">
        <v>4</v>
      </c>
      <c r="C296" s="1" t="s">
        <v>19</v>
      </c>
      <c r="D296" s="2" t="s">
        <v>30</v>
      </c>
      <c r="E296" s="11" t="s">
        <v>348</v>
      </c>
      <c r="F296" s="7" t="s">
        <v>349</v>
      </c>
      <c r="G296" s="2" t="s">
        <v>396</v>
      </c>
      <c r="H296" s="2" t="s">
        <v>419</v>
      </c>
      <c r="I296" s="2" t="s">
        <v>709</v>
      </c>
      <c r="M296" s="2" t="s">
        <v>350</v>
      </c>
      <c r="P296" s="2" t="s">
        <v>351</v>
      </c>
      <c r="Q296" s="1" t="str">
        <f>IF($B296=0,$M296,_xlfn.TEXTBEFORE(Q295,"/",$B296,,,Q295)&amp;"/"&amp;$M296)&amp;IF(_xlfn.TEXTAFTER($D296,"..",,,,1)&lt;&gt;"1","[0]","")</f>
        <v>*/GoodsShipment[0]/GoodsShipmentItem[0]/Packaging[0]/numberOfPackages</v>
      </c>
    </row>
    <row r="297" spans="1:17" ht="12" customHeight="1" outlineLevel="4" x14ac:dyDescent="0.35">
      <c r="A297" s="2" t="str">
        <f>$E$2</f>
        <v>CC429B</v>
      </c>
      <c r="B297" s="1">
        <v>4</v>
      </c>
      <c r="C297" s="1" t="s">
        <v>19</v>
      </c>
      <c r="D297" s="2" t="s">
        <v>30</v>
      </c>
      <c r="E297" s="11" t="s">
        <v>710</v>
      </c>
      <c r="F297" s="7" t="s">
        <v>216</v>
      </c>
      <c r="G297" s="2" t="s">
        <v>396</v>
      </c>
      <c r="H297" s="2" t="s">
        <v>1311</v>
      </c>
      <c r="I297" s="7" t="s">
        <v>1312</v>
      </c>
      <c r="M297" s="2" t="s">
        <v>712</v>
      </c>
      <c r="P297" s="2" t="s">
        <v>218</v>
      </c>
      <c r="Q297" s="1" t="str">
        <f>IF($B297=0,$M297,_xlfn.TEXTBEFORE(Q296,"/",$B297,,,Q296)&amp;"/"&amp;$M297)&amp;IF(_xlfn.TEXTAFTER($D297,"..",,,,1)&lt;&gt;"1","[0]","")</f>
        <v>*/GoodsShipment[0]/GoodsShipmentItem[0]/Packaging[0]/shippingMarks</v>
      </c>
    </row>
    <row r="298" spans="1:17" ht="12" customHeight="1" outlineLevel="3" x14ac:dyDescent="0.35">
      <c r="A298" s="3" t="str">
        <f>$E$2</f>
        <v>CC429B</v>
      </c>
      <c r="B298" s="4">
        <v>3</v>
      </c>
      <c r="C298" s="3" t="s">
        <v>24</v>
      </c>
      <c r="D298" s="3" t="s">
        <v>193</v>
      </c>
      <c r="E298" s="10" t="s">
        <v>303</v>
      </c>
      <c r="F298" s="4"/>
      <c r="G298" s="3" t="s">
        <v>22</v>
      </c>
      <c r="H298" s="3" t="s">
        <v>595</v>
      </c>
      <c r="I298" s="4"/>
      <c r="J298" s="4"/>
      <c r="K298" s="4"/>
      <c r="L298" s="4"/>
      <c r="M298" s="3" t="s">
        <v>304</v>
      </c>
      <c r="N298" s="4"/>
      <c r="O298" s="4"/>
      <c r="P298" s="3" t="s">
        <v>713</v>
      </c>
      <c r="Q298" s="1" t="str">
        <f>IF($B298=0,$M298,_xlfn.TEXTBEFORE(Q297,"/",$B298,,,Q297)&amp;"/"&amp;$M298)&amp;IF(_xlfn.TEXTAFTER($D298,"..",,,,1)&lt;&gt;"1","[0]","")</f>
        <v>*/GoodsShipment[0]/GoodsShipmentItem[0]/PreviousDocument[0]</v>
      </c>
    </row>
    <row r="299" spans="1:17" ht="12" customHeight="1" outlineLevel="4" x14ac:dyDescent="0.35">
      <c r="A299" s="2" t="str">
        <f>$E$2</f>
        <v>CC429B</v>
      </c>
      <c r="B299" s="1">
        <v>4</v>
      </c>
      <c r="C299" s="1" t="s">
        <v>19</v>
      </c>
      <c r="D299" s="2" t="s">
        <v>25</v>
      </c>
      <c r="E299" s="11" t="s">
        <v>56</v>
      </c>
      <c r="F299" s="7" t="s">
        <v>57</v>
      </c>
      <c r="G299" s="2" t="s">
        <v>27</v>
      </c>
      <c r="H299" s="2" t="s">
        <v>393</v>
      </c>
      <c r="M299" s="2" t="s">
        <v>58</v>
      </c>
      <c r="P299" s="2" t="s">
        <v>59</v>
      </c>
      <c r="Q299" s="1" t="str">
        <f>IF($B299=0,$M299,_xlfn.TEXTBEFORE(Q298,"/",$B299,,,Q298)&amp;"/"&amp;$M299)&amp;IF(_xlfn.TEXTAFTER($D299,"..",,,,1)&lt;&gt;"1","[0]","")</f>
        <v>*/GoodsShipment[0]/GoodsShipmentItem[0]/PreviousDocument[0]/sequenceNumber</v>
      </c>
    </row>
    <row r="300" spans="1:17" ht="12" customHeight="1" outlineLevel="4" x14ac:dyDescent="0.35">
      <c r="A300" s="2" t="str">
        <f>$E$2</f>
        <v>CC429B</v>
      </c>
      <c r="B300" s="1">
        <v>4</v>
      </c>
      <c r="C300" s="1" t="s">
        <v>19</v>
      </c>
      <c r="D300" s="2" t="s">
        <v>25</v>
      </c>
      <c r="E300" s="11" t="s">
        <v>2</v>
      </c>
      <c r="F300" s="7" t="s">
        <v>306</v>
      </c>
      <c r="G300" s="2" t="s">
        <v>27</v>
      </c>
      <c r="H300" s="2" t="s">
        <v>477</v>
      </c>
      <c r="J300" s="2" t="s">
        <v>491</v>
      </c>
      <c r="M300" s="2" t="s">
        <v>61</v>
      </c>
      <c r="P300" s="2" t="s">
        <v>307</v>
      </c>
      <c r="Q300" s="1" t="str">
        <f>IF($B300=0,$M300,_xlfn.TEXTBEFORE(Q299,"/",$B300,,,Q299)&amp;"/"&amp;$M300)&amp;IF(_xlfn.TEXTAFTER($D300,"..",,,,1)&lt;&gt;"1","[0]","")</f>
        <v>*/GoodsShipment[0]/GoodsShipmentItem[0]/PreviousDocument[0]/type</v>
      </c>
    </row>
    <row r="301" spans="1:17" ht="12" customHeight="1" outlineLevel="4" x14ac:dyDescent="0.35">
      <c r="A301" s="2" t="str">
        <f>$E$2</f>
        <v>CC429B</v>
      </c>
      <c r="B301" s="1">
        <v>4</v>
      </c>
      <c r="C301" s="1" t="s">
        <v>19</v>
      </c>
      <c r="D301" s="2" t="s">
        <v>30</v>
      </c>
      <c r="E301" s="11" t="s">
        <v>142</v>
      </c>
      <c r="F301" s="7" t="s">
        <v>50</v>
      </c>
      <c r="G301" s="2" t="s">
        <v>396</v>
      </c>
      <c r="H301" s="2" t="s">
        <v>492</v>
      </c>
      <c r="I301" s="2" t="s">
        <v>493</v>
      </c>
      <c r="J301" s="2" t="s">
        <v>416</v>
      </c>
      <c r="M301" s="2" t="s">
        <v>143</v>
      </c>
      <c r="P301" s="2" t="s">
        <v>52</v>
      </c>
      <c r="Q301" s="1" t="str">
        <f>IF($B301=0,$M301,_xlfn.TEXTBEFORE(Q300,"/",$B301,,,Q300)&amp;"/"&amp;$M301)&amp;IF(_xlfn.TEXTAFTER($D301,"..",,,,1)&lt;&gt;"1","[0]","")</f>
        <v>*/GoodsShipment[0]/GoodsShipmentItem[0]/PreviousDocument[0]/ccQualifier</v>
      </c>
    </row>
    <row r="302" spans="1:17" ht="12" customHeight="1" outlineLevel="4" x14ac:dyDescent="0.35">
      <c r="A302" s="2" t="str">
        <f>$E$2</f>
        <v>CC429B</v>
      </c>
      <c r="B302" s="1">
        <v>4</v>
      </c>
      <c r="C302" s="1" t="s">
        <v>19</v>
      </c>
      <c r="D302" s="2" t="s">
        <v>25</v>
      </c>
      <c r="E302" s="11" t="s">
        <v>63</v>
      </c>
      <c r="F302" s="7" t="s">
        <v>83</v>
      </c>
      <c r="G302" s="2" t="s">
        <v>27</v>
      </c>
      <c r="H302" s="2" t="s">
        <v>494</v>
      </c>
      <c r="M302" s="2" t="s">
        <v>65</v>
      </c>
      <c r="P302" s="2" t="s">
        <v>308</v>
      </c>
      <c r="Q302" s="1" t="str">
        <f>IF($B302=0,$M302,_xlfn.TEXTBEFORE(Q301,"/",$B302,,,Q301)&amp;"/"&amp;$M302)&amp;IF(_xlfn.TEXTAFTER($D302,"..",,,,1)&lt;&gt;"1","[0]","")</f>
        <v>*/GoodsShipment[0]/GoodsShipmentItem[0]/PreviousDocument[0]/referenceNumber</v>
      </c>
    </row>
    <row r="303" spans="1:17" ht="12" customHeight="1" outlineLevel="4" x14ac:dyDescent="0.35">
      <c r="A303" s="2" t="str">
        <f>$E$2</f>
        <v>CC429B</v>
      </c>
      <c r="B303" s="1">
        <v>4</v>
      </c>
      <c r="C303" s="1" t="s">
        <v>19</v>
      </c>
      <c r="D303" s="2" t="s">
        <v>30</v>
      </c>
      <c r="E303" s="11" t="s">
        <v>345</v>
      </c>
      <c r="F303" s="7" t="s">
        <v>325</v>
      </c>
      <c r="G303" s="2" t="s">
        <v>22</v>
      </c>
      <c r="H303" s="2" t="s">
        <v>714</v>
      </c>
      <c r="J303" s="2" t="s">
        <v>708</v>
      </c>
      <c r="M303" s="2" t="s">
        <v>346</v>
      </c>
      <c r="P303" s="2" t="s">
        <v>347</v>
      </c>
      <c r="Q303" s="1" t="str">
        <f>IF($B303=0,$M303,_xlfn.TEXTBEFORE(Q302,"/",$B303,,,Q302)&amp;"/"&amp;$M303)&amp;IF(_xlfn.TEXTAFTER($D303,"..",,,,1)&lt;&gt;"1","[0]","")</f>
        <v>*/GoodsShipment[0]/GoodsShipmentItem[0]/PreviousDocument[0]/typeOfPackages</v>
      </c>
    </row>
    <row r="304" spans="1:17" ht="12" customHeight="1" outlineLevel="4" x14ac:dyDescent="0.35">
      <c r="A304" s="2" t="str">
        <f>$E$2</f>
        <v>CC429B</v>
      </c>
      <c r="B304" s="1">
        <v>4</v>
      </c>
      <c r="C304" s="1" t="s">
        <v>19</v>
      </c>
      <c r="D304" s="2" t="s">
        <v>30</v>
      </c>
      <c r="E304" s="11" t="s">
        <v>348</v>
      </c>
      <c r="F304" s="7" t="s">
        <v>349</v>
      </c>
      <c r="G304" s="2" t="s">
        <v>22</v>
      </c>
      <c r="H304" s="2" t="s">
        <v>419</v>
      </c>
      <c r="M304" s="2" t="s">
        <v>350</v>
      </c>
      <c r="P304" s="2" t="s">
        <v>351</v>
      </c>
      <c r="Q304" s="1" t="str">
        <f>IF($B304=0,$M304,_xlfn.TEXTBEFORE(Q303,"/",$B304,,,Q303)&amp;"/"&amp;$M304)&amp;IF(_xlfn.TEXTAFTER($D304,"..",,,,1)&lt;&gt;"1","[0]","")</f>
        <v>*/GoodsShipment[0]/GoodsShipmentItem[0]/PreviousDocument[0]/numberOfPackages</v>
      </c>
    </row>
    <row r="305" spans="1:17" ht="12" customHeight="1" outlineLevel="4" x14ac:dyDescent="0.35">
      <c r="A305" s="2" t="str">
        <f>$E$2</f>
        <v>CC429B</v>
      </c>
      <c r="B305" s="1">
        <v>4</v>
      </c>
      <c r="C305" s="1" t="s">
        <v>19</v>
      </c>
      <c r="D305" s="2" t="s">
        <v>30</v>
      </c>
      <c r="E305" s="11" t="s">
        <v>353</v>
      </c>
      <c r="F305" s="7" t="s">
        <v>60</v>
      </c>
      <c r="G305" s="2" t="s">
        <v>396</v>
      </c>
      <c r="H305" s="2" t="s">
        <v>714</v>
      </c>
      <c r="I305" s="2" t="s">
        <v>701</v>
      </c>
      <c r="J305" s="2" t="s">
        <v>715</v>
      </c>
      <c r="M305" s="2" t="s">
        <v>354</v>
      </c>
      <c r="P305" s="2" t="s">
        <v>355</v>
      </c>
      <c r="Q305" s="1" t="str">
        <f>IF($B305=0,$M305,_xlfn.TEXTBEFORE(Q304,"/",$B305,,,Q304)&amp;"/"&amp;$M305)&amp;IF(_xlfn.TEXTAFTER($D305,"..",,,,1)&lt;&gt;"1","[0]","")</f>
        <v>*/GoodsShipment[0]/GoodsShipmentItem[0]/PreviousDocument[0]/measurementUnitAndQualifier</v>
      </c>
    </row>
    <row r="306" spans="1:17" ht="12" customHeight="1" outlineLevel="4" x14ac:dyDescent="0.35">
      <c r="A306" s="2" t="str">
        <f>$E$2</f>
        <v>CC429B</v>
      </c>
      <c r="B306" s="1">
        <v>4</v>
      </c>
      <c r="C306" s="1" t="s">
        <v>19</v>
      </c>
      <c r="D306" s="2" t="s">
        <v>30</v>
      </c>
      <c r="E306" s="11" t="s">
        <v>356</v>
      </c>
      <c r="F306" s="7" t="s">
        <v>50</v>
      </c>
      <c r="G306" s="2" t="s">
        <v>396</v>
      </c>
      <c r="H306" s="2" t="s">
        <v>512</v>
      </c>
      <c r="I306" s="2" t="s">
        <v>493</v>
      </c>
      <c r="J306" s="2" t="s">
        <v>416</v>
      </c>
      <c r="M306" s="2" t="s">
        <v>357</v>
      </c>
      <c r="P306" s="2" t="s">
        <v>52</v>
      </c>
      <c r="Q306" s="1" t="str">
        <f>IF($B306=0,$M306,_xlfn.TEXTBEFORE(Q305,"/",$B306,,,Q305)&amp;"/"&amp;$M306)&amp;IF(_xlfn.TEXTAFTER($D306,"..",,,,1)&lt;&gt;"1","[0]","")</f>
        <v>*/GoodsShipment[0]/GoodsShipmentItem[0]/PreviousDocument[0]/ccQualifierForMeasurementUnitAndQualifier</v>
      </c>
    </row>
    <row r="307" spans="1:17" ht="12" customHeight="1" outlineLevel="4" x14ac:dyDescent="0.35">
      <c r="A307" s="2" t="str">
        <f>$E$2</f>
        <v>CC429B</v>
      </c>
      <c r="B307" s="1">
        <v>4</v>
      </c>
      <c r="C307" s="1" t="s">
        <v>19</v>
      </c>
      <c r="D307" s="2" t="s">
        <v>30</v>
      </c>
      <c r="E307" s="11" t="s">
        <v>358</v>
      </c>
      <c r="F307" s="7" t="s">
        <v>311</v>
      </c>
      <c r="G307" s="2" t="s">
        <v>22</v>
      </c>
      <c r="H307" s="2" t="s">
        <v>714</v>
      </c>
      <c r="M307" s="2" t="s">
        <v>359</v>
      </c>
      <c r="P307" s="2" t="s">
        <v>313</v>
      </c>
      <c r="Q307" s="1" t="str">
        <f>IF($B307=0,$M307,_xlfn.TEXTBEFORE(Q306,"/",$B307,,,Q306)&amp;"/"&amp;$M307)&amp;IF(_xlfn.TEXTAFTER($D307,"..",,,,1)&lt;&gt;"1","[0]","")</f>
        <v>*/GoodsShipment[0]/GoodsShipmentItem[0]/PreviousDocument[0]/quantity</v>
      </c>
    </row>
    <row r="308" spans="1:17" ht="12" customHeight="1" outlineLevel="4" x14ac:dyDescent="0.35">
      <c r="A308" s="2" t="str">
        <f>$E$2</f>
        <v>CC429B</v>
      </c>
      <c r="B308" s="1">
        <v>4</v>
      </c>
      <c r="C308" s="1" t="s">
        <v>19</v>
      </c>
      <c r="D308" s="2" t="s">
        <v>30</v>
      </c>
      <c r="E308" s="11" t="s">
        <v>360</v>
      </c>
      <c r="F308" s="7" t="s">
        <v>57</v>
      </c>
      <c r="G308" s="2" t="s">
        <v>22</v>
      </c>
      <c r="H308" s="2" t="s">
        <v>716</v>
      </c>
      <c r="M308" s="2" t="s">
        <v>361</v>
      </c>
      <c r="P308" s="2" t="s">
        <v>255</v>
      </c>
      <c r="Q308" s="1" t="str">
        <f>IF($B308=0,$M308,_xlfn.TEXTBEFORE(Q307,"/",$B308,,,Q307)&amp;"/"&amp;$M308)&amp;IF(_xlfn.TEXTAFTER($D308,"..",,,,1)&lt;&gt;"1","[0]","")</f>
        <v>*/GoodsShipment[0]/GoodsShipmentItem[0]/PreviousDocument[0]/goodsItemIdentifier</v>
      </c>
    </row>
    <row r="309" spans="1:17" ht="12" customHeight="1" outlineLevel="3" x14ac:dyDescent="0.35">
      <c r="A309" s="3" t="str">
        <f>$E$2</f>
        <v>CC429B</v>
      </c>
      <c r="B309" s="4">
        <v>3</v>
      </c>
      <c r="C309" s="3" t="s">
        <v>24</v>
      </c>
      <c r="D309" s="3" t="s">
        <v>193</v>
      </c>
      <c r="E309" s="10" t="s">
        <v>495</v>
      </c>
      <c r="F309" s="4"/>
      <c r="G309" s="3" t="s">
        <v>22</v>
      </c>
      <c r="H309" s="3" t="s">
        <v>489</v>
      </c>
      <c r="I309" s="4"/>
      <c r="J309" s="4"/>
      <c r="K309" s="4"/>
      <c r="L309" s="4"/>
      <c r="M309" s="3" t="s">
        <v>496</v>
      </c>
      <c r="N309" s="4"/>
      <c r="O309" s="4"/>
      <c r="P309" s="3" t="s">
        <v>1510</v>
      </c>
      <c r="Q309" s="1" t="str">
        <f>IF($B309=0,$M309,_xlfn.TEXTBEFORE(Q308,"/",$B309,,,Q308)&amp;"/"&amp;$M309)&amp;IF(_xlfn.TEXTAFTER($D309,"..",,,,1)&lt;&gt;"1","[0]","")</f>
        <v>*/GoodsShipment[0]/GoodsShipmentItem[0]/SupportingDocument[0]</v>
      </c>
    </row>
    <row r="310" spans="1:17" ht="12" customHeight="1" outlineLevel="4" x14ac:dyDescent="0.35">
      <c r="A310" s="2" t="str">
        <f>$E$2</f>
        <v>CC429B</v>
      </c>
      <c r="B310" s="1">
        <v>4</v>
      </c>
      <c r="C310" s="1" t="s">
        <v>19</v>
      </c>
      <c r="D310" s="2" t="s">
        <v>25</v>
      </c>
      <c r="E310" s="11" t="s">
        <v>56</v>
      </c>
      <c r="F310" s="7" t="s">
        <v>57</v>
      </c>
      <c r="G310" s="2" t="s">
        <v>27</v>
      </c>
      <c r="H310" s="2" t="s">
        <v>393</v>
      </c>
      <c r="M310" s="2" t="s">
        <v>58</v>
      </c>
      <c r="P310" s="2" t="s">
        <v>59</v>
      </c>
      <c r="Q310" s="1" t="str">
        <f>IF($B310=0,$M310,_xlfn.TEXTBEFORE(Q309,"/",$B310,,,Q309)&amp;"/"&amp;$M310)&amp;IF(_xlfn.TEXTAFTER($D310,"..",,,,1)&lt;&gt;"1","[0]","")</f>
        <v>*/GoodsShipment[0]/GoodsShipmentItem[0]/SupportingDocument[0]/sequenceNumber</v>
      </c>
    </row>
    <row r="311" spans="1:17" ht="12" customHeight="1" outlineLevel="4" x14ac:dyDescent="0.35">
      <c r="A311" s="2" t="str">
        <f>$E$2</f>
        <v>CC429B</v>
      </c>
      <c r="B311" s="1">
        <v>4</v>
      </c>
      <c r="C311" s="1" t="s">
        <v>19</v>
      </c>
      <c r="D311" s="2" t="s">
        <v>25</v>
      </c>
      <c r="E311" s="11" t="s">
        <v>2</v>
      </c>
      <c r="F311" s="7" t="s">
        <v>306</v>
      </c>
      <c r="G311" s="2" t="s">
        <v>27</v>
      </c>
      <c r="H311" s="2" t="s">
        <v>477</v>
      </c>
      <c r="J311" s="2" t="s">
        <v>498</v>
      </c>
      <c r="M311" s="2" t="s">
        <v>61</v>
      </c>
      <c r="P311" s="2" t="s">
        <v>307</v>
      </c>
      <c r="Q311" s="1" t="str">
        <f>IF($B311=0,$M311,_xlfn.TEXTBEFORE(Q310,"/",$B311,,,Q310)&amp;"/"&amp;$M311)&amp;IF(_xlfn.TEXTAFTER($D311,"..",,,,1)&lt;&gt;"1","[0]","")</f>
        <v>*/GoodsShipment[0]/GoodsShipmentItem[0]/SupportingDocument[0]/type</v>
      </c>
    </row>
    <row r="312" spans="1:17" ht="12" customHeight="1" outlineLevel="4" x14ac:dyDescent="0.35">
      <c r="A312" s="2" t="str">
        <f>$E$2</f>
        <v>CC429B</v>
      </c>
      <c r="B312" s="1">
        <v>4</v>
      </c>
      <c r="C312" s="1" t="s">
        <v>19</v>
      </c>
      <c r="D312" s="2" t="s">
        <v>30</v>
      </c>
      <c r="E312" s="11" t="s">
        <v>142</v>
      </c>
      <c r="F312" s="7" t="s">
        <v>50</v>
      </c>
      <c r="G312" s="2" t="s">
        <v>396</v>
      </c>
      <c r="H312" s="2" t="s">
        <v>492</v>
      </c>
      <c r="I312" s="2" t="s">
        <v>493</v>
      </c>
      <c r="J312" s="2" t="s">
        <v>416</v>
      </c>
      <c r="M312" s="2" t="s">
        <v>143</v>
      </c>
      <c r="P312" s="2" t="s">
        <v>52</v>
      </c>
      <c r="Q312" s="1" t="str">
        <f>IF($B312=0,$M312,_xlfn.TEXTBEFORE(Q311,"/",$B312,,,Q311)&amp;"/"&amp;$M312)&amp;IF(_xlfn.TEXTAFTER($D312,"..",,,,1)&lt;&gt;"1","[0]","")</f>
        <v>*/GoodsShipment[0]/GoodsShipmentItem[0]/SupportingDocument[0]/ccQualifier</v>
      </c>
    </row>
    <row r="313" spans="1:17" ht="12" customHeight="1" outlineLevel="4" x14ac:dyDescent="0.35">
      <c r="A313" s="2" t="str">
        <f>$E$2</f>
        <v>CC429B</v>
      </c>
      <c r="B313" s="1">
        <v>4</v>
      </c>
      <c r="C313" s="1" t="s">
        <v>19</v>
      </c>
      <c r="D313" s="2" t="s">
        <v>25</v>
      </c>
      <c r="E313" s="11" t="s">
        <v>63</v>
      </c>
      <c r="F313" s="7" t="s">
        <v>83</v>
      </c>
      <c r="G313" s="2" t="s">
        <v>27</v>
      </c>
      <c r="H313" s="2" t="s">
        <v>494</v>
      </c>
      <c r="M313" s="2" t="s">
        <v>65</v>
      </c>
      <c r="P313" s="2" t="s">
        <v>308</v>
      </c>
      <c r="Q313" s="1" t="str">
        <f>IF($B313=0,$M313,_xlfn.TEXTBEFORE(Q312,"/",$B313,,,Q312)&amp;"/"&amp;$M313)&amp;IF(_xlfn.TEXTAFTER($D313,"..",,,,1)&lt;&gt;"1","[0]","")</f>
        <v>*/GoodsShipment[0]/GoodsShipmentItem[0]/SupportingDocument[0]/referenceNumber</v>
      </c>
    </row>
    <row r="314" spans="1:17" ht="12" customHeight="1" outlineLevel="4" x14ac:dyDescent="0.35">
      <c r="A314" s="2" t="str">
        <f>$E$2</f>
        <v>CC429B</v>
      </c>
      <c r="B314" s="1">
        <v>4</v>
      </c>
      <c r="C314" s="1" t="s">
        <v>19</v>
      </c>
      <c r="D314" s="2" t="s">
        <v>30</v>
      </c>
      <c r="E314" s="11" t="s">
        <v>499</v>
      </c>
      <c r="F314" s="7" t="s">
        <v>57</v>
      </c>
      <c r="G314" s="2" t="s">
        <v>22</v>
      </c>
      <c r="H314" s="2" t="s">
        <v>718</v>
      </c>
      <c r="M314" s="2" t="s">
        <v>500</v>
      </c>
      <c r="P314" s="2" t="s">
        <v>255</v>
      </c>
      <c r="Q314" s="1" t="str">
        <f>IF($B314=0,$M314,_xlfn.TEXTBEFORE(Q313,"/",$B314,,,Q313)&amp;"/"&amp;$M314)&amp;IF(_xlfn.TEXTAFTER($D314,"..",,,,1)&lt;&gt;"1","[0]","")</f>
        <v>*/GoodsShipment[0]/GoodsShipmentItem[0]/SupportingDocument[0]/documentLineItemNumber</v>
      </c>
    </row>
    <row r="315" spans="1:17" ht="12" customHeight="1" outlineLevel="4" x14ac:dyDescent="0.35">
      <c r="A315" s="2" t="str">
        <f>$E$2</f>
        <v>CC429B</v>
      </c>
      <c r="B315" s="1">
        <v>4</v>
      </c>
      <c r="C315" s="1" t="s">
        <v>19</v>
      </c>
      <c r="D315" s="2" t="s">
        <v>30</v>
      </c>
      <c r="E315" s="11" t="s">
        <v>501</v>
      </c>
      <c r="F315" s="7" t="s">
        <v>83</v>
      </c>
      <c r="G315" s="2" t="s">
        <v>22</v>
      </c>
      <c r="H315" s="2" t="s">
        <v>718</v>
      </c>
      <c r="M315" s="2" t="s">
        <v>502</v>
      </c>
      <c r="P315" s="2" t="s">
        <v>503</v>
      </c>
      <c r="Q315" s="1" t="str">
        <f>IF($B315=0,$M315,_xlfn.TEXTBEFORE(Q314,"/",$B315,,,Q314)&amp;"/"&amp;$M315)&amp;IF(_xlfn.TEXTAFTER($D315,"..",,,,1)&lt;&gt;"1","[0]","")</f>
        <v>*/GoodsShipment[0]/GoodsShipmentItem[0]/SupportingDocument[0]/issuingAuthorityName</v>
      </c>
    </row>
    <row r="316" spans="1:17" ht="12" customHeight="1" outlineLevel="4" x14ac:dyDescent="0.35">
      <c r="A316" s="2" t="str">
        <f>$E$2</f>
        <v>CC429B</v>
      </c>
      <c r="B316" s="1">
        <v>4</v>
      </c>
      <c r="C316" s="1" t="s">
        <v>19</v>
      </c>
      <c r="D316" s="2" t="s">
        <v>30</v>
      </c>
      <c r="E316" s="11" t="s">
        <v>504</v>
      </c>
      <c r="F316" s="2" t="s">
        <v>505</v>
      </c>
      <c r="G316" s="2" t="s">
        <v>22</v>
      </c>
      <c r="H316" s="2" t="s">
        <v>718</v>
      </c>
      <c r="M316" s="2" t="s">
        <v>506</v>
      </c>
      <c r="P316" s="2" t="s">
        <v>507</v>
      </c>
      <c r="Q316" s="1" t="str">
        <f>IF($B316=0,$M316,_xlfn.TEXTBEFORE(Q315,"/",$B316,,,Q315)&amp;"/"&amp;$M316)&amp;IF(_xlfn.TEXTAFTER($D316,"..",,,,1)&lt;&gt;"1","[0]","")</f>
        <v>*/GoodsShipment[0]/GoodsShipmentItem[0]/SupportingDocument[0]/dateOfValidity</v>
      </c>
    </row>
    <row r="317" spans="1:17" ht="12" customHeight="1" outlineLevel="4" x14ac:dyDescent="0.35">
      <c r="A317" s="2" t="str">
        <f>$E$2</f>
        <v>CC429B</v>
      </c>
      <c r="B317" s="1">
        <v>4</v>
      </c>
      <c r="C317" s="1" t="s">
        <v>19</v>
      </c>
      <c r="D317" s="2" t="s">
        <v>30</v>
      </c>
      <c r="E317" s="11" t="s">
        <v>353</v>
      </c>
      <c r="F317" s="7" t="s">
        <v>60</v>
      </c>
      <c r="G317" s="2" t="s">
        <v>396</v>
      </c>
      <c r="H317" s="2" t="s">
        <v>719</v>
      </c>
      <c r="I317" s="2" t="s">
        <v>701</v>
      </c>
      <c r="J317" s="2" t="s">
        <v>715</v>
      </c>
      <c r="M317" s="2" t="s">
        <v>354</v>
      </c>
      <c r="P317" s="2" t="s">
        <v>355</v>
      </c>
      <c r="Q317" s="1" t="str">
        <f>IF($B317=0,$M317,_xlfn.TEXTBEFORE(Q316,"/",$B317,,,Q316)&amp;"/"&amp;$M317)&amp;IF(_xlfn.TEXTAFTER($D317,"..",,,,1)&lt;&gt;"1","[0]","")</f>
        <v>*/GoodsShipment[0]/GoodsShipmentItem[0]/SupportingDocument[0]/measurementUnitAndQualifier</v>
      </c>
    </row>
    <row r="318" spans="1:17" ht="12" customHeight="1" outlineLevel="4" x14ac:dyDescent="0.35">
      <c r="A318" s="2" t="str">
        <f>$E$2</f>
        <v>CC429B</v>
      </c>
      <c r="B318" s="1">
        <v>4</v>
      </c>
      <c r="C318" s="1" t="s">
        <v>19</v>
      </c>
      <c r="D318" s="2" t="s">
        <v>30</v>
      </c>
      <c r="E318" s="11" t="s">
        <v>356</v>
      </c>
      <c r="F318" s="7" t="s">
        <v>50</v>
      </c>
      <c r="G318" s="2" t="s">
        <v>396</v>
      </c>
      <c r="H318" s="2" t="s">
        <v>512</v>
      </c>
      <c r="I318" s="2" t="s">
        <v>493</v>
      </c>
      <c r="J318" s="2" t="s">
        <v>416</v>
      </c>
      <c r="M318" s="2" t="s">
        <v>357</v>
      </c>
      <c r="P318" s="2" t="s">
        <v>52</v>
      </c>
      <c r="Q318" s="1" t="str">
        <f>IF($B318=0,$M318,_xlfn.TEXTBEFORE(Q317,"/",$B318,,,Q317)&amp;"/"&amp;$M318)&amp;IF(_xlfn.TEXTAFTER($D318,"..",,,,1)&lt;&gt;"1","[0]","")</f>
        <v>*/GoodsShipment[0]/GoodsShipmentItem[0]/SupportingDocument[0]/ccQualifierForMeasurementUnitAndQualifier</v>
      </c>
    </row>
    <row r="319" spans="1:17" ht="12" customHeight="1" outlineLevel="4" x14ac:dyDescent="0.35">
      <c r="A319" s="2" t="str">
        <f>$E$2</f>
        <v>CC429B</v>
      </c>
      <c r="B319" s="1">
        <v>4</v>
      </c>
      <c r="C319" s="1" t="s">
        <v>19</v>
      </c>
      <c r="D319" s="2" t="s">
        <v>30</v>
      </c>
      <c r="E319" s="11" t="s">
        <v>358</v>
      </c>
      <c r="F319" s="7" t="s">
        <v>311</v>
      </c>
      <c r="G319" s="2" t="s">
        <v>22</v>
      </c>
      <c r="H319" s="2" t="s">
        <v>719</v>
      </c>
      <c r="M319" s="2" t="s">
        <v>359</v>
      </c>
      <c r="P319" s="2" t="s">
        <v>313</v>
      </c>
      <c r="Q319" s="1" t="str">
        <f>IF($B319=0,$M319,_xlfn.TEXTBEFORE(Q318,"/",$B319,,,Q318)&amp;"/"&amp;$M319)&amp;IF(_xlfn.TEXTAFTER($D319,"..",,,,1)&lt;&gt;"1","[0]","")</f>
        <v>*/GoodsShipment[0]/GoodsShipmentItem[0]/SupportingDocument[0]/quantity</v>
      </c>
    </row>
    <row r="320" spans="1:17" ht="12" customHeight="1" outlineLevel="4" x14ac:dyDescent="0.35">
      <c r="A320" s="2" t="str">
        <f>$E$2</f>
        <v>CC429B</v>
      </c>
      <c r="B320" s="1">
        <v>4</v>
      </c>
      <c r="C320" s="1" t="s">
        <v>19</v>
      </c>
      <c r="D320" s="2" t="s">
        <v>30</v>
      </c>
      <c r="E320" s="11" t="s">
        <v>521</v>
      </c>
      <c r="F320" s="7" t="s">
        <v>148</v>
      </c>
      <c r="G320" s="2" t="s">
        <v>22</v>
      </c>
      <c r="H320" s="2" t="s">
        <v>719</v>
      </c>
      <c r="J320" s="2" t="s">
        <v>429</v>
      </c>
      <c r="M320" s="2" t="s">
        <v>522</v>
      </c>
      <c r="P320" s="2" t="s">
        <v>150</v>
      </c>
      <c r="Q320" s="1" t="str">
        <f>IF($B320=0,$M320,_xlfn.TEXTBEFORE(Q319,"/",$B320,,,Q319)&amp;"/"&amp;$M320)&amp;IF(_xlfn.TEXTAFTER($D320,"..",,,,1)&lt;&gt;"1","[0]","")</f>
        <v>*/GoodsShipment[0]/GoodsShipmentItem[0]/SupportingDocument[0]/currency</v>
      </c>
    </row>
    <row r="321" spans="1:17" ht="12" customHeight="1" outlineLevel="4" x14ac:dyDescent="0.35">
      <c r="A321" s="2" t="str">
        <f>$E$2</f>
        <v>CC429B</v>
      </c>
      <c r="B321" s="1">
        <v>4</v>
      </c>
      <c r="C321" s="1" t="s">
        <v>19</v>
      </c>
      <c r="D321" s="2" t="s">
        <v>30</v>
      </c>
      <c r="E321" s="11" t="s">
        <v>524</v>
      </c>
      <c r="F321" s="7" t="s">
        <v>181</v>
      </c>
      <c r="G321" s="2" t="s">
        <v>22</v>
      </c>
      <c r="H321" s="2" t="s">
        <v>719</v>
      </c>
      <c r="M321" s="2" t="s">
        <v>525</v>
      </c>
      <c r="P321" s="2" t="s">
        <v>183</v>
      </c>
      <c r="Q321" s="1" t="str">
        <f>IF($B321=0,$M321,_xlfn.TEXTBEFORE(Q320,"/",$B321,,,Q320)&amp;"/"&amp;$M321)&amp;IF(_xlfn.TEXTAFTER($D321,"..",,,,1)&lt;&gt;"1","[0]","")</f>
        <v>*/GoodsShipment[0]/GoodsShipmentItem[0]/SupportingDocument[0]/amount</v>
      </c>
    </row>
    <row r="322" spans="1:17" ht="12" customHeight="1" outlineLevel="3" x14ac:dyDescent="0.35">
      <c r="A322" s="3" t="str">
        <f>$E$2</f>
        <v>CC429B</v>
      </c>
      <c r="B322" s="4">
        <v>3</v>
      </c>
      <c r="C322" s="3" t="s">
        <v>24</v>
      </c>
      <c r="D322" s="3" t="s">
        <v>193</v>
      </c>
      <c r="E322" s="10" t="s">
        <v>583</v>
      </c>
      <c r="F322" s="4"/>
      <c r="G322" s="3" t="s">
        <v>22</v>
      </c>
      <c r="H322" s="3" t="s">
        <v>489</v>
      </c>
      <c r="I322" s="4"/>
      <c r="J322" s="4"/>
      <c r="K322" s="4"/>
      <c r="L322" s="4"/>
      <c r="M322" s="3" t="s">
        <v>584</v>
      </c>
      <c r="N322" s="4"/>
      <c r="O322" s="4"/>
      <c r="P322" s="3" t="s">
        <v>585</v>
      </c>
      <c r="Q322" s="1" t="str">
        <f>IF($B322=0,$M322,_xlfn.TEXTBEFORE(Q321,"/",$B322,,,Q321)&amp;"/"&amp;$M322)&amp;IF(_xlfn.TEXTAFTER($D322,"..",,,,1)&lt;&gt;"1","[0]","")</f>
        <v>*/GoodsShipment[0]/GoodsShipmentItem[0]/TransportDocument[0]</v>
      </c>
    </row>
    <row r="323" spans="1:17" ht="12" customHeight="1" outlineLevel="4" x14ac:dyDescent="0.35">
      <c r="A323" s="2" t="str">
        <f>$E$2</f>
        <v>CC429B</v>
      </c>
      <c r="B323" s="1">
        <v>4</v>
      </c>
      <c r="C323" s="1" t="s">
        <v>19</v>
      </c>
      <c r="D323" s="2" t="s">
        <v>25</v>
      </c>
      <c r="E323" s="11" t="s">
        <v>56</v>
      </c>
      <c r="F323" s="7" t="s">
        <v>57</v>
      </c>
      <c r="G323" s="2" t="s">
        <v>27</v>
      </c>
      <c r="H323" s="2" t="s">
        <v>393</v>
      </c>
      <c r="M323" s="2" t="s">
        <v>58</v>
      </c>
      <c r="P323" s="2" t="s">
        <v>59</v>
      </c>
      <c r="Q323" s="1" t="str">
        <f>IF($B323=0,$M323,_xlfn.TEXTBEFORE(Q322,"/",$B323,,,Q322)&amp;"/"&amp;$M323)&amp;IF(_xlfn.TEXTAFTER($D323,"..",,,,1)&lt;&gt;"1","[0]","")</f>
        <v>*/GoodsShipment[0]/GoodsShipmentItem[0]/TransportDocument[0]/sequenceNumber</v>
      </c>
    </row>
    <row r="324" spans="1:17" ht="12" customHeight="1" outlineLevel="4" x14ac:dyDescent="0.35">
      <c r="A324" s="2" t="str">
        <f>$E$2</f>
        <v>CC429B</v>
      </c>
      <c r="B324" s="1">
        <v>4</v>
      </c>
      <c r="C324" s="1" t="s">
        <v>19</v>
      </c>
      <c r="D324" s="2" t="s">
        <v>25</v>
      </c>
      <c r="E324" s="11" t="s">
        <v>2</v>
      </c>
      <c r="F324" s="7" t="s">
        <v>306</v>
      </c>
      <c r="G324" s="2" t="s">
        <v>27</v>
      </c>
      <c r="J324" s="2" t="s">
        <v>586</v>
      </c>
      <c r="M324" s="2" t="s">
        <v>61</v>
      </c>
      <c r="P324" s="2" t="s">
        <v>307</v>
      </c>
      <c r="Q324" s="1" t="str">
        <f>IF($B324=0,$M324,_xlfn.TEXTBEFORE(Q323,"/",$B324,,,Q323)&amp;"/"&amp;$M324)&amp;IF(_xlfn.TEXTAFTER($D324,"..",,,,1)&lt;&gt;"1","[0]","")</f>
        <v>*/GoodsShipment[0]/GoodsShipmentItem[0]/TransportDocument[0]/type</v>
      </c>
    </row>
    <row r="325" spans="1:17" ht="12" customHeight="1" outlineLevel="4" x14ac:dyDescent="0.35">
      <c r="A325" s="2" t="str">
        <f>$E$2</f>
        <v>CC429B</v>
      </c>
      <c r="B325" s="1">
        <v>4</v>
      </c>
      <c r="C325" s="1" t="s">
        <v>19</v>
      </c>
      <c r="D325" s="2" t="s">
        <v>25</v>
      </c>
      <c r="E325" s="11" t="s">
        <v>63</v>
      </c>
      <c r="F325" s="7" t="s">
        <v>83</v>
      </c>
      <c r="G325" s="2" t="s">
        <v>27</v>
      </c>
      <c r="H325" s="2" t="s">
        <v>494</v>
      </c>
      <c r="M325" s="2" t="s">
        <v>65</v>
      </c>
      <c r="P325" s="2" t="s">
        <v>308</v>
      </c>
      <c r="Q325" s="1" t="str">
        <f>IF($B325=0,$M325,_xlfn.TEXTBEFORE(Q324,"/",$B325,,,Q324)&amp;"/"&amp;$M325)&amp;IF(_xlfn.TEXTAFTER($D325,"..",,,,1)&lt;&gt;"1","[0]","")</f>
        <v>*/GoodsShipment[0]/GoodsShipmentItem[0]/TransportDocument[0]/referenceNumber</v>
      </c>
    </row>
    <row r="326" spans="1:17" ht="12" customHeight="1" outlineLevel="3" x14ac:dyDescent="0.35">
      <c r="A326" s="3" t="str">
        <f>$E$2</f>
        <v>CC429B</v>
      </c>
      <c r="B326" s="4">
        <v>3</v>
      </c>
      <c r="C326" s="3" t="s">
        <v>24</v>
      </c>
      <c r="D326" s="3" t="s">
        <v>193</v>
      </c>
      <c r="E326" s="10" t="s">
        <v>508</v>
      </c>
      <c r="F326" s="4"/>
      <c r="G326" s="3" t="s">
        <v>22</v>
      </c>
      <c r="H326" s="3" t="s">
        <v>489</v>
      </c>
      <c r="I326" s="4"/>
      <c r="J326" s="4"/>
      <c r="K326" s="4"/>
      <c r="L326" s="4"/>
      <c r="M326" s="3" t="s">
        <v>509</v>
      </c>
      <c r="N326" s="4"/>
      <c r="O326" s="4"/>
      <c r="P326" s="3" t="s">
        <v>510</v>
      </c>
      <c r="Q326" s="1" t="str">
        <f>IF($B326=0,$M326,_xlfn.TEXTBEFORE(Q325,"/",$B326,,,Q325)&amp;"/"&amp;$M326)&amp;IF(_xlfn.TEXTAFTER($D326,"..",,,,1)&lt;&gt;"1","[0]","")</f>
        <v>*/GoodsShipment[0]/GoodsShipmentItem[0]/AdditionalReference[0]</v>
      </c>
    </row>
    <row r="327" spans="1:17" ht="12" customHeight="1" outlineLevel="4" x14ac:dyDescent="0.35">
      <c r="A327" s="2" t="str">
        <f>$E$2</f>
        <v>CC429B</v>
      </c>
      <c r="B327" s="1">
        <v>4</v>
      </c>
      <c r="C327" s="1" t="s">
        <v>19</v>
      </c>
      <c r="D327" s="2" t="s">
        <v>25</v>
      </c>
      <c r="E327" s="11" t="s">
        <v>56</v>
      </c>
      <c r="F327" s="7" t="s">
        <v>57</v>
      </c>
      <c r="G327" s="2" t="s">
        <v>27</v>
      </c>
      <c r="H327" s="2" t="s">
        <v>393</v>
      </c>
      <c r="M327" s="2" t="s">
        <v>58</v>
      </c>
      <c r="P327" s="2" t="s">
        <v>59</v>
      </c>
      <c r="Q327" s="1" t="str">
        <f>IF($B327=0,$M327,_xlfn.TEXTBEFORE(Q326,"/",$B327,,,Q326)&amp;"/"&amp;$M327)&amp;IF(_xlfn.TEXTAFTER($D327,"..",,,,1)&lt;&gt;"1","[0]","")</f>
        <v>*/GoodsShipment[0]/GoodsShipmentItem[0]/AdditionalReference[0]/sequenceNumber</v>
      </c>
    </row>
    <row r="328" spans="1:17" ht="12" customHeight="1" outlineLevel="4" x14ac:dyDescent="0.35">
      <c r="A328" s="2" t="str">
        <f>$E$2</f>
        <v>CC429B</v>
      </c>
      <c r="B328" s="1">
        <v>4</v>
      </c>
      <c r="C328" s="1" t="s">
        <v>19</v>
      </c>
      <c r="D328" s="2" t="s">
        <v>25</v>
      </c>
      <c r="E328" s="11" t="s">
        <v>2</v>
      </c>
      <c r="F328" s="7" t="s">
        <v>306</v>
      </c>
      <c r="G328" s="2" t="s">
        <v>27</v>
      </c>
      <c r="J328" s="2" t="s">
        <v>511</v>
      </c>
      <c r="M328" s="2" t="s">
        <v>61</v>
      </c>
      <c r="P328" s="2" t="s">
        <v>307</v>
      </c>
      <c r="Q328" s="1" t="str">
        <f>IF($B328=0,$M328,_xlfn.TEXTBEFORE(Q327,"/",$B328,,,Q327)&amp;"/"&amp;$M328)&amp;IF(_xlfn.TEXTAFTER($D328,"..",,,,1)&lt;&gt;"1","[0]","")</f>
        <v>*/GoodsShipment[0]/GoodsShipmentItem[0]/AdditionalReference[0]/type</v>
      </c>
    </row>
    <row r="329" spans="1:17" ht="12" customHeight="1" outlineLevel="4" x14ac:dyDescent="0.35">
      <c r="A329" s="2" t="str">
        <f>$E$2</f>
        <v>CC429B</v>
      </c>
      <c r="B329" s="1">
        <v>4</v>
      </c>
      <c r="C329" s="1" t="s">
        <v>19</v>
      </c>
      <c r="D329" s="2" t="s">
        <v>30</v>
      </c>
      <c r="E329" s="11" t="s">
        <v>142</v>
      </c>
      <c r="F329" s="7" t="s">
        <v>50</v>
      </c>
      <c r="G329" s="2" t="s">
        <v>396</v>
      </c>
      <c r="H329" s="2" t="s">
        <v>512</v>
      </c>
      <c r="I329" s="2" t="s">
        <v>493</v>
      </c>
      <c r="J329" s="2" t="s">
        <v>416</v>
      </c>
      <c r="M329" s="2" t="s">
        <v>143</v>
      </c>
      <c r="P329" s="2" t="s">
        <v>52</v>
      </c>
      <c r="Q329" s="1" t="str">
        <f>IF($B329=0,$M329,_xlfn.TEXTBEFORE(Q328,"/",$B329,,,Q328)&amp;"/"&amp;$M329)&amp;IF(_xlfn.TEXTAFTER($D329,"..",,,,1)&lt;&gt;"1","[0]","")</f>
        <v>*/GoodsShipment[0]/GoodsShipmentItem[0]/AdditionalReference[0]/ccQualifier</v>
      </c>
    </row>
    <row r="330" spans="1:17" ht="12" customHeight="1" outlineLevel="4" x14ac:dyDescent="0.35">
      <c r="A330" s="2" t="str">
        <f>$E$2</f>
        <v>CC429B</v>
      </c>
      <c r="B330" s="1">
        <v>4</v>
      </c>
      <c r="C330" s="1" t="s">
        <v>19</v>
      </c>
      <c r="D330" s="2" t="s">
        <v>30</v>
      </c>
      <c r="E330" s="11" t="s">
        <v>63</v>
      </c>
      <c r="F330" s="7" t="s">
        <v>83</v>
      </c>
      <c r="G330" s="2" t="s">
        <v>22</v>
      </c>
      <c r="H330" s="2" t="s">
        <v>494</v>
      </c>
      <c r="M330" s="2" t="s">
        <v>65</v>
      </c>
      <c r="P330" s="2" t="s">
        <v>308</v>
      </c>
      <c r="Q330" s="1" t="str">
        <f>IF($B330=0,$M330,_xlfn.TEXTBEFORE(Q329,"/",$B330,,,Q329)&amp;"/"&amp;$M330)&amp;IF(_xlfn.TEXTAFTER($D330,"..",,,,1)&lt;&gt;"1","[0]","")</f>
        <v>*/GoodsShipment[0]/GoodsShipmentItem[0]/AdditionalReference[0]/referenceNumber</v>
      </c>
    </row>
    <row r="331" spans="1:17" ht="12" customHeight="1" outlineLevel="3" x14ac:dyDescent="0.35">
      <c r="A331" s="3" t="str">
        <f>$E$2</f>
        <v>CC429B</v>
      </c>
      <c r="B331" s="4">
        <v>3</v>
      </c>
      <c r="C331" s="3" t="s">
        <v>24</v>
      </c>
      <c r="D331" s="3" t="s">
        <v>193</v>
      </c>
      <c r="E331" s="10" t="s">
        <v>219</v>
      </c>
      <c r="F331" s="4"/>
      <c r="G331" s="3" t="s">
        <v>22</v>
      </c>
      <c r="H331" s="3" t="s">
        <v>489</v>
      </c>
      <c r="I331" s="4"/>
      <c r="J331" s="4"/>
      <c r="K331" s="4"/>
      <c r="L331" s="4"/>
      <c r="M331" s="3" t="s">
        <v>220</v>
      </c>
      <c r="N331" s="4"/>
      <c r="O331" s="4"/>
      <c r="P331" s="3" t="s">
        <v>221</v>
      </c>
      <c r="Q331" s="1" t="str">
        <f>IF($B331=0,$M331,_xlfn.TEXTBEFORE(Q330,"/",$B331,,,Q330)&amp;"/"&amp;$M331)&amp;IF(_xlfn.TEXTAFTER($D331,"..",,,,1)&lt;&gt;"1","[0]","")</f>
        <v>*/GoodsShipment[0]/GoodsShipmentItem[0]/AdditionalInformation[0]</v>
      </c>
    </row>
    <row r="332" spans="1:17" ht="12" customHeight="1" outlineLevel="4" x14ac:dyDescent="0.35">
      <c r="A332" s="2" t="str">
        <f>$E$2</f>
        <v>CC429B</v>
      </c>
      <c r="B332" s="1">
        <v>4</v>
      </c>
      <c r="C332" s="1" t="s">
        <v>19</v>
      </c>
      <c r="D332" s="2" t="s">
        <v>25</v>
      </c>
      <c r="E332" s="11" t="s">
        <v>56</v>
      </c>
      <c r="F332" s="7" t="s">
        <v>57</v>
      </c>
      <c r="G332" s="2" t="s">
        <v>27</v>
      </c>
      <c r="H332" s="2" t="s">
        <v>393</v>
      </c>
      <c r="M332" s="2" t="s">
        <v>58</v>
      </c>
      <c r="P332" s="2" t="s">
        <v>59</v>
      </c>
      <c r="Q332" s="1" t="str">
        <f>IF($B332=0,$M332,_xlfn.TEXTBEFORE(Q331,"/",$B332,,,Q331)&amp;"/"&amp;$M332)&amp;IF(_xlfn.TEXTAFTER($D332,"..",,,,1)&lt;&gt;"1","[0]","")</f>
        <v>*/GoodsShipment[0]/GoodsShipmentItem[0]/AdditionalInformation[0]/sequenceNumber</v>
      </c>
    </row>
    <row r="333" spans="1:17" ht="12" customHeight="1" outlineLevel="4" x14ac:dyDescent="0.35">
      <c r="A333" s="2" t="str">
        <f>$E$2</f>
        <v>CC429B</v>
      </c>
      <c r="B333" s="1">
        <v>4</v>
      </c>
      <c r="C333" s="1" t="s">
        <v>19</v>
      </c>
      <c r="D333" s="2" t="s">
        <v>25</v>
      </c>
      <c r="E333" s="11" t="s">
        <v>222</v>
      </c>
      <c r="F333" s="7" t="s">
        <v>223</v>
      </c>
      <c r="G333" s="2" t="s">
        <v>27</v>
      </c>
      <c r="H333" s="2" t="s">
        <v>477</v>
      </c>
      <c r="J333" s="2" t="s">
        <v>513</v>
      </c>
      <c r="M333" s="2" t="s">
        <v>224</v>
      </c>
      <c r="P333" s="2" t="s">
        <v>225</v>
      </c>
      <c r="Q333" s="1" t="str">
        <f>IF($B333=0,$M333,_xlfn.TEXTBEFORE(Q332,"/",$B333,,,Q332)&amp;"/"&amp;$M333)&amp;IF(_xlfn.TEXTAFTER($D333,"..",,,,1)&lt;&gt;"1","[0]","")</f>
        <v>*/GoodsShipment[0]/GoodsShipmentItem[0]/AdditionalInformation[0]/code</v>
      </c>
    </row>
    <row r="334" spans="1:17" ht="12" customHeight="1" outlineLevel="4" x14ac:dyDescent="0.35">
      <c r="A334" s="2" t="str">
        <f>$E$2</f>
        <v>CC429B</v>
      </c>
      <c r="B334" s="1">
        <v>4</v>
      </c>
      <c r="C334" s="1" t="s">
        <v>19</v>
      </c>
      <c r="D334" s="2" t="s">
        <v>30</v>
      </c>
      <c r="E334" s="11" t="s">
        <v>142</v>
      </c>
      <c r="F334" s="7" t="s">
        <v>50</v>
      </c>
      <c r="G334" s="2" t="s">
        <v>396</v>
      </c>
      <c r="H334" s="2" t="s">
        <v>512</v>
      </c>
      <c r="I334" s="2" t="s">
        <v>493</v>
      </c>
      <c r="J334" s="2" t="s">
        <v>416</v>
      </c>
      <c r="M334" s="2" t="s">
        <v>143</v>
      </c>
      <c r="P334" s="2" t="s">
        <v>52</v>
      </c>
      <c r="Q334" s="1" t="str">
        <f>IF($B334=0,$M334,_xlfn.TEXTBEFORE(Q333,"/",$B334,,,Q333)&amp;"/"&amp;$M334)&amp;IF(_xlfn.TEXTAFTER($D334,"..",,,,1)&lt;&gt;"1","[0]","")</f>
        <v>*/GoodsShipment[0]/GoodsShipmentItem[0]/AdditionalInformation[0]/ccQualifier</v>
      </c>
    </row>
    <row r="335" spans="1:17" ht="12" customHeight="1" outlineLevel="4" x14ac:dyDescent="0.35">
      <c r="A335" s="2" t="str">
        <f>$E$2</f>
        <v>CC429B</v>
      </c>
      <c r="B335" s="1">
        <v>4</v>
      </c>
      <c r="C335" s="1" t="s">
        <v>19</v>
      </c>
      <c r="D335" s="2" t="s">
        <v>30</v>
      </c>
      <c r="E335" s="11" t="s">
        <v>226</v>
      </c>
      <c r="F335" s="7" t="s">
        <v>216</v>
      </c>
      <c r="G335" s="2" t="s">
        <v>22</v>
      </c>
      <c r="M335" s="2" t="s">
        <v>227</v>
      </c>
      <c r="P335" s="2" t="s">
        <v>218</v>
      </c>
      <c r="Q335" s="1" t="str">
        <f>IF($B335=0,$M335,_xlfn.TEXTBEFORE(Q334,"/",$B335,,,Q334)&amp;"/"&amp;$M335)&amp;IF(_xlfn.TEXTAFTER($D335,"..",,,,1)&lt;&gt;"1","[0]","")</f>
        <v>*/GoodsShipment[0]/GoodsShipmentItem[0]/AdditionalInformation[0]/text</v>
      </c>
    </row>
    <row r="336" spans="1:17" ht="12" customHeight="1" outlineLevel="3" x14ac:dyDescent="0.35">
      <c r="A336" s="3" t="str">
        <f>$E$2</f>
        <v>CC429B</v>
      </c>
      <c r="B336" s="4">
        <v>3</v>
      </c>
      <c r="C336" s="3" t="s">
        <v>24</v>
      </c>
      <c r="D336" s="3" t="s">
        <v>30</v>
      </c>
      <c r="E336" s="10" t="s">
        <v>720</v>
      </c>
      <c r="F336" s="4"/>
      <c r="G336" s="3" t="s">
        <v>396</v>
      </c>
      <c r="H336" s="4"/>
      <c r="I336" s="3" t="s">
        <v>721</v>
      </c>
      <c r="J336" s="4"/>
      <c r="K336" s="4"/>
      <c r="L336" s="4"/>
      <c r="M336" s="3" t="s">
        <v>722</v>
      </c>
      <c r="N336" s="4"/>
      <c r="O336" s="4"/>
      <c r="P336" s="3" t="s">
        <v>1511</v>
      </c>
      <c r="Q336" s="1" t="str">
        <f>IF($B336=0,$M336,_xlfn.TEXTBEFORE(Q335,"/",$B336,,,Q335)&amp;"/"&amp;$M336)&amp;IF(_xlfn.TEXTAFTER($D336,"..",,,,1)&lt;&gt;"1","[0]","")</f>
        <v>*/GoodsShipment[0]/GoodsShipmentItem[0]/CustomsValuation</v>
      </c>
    </row>
    <row r="337" spans="1:17" ht="12" customHeight="1" outlineLevel="4" x14ac:dyDescent="0.35">
      <c r="A337" s="2" t="str">
        <f>$E$2</f>
        <v>CC429B</v>
      </c>
      <c r="B337" s="1">
        <v>4</v>
      </c>
      <c r="C337" s="1" t="s">
        <v>19</v>
      </c>
      <c r="D337" s="2" t="s">
        <v>25</v>
      </c>
      <c r="E337" s="11" t="s">
        <v>724</v>
      </c>
      <c r="F337" s="7" t="s">
        <v>123</v>
      </c>
      <c r="G337" s="2" t="s">
        <v>27</v>
      </c>
      <c r="J337" s="2" t="s">
        <v>725</v>
      </c>
      <c r="M337" s="2" t="s">
        <v>726</v>
      </c>
      <c r="P337" s="2" t="s">
        <v>727</v>
      </c>
      <c r="Q337" s="1" t="str">
        <f>IF($B337=0,$M337,_xlfn.TEXTBEFORE(Q336,"/",$B337,,,Q336)&amp;"/"&amp;$M337)&amp;IF(_xlfn.TEXTAFTER($D337,"..",,,,1)&lt;&gt;"1","[0]","")</f>
        <v>*/GoodsShipment[0]/GoodsShipmentItem[0]/CustomsValuation/valuationMethod</v>
      </c>
    </row>
    <row r="338" spans="1:17" ht="12" customHeight="1" outlineLevel="4" x14ac:dyDescent="0.35">
      <c r="A338" s="3" t="str">
        <f>$E$2</f>
        <v>CC429B</v>
      </c>
      <c r="B338" s="4">
        <v>4</v>
      </c>
      <c r="C338" s="3" t="s">
        <v>24</v>
      </c>
      <c r="D338" s="3" t="s">
        <v>193</v>
      </c>
      <c r="E338" s="12" t="s">
        <v>514</v>
      </c>
      <c r="F338" s="4"/>
      <c r="G338" s="3" t="s">
        <v>396</v>
      </c>
      <c r="H338" s="3" t="s">
        <v>1275</v>
      </c>
      <c r="I338" s="3" t="s">
        <v>515</v>
      </c>
      <c r="J338" s="4"/>
      <c r="K338" s="4"/>
      <c r="L338" s="4"/>
      <c r="M338" s="3" t="s">
        <v>516</v>
      </c>
      <c r="N338" s="4"/>
      <c r="O338" s="4"/>
      <c r="P338" s="3" t="s">
        <v>1501</v>
      </c>
      <c r="Q338" s="1" t="str">
        <f>IF($B338=0,$M338,_xlfn.TEXTBEFORE(Q337,"/",$B338,,,Q337)&amp;"/"&amp;$M338)&amp;IF(_xlfn.TEXTAFTER($D338,"..",,,,1)&lt;&gt;"1","[0]","")</f>
        <v>*/GoodsShipment[0]/GoodsShipmentItem[0]/CustomsValuation/AdditionsAndDeductions[0]</v>
      </c>
    </row>
    <row r="339" spans="1:17" ht="12" customHeight="1" outlineLevel="5" x14ac:dyDescent="0.35">
      <c r="A339" s="2" t="str">
        <f>$E$2</f>
        <v>CC429B</v>
      </c>
      <c r="B339" s="1">
        <v>5</v>
      </c>
      <c r="C339" s="1" t="s">
        <v>19</v>
      </c>
      <c r="D339" s="2" t="s">
        <v>25</v>
      </c>
      <c r="E339" s="13" t="s">
        <v>56</v>
      </c>
      <c r="F339" s="7" t="s">
        <v>57</v>
      </c>
      <c r="G339" s="2" t="s">
        <v>27</v>
      </c>
      <c r="H339" s="2" t="s">
        <v>393</v>
      </c>
      <c r="M339" s="2" t="s">
        <v>58</v>
      </c>
      <c r="P339" s="2" t="s">
        <v>59</v>
      </c>
      <c r="Q339" s="1" t="str">
        <f>IF($B339=0,$M339,_xlfn.TEXTBEFORE(Q338,"/",$B339,,,Q338)&amp;"/"&amp;$M339)&amp;IF(_xlfn.TEXTAFTER($D339,"..",,,,1)&lt;&gt;"1","[0]","")</f>
        <v>*/GoodsShipment[0]/GoodsShipmentItem[0]/CustomsValuation/AdditionsAndDeductions[0]/sequenceNumber</v>
      </c>
    </row>
    <row r="340" spans="1:17" ht="12" customHeight="1" outlineLevel="5" x14ac:dyDescent="0.35">
      <c r="A340" s="2" t="str">
        <f>$E$2</f>
        <v>CC429B</v>
      </c>
      <c r="B340" s="1">
        <v>5</v>
      </c>
      <c r="C340" s="1" t="s">
        <v>19</v>
      </c>
      <c r="D340" s="2" t="s">
        <v>25</v>
      </c>
      <c r="E340" s="13" t="s">
        <v>222</v>
      </c>
      <c r="F340" s="7" t="s">
        <v>518</v>
      </c>
      <c r="G340" s="2" t="s">
        <v>27</v>
      </c>
      <c r="J340" s="2" t="s">
        <v>519</v>
      </c>
      <c r="M340" s="2" t="s">
        <v>224</v>
      </c>
      <c r="P340" s="2" t="s">
        <v>520</v>
      </c>
      <c r="Q340" s="1" t="str">
        <f>IF($B340=0,$M340,_xlfn.TEXTBEFORE(Q339,"/",$B340,,,Q339)&amp;"/"&amp;$M340)&amp;IF(_xlfn.TEXTAFTER($D340,"..",,,,1)&lt;&gt;"1","[0]","")</f>
        <v>*/GoodsShipment[0]/GoodsShipmentItem[0]/CustomsValuation/AdditionsAndDeductions[0]/code</v>
      </c>
    </row>
    <row r="341" spans="1:17" ht="12" customHeight="1" outlineLevel="5" x14ac:dyDescent="0.35">
      <c r="A341" s="2" t="str">
        <f>$E$2</f>
        <v>CC429B</v>
      </c>
      <c r="B341" s="1">
        <v>5</v>
      </c>
      <c r="C341" s="1" t="s">
        <v>19</v>
      </c>
      <c r="D341" s="2" t="s">
        <v>25</v>
      </c>
      <c r="E341" s="13" t="s">
        <v>524</v>
      </c>
      <c r="F341" s="7" t="s">
        <v>181</v>
      </c>
      <c r="G341" s="2" t="s">
        <v>27</v>
      </c>
      <c r="M341" s="2" t="s">
        <v>525</v>
      </c>
      <c r="P341" s="2" t="s">
        <v>183</v>
      </c>
      <c r="Q341" s="1" t="str">
        <f>IF($B341=0,$M341,_xlfn.TEXTBEFORE(Q340,"/",$B341,,,Q340)&amp;"/"&amp;$M341)&amp;IF(_xlfn.TEXTAFTER($D341,"..",,,,1)&lt;&gt;"1","[0]","")</f>
        <v>*/GoodsShipment[0]/GoodsShipmentItem[0]/CustomsValuation/AdditionsAndDeductions[0]/amount</v>
      </c>
    </row>
    <row r="342" spans="1:17" ht="12" customHeight="1" outlineLevel="3" x14ac:dyDescent="0.35">
      <c r="A342" s="3" t="str">
        <f>$E$2</f>
        <v>CC429B</v>
      </c>
      <c r="B342" s="4">
        <v>3</v>
      </c>
      <c r="C342" s="3" t="s">
        <v>24</v>
      </c>
      <c r="D342" s="3" t="s">
        <v>30</v>
      </c>
      <c r="E342" s="10" t="s">
        <v>730</v>
      </c>
      <c r="F342" s="4"/>
      <c r="G342" s="3" t="s">
        <v>396</v>
      </c>
      <c r="H342" s="3" t="s">
        <v>1313</v>
      </c>
      <c r="I342" s="3" t="s">
        <v>731</v>
      </c>
      <c r="J342" s="4"/>
      <c r="K342" s="4"/>
      <c r="L342" s="4"/>
      <c r="M342" s="3" t="s">
        <v>732</v>
      </c>
      <c r="N342" s="4"/>
      <c r="O342" s="4"/>
      <c r="P342" s="3" t="s">
        <v>733</v>
      </c>
      <c r="Q342" s="1" t="str">
        <f>IF($B342=0,$M342,_xlfn.TEXTBEFORE(Q341,"/",$B342,,,Q341)&amp;"/"&amp;$M342)&amp;IF(_xlfn.TEXTAFTER($D342,"..",,,,1)&lt;&gt;"1","[0]","")</f>
        <v>*/GoodsShipment[0]/GoodsShipmentItem[0]/ValuationAdjustment</v>
      </c>
    </row>
    <row r="343" spans="1:17" ht="12" customHeight="1" outlineLevel="4" x14ac:dyDescent="0.35">
      <c r="A343" s="2" t="str">
        <f>$E$2</f>
        <v>CC429B</v>
      </c>
      <c r="B343" s="1">
        <v>4</v>
      </c>
      <c r="C343" s="1" t="s">
        <v>19</v>
      </c>
      <c r="D343" s="2" t="s">
        <v>25</v>
      </c>
      <c r="E343" s="11" t="s">
        <v>734</v>
      </c>
      <c r="F343" s="7" t="s">
        <v>735</v>
      </c>
      <c r="G343" s="2" t="s">
        <v>27</v>
      </c>
      <c r="H343" s="2" t="s">
        <v>736</v>
      </c>
      <c r="M343" s="2" t="s">
        <v>737</v>
      </c>
      <c r="P343" s="2" t="s">
        <v>738</v>
      </c>
      <c r="Q343" s="1" t="str">
        <f>IF($B343=0,$M343,_xlfn.TEXTBEFORE(Q342,"/",$B343,,,Q342)&amp;"/"&amp;$M343)&amp;IF(_xlfn.TEXTAFTER($D343,"..",,,,1)&lt;&gt;"1","[0]","")</f>
        <v>*/GoodsShipment[0]/GoodsShipmentItem[0]/ValuationAdjustment/valuationIndicators</v>
      </c>
    </row>
    <row r="344" spans="1:17" ht="12" customHeight="1" outlineLevel="3" x14ac:dyDescent="0.35">
      <c r="A344" s="3" t="str">
        <f>$E$2</f>
        <v>CC429B</v>
      </c>
      <c r="B344" s="4">
        <v>3</v>
      </c>
      <c r="C344" s="3" t="s">
        <v>24</v>
      </c>
      <c r="D344" s="3" t="s">
        <v>193</v>
      </c>
      <c r="E344" s="10" t="s">
        <v>528</v>
      </c>
      <c r="F344" s="4"/>
      <c r="G344" s="3" t="s">
        <v>396</v>
      </c>
      <c r="H344" s="3" t="s">
        <v>595</v>
      </c>
      <c r="I344" s="16" t="s">
        <v>1314</v>
      </c>
      <c r="J344" s="4"/>
      <c r="K344" s="4"/>
      <c r="L344" s="4"/>
      <c r="M344" s="3" t="s">
        <v>530</v>
      </c>
      <c r="N344" s="4"/>
      <c r="O344" s="4"/>
      <c r="P344" s="3" t="s">
        <v>531</v>
      </c>
      <c r="Q344" s="1" t="str">
        <f>IF($B344=0,$M344,_xlfn.TEXTBEFORE(Q343,"/",$B344,,,Q343)&amp;"/"&amp;$M344)&amp;IF(_xlfn.TEXTAFTER($D344,"..",,,,1)&lt;&gt;"1","[0]","")</f>
        <v>*/GoodsShipment[0]/GoodsShipmentItem[0]/AdditionalFiscalReference[0]</v>
      </c>
    </row>
    <row r="345" spans="1:17" ht="12" customHeight="1" outlineLevel="4" x14ac:dyDescent="0.35">
      <c r="A345" s="2" t="str">
        <f>$E$2</f>
        <v>CC429B</v>
      </c>
      <c r="B345" s="1">
        <v>4</v>
      </c>
      <c r="C345" s="1" t="s">
        <v>19</v>
      </c>
      <c r="D345" s="2" t="s">
        <v>25</v>
      </c>
      <c r="E345" s="11" t="s">
        <v>56</v>
      </c>
      <c r="F345" s="7" t="s">
        <v>57</v>
      </c>
      <c r="G345" s="2" t="s">
        <v>27</v>
      </c>
      <c r="H345" s="2" t="s">
        <v>393</v>
      </c>
      <c r="M345" s="2" t="s">
        <v>58</v>
      </c>
      <c r="P345" s="2" t="s">
        <v>59</v>
      </c>
      <c r="Q345" s="1" t="str">
        <f>IF($B345=0,$M345,_xlfn.TEXTBEFORE(Q344,"/",$B345,,,Q344)&amp;"/"&amp;$M345)&amp;IF(_xlfn.TEXTAFTER($D345,"..",,,,1)&lt;&gt;"1","[0]","")</f>
        <v>*/GoodsShipment[0]/GoodsShipmentItem[0]/AdditionalFiscalReference[0]/sequenceNumber</v>
      </c>
    </row>
    <row r="346" spans="1:17" ht="12" customHeight="1" outlineLevel="4" x14ac:dyDescent="0.35">
      <c r="A346" s="2" t="str">
        <f>$E$2</f>
        <v>CC429B</v>
      </c>
      <c r="B346" s="1">
        <v>4</v>
      </c>
      <c r="C346" s="1" t="s">
        <v>19</v>
      </c>
      <c r="D346" s="2" t="s">
        <v>25</v>
      </c>
      <c r="E346" s="11" t="s">
        <v>197</v>
      </c>
      <c r="F346" s="7" t="s">
        <v>333</v>
      </c>
      <c r="G346" s="2" t="s">
        <v>27</v>
      </c>
      <c r="J346" s="2" t="s">
        <v>532</v>
      </c>
      <c r="M346" s="2" t="s">
        <v>199</v>
      </c>
      <c r="P346" s="2" t="s">
        <v>533</v>
      </c>
      <c r="Q346" s="1" t="str">
        <f>IF($B346=0,$M346,_xlfn.TEXTBEFORE(Q345,"/",$B346,,,Q345)&amp;"/"&amp;$M346)&amp;IF(_xlfn.TEXTAFTER($D346,"..",,,,1)&lt;&gt;"1","[0]","")</f>
        <v>*/GoodsShipment[0]/GoodsShipmentItem[0]/AdditionalFiscalReference[0]/role</v>
      </c>
    </row>
    <row r="347" spans="1:17" ht="12" customHeight="1" outlineLevel="4" x14ac:dyDescent="0.35">
      <c r="A347" s="2" t="str">
        <f>$E$2</f>
        <v>CC429B</v>
      </c>
      <c r="B347" s="1">
        <v>4</v>
      </c>
      <c r="C347" s="1" t="s">
        <v>19</v>
      </c>
      <c r="D347" s="2" t="s">
        <v>25</v>
      </c>
      <c r="E347" s="11" t="s">
        <v>534</v>
      </c>
      <c r="F347" s="7" t="s">
        <v>103</v>
      </c>
      <c r="G347" s="2" t="s">
        <v>27</v>
      </c>
      <c r="M347" s="2" t="s">
        <v>535</v>
      </c>
      <c r="P347" s="2" t="s">
        <v>536</v>
      </c>
      <c r="Q347" s="1" t="str">
        <f>IF($B347=0,$M347,_xlfn.TEXTBEFORE(Q346,"/",$B347,,,Q346)&amp;"/"&amp;$M347)&amp;IF(_xlfn.TEXTAFTER($D347,"..",,,,1)&lt;&gt;"1","[0]","")</f>
        <v>*/GoodsShipment[0]/GoodsShipmentItem[0]/AdditionalFiscalReference[0]/VATIdentificationNumber</v>
      </c>
    </row>
    <row r="348" spans="1:17" ht="12" customHeight="1" outlineLevel="1" x14ac:dyDescent="0.35">
      <c r="A348" s="3" t="str">
        <f>$E$2</f>
        <v>CC429B</v>
      </c>
      <c r="B348" s="4">
        <v>1</v>
      </c>
      <c r="C348" s="3" t="s">
        <v>24</v>
      </c>
      <c r="D348" s="3" t="s">
        <v>25</v>
      </c>
      <c r="E348" s="5" t="s">
        <v>1315</v>
      </c>
      <c r="F348" s="4"/>
      <c r="G348" s="3" t="s">
        <v>27</v>
      </c>
      <c r="H348" s="4"/>
      <c r="I348" s="4"/>
      <c r="J348" s="4"/>
      <c r="K348" s="4"/>
      <c r="L348" s="4"/>
      <c r="M348" s="3" t="s">
        <v>1316</v>
      </c>
      <c r="N348" s="4"/>
      <c r="O348" s="4"/>
      <c r="P348" s="3" t="s">
        <v>1317</v>
      </c>
      <c r="Q348" s="1" t="str">
        <f>IF($B348=0,$M348,_xlfn.TEXTBEFORE(Q347,"/",$B348,,,Q347)&amp;"/"&amp;$M348)&amp;IF(_xlfn.TEXTAFTER($D348,"..",,,,1)&lt;&gt;"1","[0]","")</f>
        <v>*/ControlResult</v>
      </c>
    </row>
    <row r="349" spans="1:17" ht="12" customHeight="1" outlineLevel="2" x14ac:dyDescent="0.35">
      <c r="A349" s="2" t="str">
        <f>$E$2</f>
        <v>CC429B</v>
      </c>
      <c r="B349" s="1">
        <v>2</v>
      </c>
      <c r="C349" s="1" t="s">
        <v>19</v>
      </c>
      <c r="D349" s="2" t="s">
        <v>25</v>
      </c>
      <c r="E349" s="6" t="s">
        <v>222</v>
      </c>
      <c r="F349" s="7" t="s">
        <v>325</v>
      </c>
      <c r="G349" s="2" t="s">
        <v>27</v>
      </c>
      <c r="H349" s="2" t="s">
        <v>1318</v>
      </c>
      <c r="J349" s="2" t="s">
        <v>1319</v>
      </c>
      <c r="M349" s="2" t="s">
        <v>224</v>
      </c>
      <c r="P349" s="2" t="s">
        <v>1320</v>
      </c>
      <c r="Q349" s="1" t="str">
        <f>IF($B349=0,$M349,_xlfn.TEXTBEFORE(Q348,"/",$B349,,,Q348)&amp;"/"&amp;$M349)&amp;IF(_xlfn.TEXTAFTER($D349,"..",,,,1)&lt;&gt;"1","[0]","")</f>
        <v>*/ControlResult/code</v>
      </c>
    </row>
    <row r="350" spans="1:17" ht="12" customHeight="1" outlineLevel="2" x14ac:dyDescent="0.35">
      <c r="A350" s="2" t="str">
        <f>$E$2</f>
        <v>CC429B</v>
      </c>
      <c r="B350" s="1">
        <v>2</v>
      </c>
      <c r="C350" s="1" t="s">
        <v>19</v>
      </c>
      <c r="D350" s="2" t="s">
        <v>25</v>
      </c>
      <c r="E350" s="6" t="s">
        <v>1321</v>
      </c>
      <c r="F350" s="2" t="s">
        <v>505</v>
      </c>
      <c r="G350" s="2" t="s">
        <v>27</v>
      </c>
      <c r="H350" s="2" t="s">
        <v>786</v>
      </c>
      <c r="M350" s="2" t="s">
        <v>1322</v>
      </c>
      <c r="P350" s="2" t="s">
        <v>507</v>
      </c>
      <c r="Q350" s="1" t="str">
        <f>IF($B350=0,$M350,_xlfn.TEXTBEFORE(Q349,"/",$B350,,,Q349)&amp;"/"&amp;$M350)&amp;IF(_xlfn.TEXTAFTER($D350,"..",,,,1)&lt;&gt;"1","[0]","")</f>
        <v>*/ControlResult/date</v>
      </c>
    </row>
    <row r="351" spans="1:17" ht="12" customHeight="1" outlineLevel="2" x14ac:dyDescent="0.35">
      <c r="A351" s="2" t="str">
        <f>$E$2</f>
        <v>CC429B</v>
      </c>
      <c r="B351" s="1">
        <v>2</v>
      </c>
      <c r="C351" s="1" t="s">
        <v>19</v>
      </c>
      <c r="D351" s="2" t="s">
        <v>30</v>
      </c>
      <c r="E351" s="6" t="s">
        <v>1323</v>
      </c>
      <c r="F351" s="7" t="s">
        <v>216</v>
      </c>
      <c r="G351" s="2" t="s">
        <v>22</v>
      </c>
      <c r="M351" s="2" t="s">
        <v>1324</v>
      </c>
      <c r="P351" s="2" t="s">
        <v>218</v>
      </c>
      <c r="Q351" s="1" t="str">
        <f>IF($B351=0,$M351,_xlfn.TEXTBEFORE(Q350,"/",$B351,,,Q350)&amp;"/"&amp;$M351)&amp;IF(_xlfn.TEXTAFTER($D351,"..",,,,1)&lt;&gt;"1","[0]","")</f>
        <v>*/ControlResult/remarks</v>
      </c>
    </row>
    <row r="352" spans="1:17" ht="12" customHeight="1" outlineLevel="2" x14ac:dyDescent="0.35">
      <c r="A352" s="2" t="str">
        <f>$E$2</f>
        <v>CC429B</v>
      </c>
      <c r="B352" s="1">
        <v>2</v>
      </c>
      <c r="C352" s="1" t="s">
        <v>19</v>
      </c>
      <c r="D352" s="2" t="s">
        <v>25</v>
      </c>
      <c r="E352" s="6" t="s">
        <v>1325</v>
      </c>
      <c r="F352" s="7" t="s">
        <v>123</v>
      </c>
      <c r="G352" s="2" t="s">
        <v>27</v>
      </c>
      <c r="J352" s="2" t="s">
        <v>539</v>
      </c>
      <c r="M352" s="2" t="s">
        <v>1326</v>
      </c>
      <c r="P352" s="2" t="s">
        <v>367</v>
      </c>
      <c r="Q352" s="1" t="str">
        <f>IF($B352=0,$M352,_xlfn.TEXTBEFORE(Q351,"/",$B352,,,Q351)&amp;"/"&amp;$M352)&amp;IF(_xlfn.TEXTAFTER($D352,"..",,,,1)&lt;&gt;"1","[0]","")</f>
        <v>*/ControlResult/pendingSamplingResults</v>
      </c>
    </row>
    <row r="353" spans="1:17" ht="12" customHeight="1" outlineLevel="1" x14ac:dyDescent="0.35">
      <c r="A353" s="3" t="str">
        <f>$E$2</f>
        <v>CC429B</v>
      </c>
      <c r="B353" s="4">
        <v>1</v>
      </c>
      <c r="C353" s="3" t="s">
        <v>24</v>
      </c>
      <c r="D353" s="3" t="s">
        <v>243</v>
      </c>
      <c r="E353" s="5" t="s">
        <v>1327</v>
      </c>
      <c r="F353" s="4"/>
      <c r="G353" s="3" t="s">
        <v>396</v>
      </c>
      <c r="H353" s="4"/>
      <c r="I353" s="3" t="s">
        <v>1328</v>
      </c>
      <c r="J353" s="4"/>
      <c r="K353" s="4"/>
      <c r="L353" s="4"/>
      <c r="M353" s="3" t="s">
        <v>1329</v>
      </c>
      <c r="N353" s="4"/>
      <c r="O353" s="4"/>
      <c r="P353" s="3" t="s">
        <v>1330</v>
      </c>
      <c r="Q353" s="1" t="str">
        <f>IF($B353=0,$M353,_xlfn.TEXTBEFORE(Q352,"/",$B353,,,Q352)&amp;"/"&amp;$M353)&amp;IF(_xlfn.TEXTAFTER($D353,"..",,,,1)&lt;&gt;"1","[0]","")</f>
        <v>*/ControlResults[0]</v>
      </c>
    </row>
    <row r="354" spans="1:17" ht="12" customHeight="1" outlineLevel="2" x14ac:dyDescent="0.35">
      <c r="A354" s="2" t="str">
        <f>$E$2</f>
        <v>CC429B</v>
      </c>
      <c r="B354" s="1">
        <v>2</v>
      </c>
      <c r="C354" s="1" t="s">
        <v>19</v>
      </c>
      <c r="D354" s="2" t="s">
        <v>25</v>
      </c>
      <c r="E354" s="6" t="s">
        <v>56</v>
      </c>
      <c r="F354" s="7" t="s">
        <v>57</v>
      </c>
      <c r="G354" s="2" t="s">
        <v>27</v>
      </c>
      <c r="H354" s="2" t="s">
        <v>393</v>
      </c>
      <c r="M354" s="2" t="s">
        <v>58</v>
      </c>
      <c r="P354" s="2" t="s">
        <v>59</v>
      </c>
      <c r="Q354" s="1" t="str">
        <f>IF($B354=0,$M354,_xlfn.TEXTBEFORE(Q353,"/",$B354,,,Q353)&amp;"/"&amp;$M354)&amp;IF(_xlfn.TEXTAFTER($D354,"..",,,,1)&lt;&gt;"1","[0]","")</f>
        <v>*/ControlResults[0]/sequenceNumber</v>
      </c>
    </row>
    <row r="355" spans="1:17" ht="12" customHeight="1" outlineLevel="2" x14ac:dyDescent="0.35">
      <c r="A355" s="2" t="str">
        <f>$E$2</f>
        <v>CC429B</v>
      </c>
      <c r="B355" s="1">
        <v>2</v>
      </c>
      <c r="C355" s="1" t="s">
        <v>19</v>
      </c>
      <c r="D355" s="2" t="s">
        <v>30</v>
      </c>
      <c r="E355" s="6" t="s">
        <v>1331</v>
      </c>
      <c r="F355" s="7" t="s">
        <v>1490</v>
      </c>
      <c r="G355" s="2" t="s">
        <v>22</v>
      </c>
      <c r="H355" s="2" t="s">
        <v>1332</v>
      </c>
      <c r="M355" s="2" t="s">
        <v>1333</v>
      </c>
      <c r="P355" s="2" t="s">
        <v>1334</v>
      </c>
      <c r="Q355" s="1" t="str">
        <f>IF($B355=0,$M355,_xlfn.TEXTBEFORE(Q354,"/",$B355,,,Q354)&amp;"/"&amp;$M355)&amp;IF(_xlfn.TEXTAFTER($D355,"..",,,,1)&lt;&gt;"1","[0]","")</f>
        <v>*/ControlResults[0]/goodsShipmentSequenceNumber</v>
      </c>
    </row>
    <row r="356" spans="1:17" ht="12" customHeight="1" outlineLevel="2" x14ac:dyDescent="0.35">
      <c r="A356" s="2" t="str">
        <f>$E$2</f>
        <v>CC429B</v>
      </c>
      <c r="B356" s="1">
        <v>2</v>
      </c>
      <c r="C356" s="1" t="s">
        <v>19</v>
      </c>
      <c r="D356" s="2" t="s">
        <v>30</v>
      </c>
      <c r="E356" s="6" t="s">
        <v>253</v>
      </c>
      <c r="F356" s="7" t="s">
        <v>1490</v>
      </c>
      <c r="G356" s="2" t="s">
        <v>22</v>
      </c>
      <c r="H356" s="2" t="s">
        <v>1332</v>
      </c>
      <c r="M356" s="2" t="s">
        <v>254</v>
      </c>
      <c r="P356" s="2" t="s">
        <v>1334</v>
      </c>
      <c r="Q356" s="1" t="str">
        <f>IF($B356=0,$M356,_xlfn.TEXTBEFORE(Q355,"/",$B356,,,Q355)&amp;"/"&amp;$M356)&amp;IF(_xlfn.TEXTAFTER($D356,"..",,,,1)&lt;&gt;"1","[0]","")</f>
        <v>*/ControlResults[0]/declarationGoodsItemNumber</v>
      </c>
    </row>
    <row r="357" spans="1:17" ht="12" customHeight="1" outlineLevel="2" x14ac:dyDescent="0.35">
      <c r="A357" s="2" t="str">
        <f>$E$2</f>
        <v>CC429B</v>
      </c>
      <c r="B357" s="1">
        <v>2</v>
      </c>
      <c r="C357" s="1" t="s">
        <v>19</v>
      </c>
      <c r="D357" s="2" t="s">
        <v>25</v>
      </c>
      <c r="E357" s="6" t="s">
        <v>1335</v>
      </c>
      <c r="F357" s="7" t="s">
        <v>325</v>
      </c>
      <c r="G357" s="2" t="s">
        <v>27</v>
      </c>
      <c r="J357" s="2" t="s">
        <v>1319</v>
      </c>
      <c r="M357" s="2" t="s">
        <v>1336</v>
      </c>
      <c r="P357" s="2" t="s">
        <v>1320</v>
      </c>
      <c r="Q357" s="1" t="str">
        <f>IF($B357=0,$M357,_xlfn.TEXTBEFORE(Q356,"/",$B357,,,Q356)&amp;"/"&amp;$M357)&amp;IF(_xlfn.TEXTAFTER($D357,"..",,,,1)&lt;&gt;"1","[0]","")</f>
        <v>*/ControlResults[0]/controlResultCode</v>
      </c>
    </row>
    <row r="358" spans="1:17" ht="12" customHeight="1" outlineLevel="2" x14ac:dyDescent="0.35">
      <c r="A358" s="3" t="str">
        <f>$E$2</f>
        <v>CC429B</v>
      </c>
      <c r="B358" s="4">
        <v>2</v>
      </c>
      <c r="C358" s="3" t="s">
        <v>24</v>
      </c>
      <c r="D358" s="3" t="s">
        <v>193</v>
      </c>
      <c r="E358" s="8" t="s">
        <v>1337</v>
      </c>
      <c r="F358" s="4"/>
      <c r="G358" s="3" t="s">
        <v>396</v>
      </c>
      <c r="H358" s="4"/>
      <c r="I358" s="3" t="s">
        <v>1338</v>
      </c>
      <c r="J358" s="4"/>
      <c r="K358" s="4"/>
      <c r="L358" s="4"/>
      <c r="M358" s="3" t="s">
        <v>1339</v>
      </c>
      <c r="N358" s="4"/>
      <c r="O358" s="4"/>
      <c r="P358" s="3" t="s">
        <v>1340</v>
      </c>
      <c r="Q358" s="1" t="str">
        <f>IF($B358=0,$M358,_xlfn.TEXTBEFORE(Q357,"/",$B358,,,Q357)&amp;"/"&amp;$M358)&amp;IF(_xlfn.TEXTAFTER($D358,"..",,,,1)&lt;&gt;"1","[0]","")</f>
        <v>*/ControlResults[0]/ResultsOfControl[0]</v>
      </c>
    </row>
    <row r="359" spans="1:17" ht="12" customHeight="1" outlineLevel="3" x14ac:dyDescent="0.35">
      <c r="A359" s="2" t="str">
        <f>$E$2</f>
        <v>CC429B</v>
      </c>
      <c r="B359" s="1">
        <v>3</v>
      </c>
      <c r="C359" s="1" t="s">
        <v>19</v>
      </c>
      <c r="D359" s="2" t="s">
        <v>25</v>
      </c>
      <c r="E359" s="9" t="s">
        <v>56</v>
      </c>
      <c r="F359" s="7" t="s">
        <v>57</v>
      </c>
      <c r="G359" s="2" t="s">
        <v>27</v>
      </c>
      <c r="H359" s="2" t="s">
        <v>393</v>
      </c>
      <c r="M359" s="2" t="s">
        <v>58</v>
      </c>
      <c r="P359" s="2" t="s">
        <v>59</v>
      </c>
      <c r="Q359" s="1" t="str">
        <f>IF($B359=0,$M359,_xlfn.TEXTBEFORE(Q358,"/",$B359,,,Q358)&amp;"/"&amp;$M359)&amp;IF(_xlfn.TEXTAFTER($D359,"..",,,,1)&lt;&gt;"1","[0]","")</f>
        <v>*/ControlResults[0]/ResultsOfControl[0]/sequenceNumber</v>
      </c>
    </row>
    <row r="360" spans="1:17" ht="12" customHeight="1" outlineLevel="3" x14ac:dyDescent="0.35">
      <c r="A360" s="2" t="str">
        <f>$E$2</f>
        <v>CC429B</v>
      </c>
      <c r="B360" s="1">
        <v>3</v>
      </c>
      <c r="C360" s="1" t="s">
        <v>19</v>
      </c>
      <c r="D360" s="2" t="s">
        <v>25</v>
      </c>
      <c r="E360" s="9" t="s">
        <v>1341</v>
      </c>
      <c r="F360" s="7" t="s">
        <v>1491</v>
      </c>
      <c r="G360" s="2" t="s">
        <v>27</v>
      </c>
      <c r="J360" s="2" t="s">
        <v>1342</v>
      </c>
      <c r="M360" s="2" t="s">
        <v>1343</v>
      </c>
      <c r="P360" s="2" t="s">
        <v>1344</v>
      </c>
      <c r="Q360" s="1" t="str">
        <f>IF($B360=0,$M360,_xlfn.TEXTBEFORE(Q359,"/",$B360,,,Q359)&amp;"/"&amp;$M360)&amp;IF(_xlfn.TEXTAFTER($D360,"..",,,,1)&lt;&gt;"1","[0]","")</f>
        <v>*/ControlResults[0]/ResultsOfControl[0]/riskAreaCode</v>
      </c>
    </row>
    <row r="361" spans="1:17" ht="12" customHeight="1" outlineLevel="3" x14ac:dyDescent="0.35">
      <c r="A361" s="2" t="str">
        <f>$E$2</f>
        <v>CC429B</v>
      </c>
      <c r="B361" s="1">
        <v>3</v>
      </c>
      <c r="C361" s="1" t="s">
        <v>19</v>
      </c>
      <c r="D361" s="2" t="s">
        <v>25</v>
      </c>
      <c r="E361" s="9" t="s">
        <v>1345</v>
      </c>
      <c r="F361" s="7" t="s">
        <v>1492</v>
      </c>
      <c r="G361" s="2" t="s">
        <v>27</v>
      </c>
      <c r="H361" s="2" t="s">
        <v>1346</v>
      </c>
      <c r="J361" s="2" t="s">
        <v>1347</v>
      </c>
      <c r="M361" s="2" t="s">
        <v>1348</v>
      </c>
      <c r="P361" s="2" t="s">
        <v>1349</v>
      </c>
      <c r="Q361" s="1" t="str">
        <f>IF($B361=0,$M361,_xlfn.TEXTBEFORE(Q360,"/",$B361,,,Q360)&amp;"/"&amp;$M361)&amp;IF(_xlfn.TEXTAFTER($D361,"..",,,,1)&lt;&gt;"1","[0]","")</f>
        <v>*/ControlResults[0]/ResultsOfControl[0]/controlType</v>
      </c>
    </row>
    <row r="362" spans="1:17" ht="12" customHeight="1" outlineLevel="3" x14ac:dyDescent="0.35">
      <c r="A362" s="2" t="str">
        <f>$E$2</f>
        <v>CC429B</v>
      </c>
      <c r="B362" s="1">
        <v>3</v>
      </c>
      <c r="C362" s="1" t="s">
        <v>19</v>
      </c>
      <c r="D362" s="2" t="s">
        <v>25</v>
      </c>
      <c r="E362" s="9" t="s">
        <v>1350</v>
      </c>
      <c r="F362" s="2" t="s">
        <v>505</v>
      </c>
      <c r="G362" s="2" t="s">
        <v>27</v>
      </c>
      <c r="H362" s="2" t="s">
        <v>786</v>
      </c>
      <c r="M362" s="2" t="s">
        <v>1351</v>
      </c>
      <c r="P362" s="2" t="s">
        <v>507</v>
      </c>
      <c r="Q362" s="1" t="str">
        <f>IF($B362=0,$M362,_xlfn.TEXTBEFORE(Q361,"/",$B362,,,Q361)&amp;"/"&amp;$M362)&amp;IF(_xlfn.TEXTAFTER($D362,"..",,,,1)&lt;&gt;"1","[0]","")</f>
        <v>*/ControlResults[0]/ResultsOfControl[0]/controlDate</v>
      </c>
    </row>
    <row r="363" spans="1:17" ht="12" customHeight="1" outlineLevel="3" x14ac:dyDescent="0.35">
      <c r="A363" s="2" t="str">
        <f>$E$2</f>
        <v>CC429B</v>
      </c>
      <c r="B363" s="1">
        <v>3</v>
      </c>
      <c r="C363" s="1" t="s">
        <v>19</v>
      </c>
      <c r="D363" s="2" t="s">
        <v>30</v>
      </c>
      <c r="E363" s="9" t="s">
        <v>1323</v>
      </c>
      <c r="F363" s="7" t="s">
        <v>216</v>
      </c>
      <c r="G363" s="2" t="s">
        <v>22</v>
      </c>
      <c r="M363" s="2" t="s">
        <v>1324</v>
      </c>
      <c r="P363" s="2" t="s">
        <v>218</v>
      </c>
      <c r="Q363" s="1" t="str">
        <f>IF($B363=0,$M363,_xlfn.TEXTBEFORE(Q362,"/",$B363,,,Q362)&amp;"/"&amp;$M363)&amp;IF(_xlfn.TEXTAFTER($D363,"..",,,,1)&lt;&gt;"1","[0]","")</f>
        <v>*/ControlResults[0]/ResultsOfControl[0]/remarks</v>
      </c>
    </row>
    <row r="364" spans="1:17" ht="12" customHeight="1" outlineLevel="3" x14ac:dyDescent="0.35">
      <c r="A364" s="3" t="str">
        <f>$E$2</f>
        <v>CC429B</v>
      </c>
      <c r="B364" s="4">
        <v>3</v>
      </c>
      <c r="C364" s="3" t="s">
        <v>24</v>
      </c>
      <c r="D364" s="3" t="s">
        <v>53</v>
      </c>
      <c r="E364" s="10" t="s">
        <v>1352</v>
      </c>
      <c r="F364" s="4"/>
      <c r="G364" s="3" t="s">
        <v>396</v>
      </c>
      <c r="H364" s="3" t="s">
        <v>1353</v>
      </c>
      <c r="I364" s="3" t="s">
        <v>1354</v>
      </c>
      <c r="J364" s="4"/>
      <c r="K364" s="4"/>
      <c r="L364" s="4"/>
      <c r="M364" s="3" t="s">
        <v>1355</v>
      </c>
      <c r="N364" s="4"/>
      <c r="O364" s="4"/>
      <c r="P364" s="3" t="s">
        <v>1356</v>
      </c>
      <c r="Q364" s="1" t="str">
        <f>IF($B364=0,$M364,_xlfn.TEXTBEFORE(Q363,"/",$B364,,,Q363)&amp;"/"&amp;$M364)&amp;IF(_xlfn.TEXTAFTER($D364,"..",,,,1)&lt;&gt;"1","[0]","")</f>
        <v>*/ControlResults[0]/ResultsOfControl[0]/ControlDetails[0]</v>
      </c>
    </row>
    <row r="365" spans="1:17" ht="12" customHeight="1" outlineLevel="4" x14ac:dyDescent="0.35">
      <c r="A365" s="2" t="str">
        <f>$E$2</f>
        <v>CC429B</v>
      </c>
      <c r="B365" s="1">
        <v>4</v>
      </c>
      <c r="C365" s="1" t="s">
        <v>19</v>
      </c>
      <c r="D365" s="2" t="s">
        <v>25</v>
      </c>
      <c r="E365" s="11" t="s">
        <v>56</v>
      </c>
      <c r="F365" s="7" t="s">
        <v>57</v>
      </c>
      <c r="G365" s="2" t="s">
        <v>27</v>
      </c>
      <c r="H365" s="2" t="s">
        <v>393</v>
      </c>
      <c r="M365" s="2" t="s">
        <v>58</v>
      </c>
      <c r="P365" s="2" t="s">
        <v>59</v>
      </c>
      <c r="Q365" s="1" t="str">
        <f>IF($B365=0,$M365,_xlfn.TEXTBEFORE(Q364,"/",$B365,,,Q364)&amp;"/"&amp;$M365)&amp;IF(_xlfn.TEXTAFTER($D365,"..",,,,1)&lt;&gt;"1","[0]","")</f>
        <v>*/ControlResults[0]/ResultsOfControl[0]/ControlDetails[0]/sequenceNumber</v>
      </c>
    </row>
    <row r="366" spans="1:17" ht="12" customHeight="1" outlineLevel="4" x14ac:dyDescent="0.35">
      <c r="A366" s="2" t="str">
        <f>$E$2</f>
        <v>CC429B</v>
      </c>
      <c r="B366" s="1">
        <v>4</v>
      </c>
      <c r="C366" s="1" t="s">
        <v>19</v>
      </c>
      <c r="D366" s="2" t="s">
        <v>25</v>
      </c>
      <c r="E366" s="11" t="s">
        <v>1357</v>
      </c>
      <c r="F366" s="7" t="s">
        <v>1493</v>
      </c>
      <c r="G366" s="2" t="s">
        <v>27</v>
      </c>
      <c r="J366" s="2" t="s">
        <v>1358</v>
      </c>
      <c r="M366" s="2" t="s">
        <v>1359</v>
      </c>
      <c r="P366" s="2" t="s">
        <v>1360</v>
      </c>
      <c r="Q366" s="1" t="str">
        <f>IF($B366=0,$M366,_xlfn.TEXTBEFORE(Q365,"/",$B366,,,Q365)&amp;"/"&amp;$M366)&amp;IF(_xlfn.TEXTAFTER($D366,"..",,,,1)&lt;&gt;"1","[0]","")</f>
        <v>*/ControlResults[0]/ResultsOfControl[0]/ControlDetails[0]/typeOfDiscrepancies</v>
      </c>
    </row>
    <row r="367" spans="1:17" ht="12" customHeight="1" outlineLevel="4" x14ac:dyDescent="0.35">
      <c r="A367" s="2" t="str">
        <f>$E$2</f>
        <v>CC429B</v>
      </c>
      <c r="B367" s="1">
        <v>4</v>
      </c>
      <c r="C367" s="1" t="s">
        <v>19</v>
      </c>
      <c r="D367" s="2" t="s">
        <v>25</v>
      </c>
      <c r="E367" s="11" t="s">
        <v>1361</v>
      </c>
      <c r="F367" s="7" t="s">
        <v>216</v>
      </c>
      <c r="G367" s="2" t="s">
        <v>27</v>
      </c>
      <c r="H367" s="2" t="s">
        <v>1362</v>
      </c>
      <c r="M367" s="2" t="s">
        <v>1363</v>
      </c>
      <c r="P367" s="2" t="s">
        <v>218</v>
      </c>
      <c r="Q367" s="1" t="str">
        <f>IF($B367=0,$M367,_xlfn.TEXTBEFORE(Q366,"/",$B367,,,Q366)&amp;"/"&amp;$M367)&amp;IF(_xlfn.TEXTAFTER($D367,"..",,,,1)&lt;&gt;"1","[0]","")</f>
        <v>*/ControlResults[0]/ResultsOfControl[0]/ControlDetails[0]/attributePointer</v>
      </c>
    </row>
    <row r="368" spans="1:17" ht="12" customHeight="1" outlineLevel="4" x14ac:dyDescent="0.35">
      <c r="A368" s="2" t="str">
        <f>$E$2</f>
        <v>CC429B</v>
      </c>
      <c r="B368" s="1">
        <v>4</v>
      </c>
      <c r="C368" s="1" t="s">
        <v>19</v>
      </c>
      <c r="D368" s="2" t="s">
        <v>30</v>
      </c>
      <c r="E368" s="11" t="s">
        <v>1364</v>
      </c>
      <c r="F368" s="7" t="s">
        <v>216</v>
      </c>
      <c r="G368" s="2" t="s">
        <v>22</v>
      </c>
      <c r="H368" s="2" t="s">
        <v>1365</v>
      </c>
      <c r="M368" s="2" t="s">
        <v>1366</v>
      </c>
      <c r="P368" s="2" t="s">
        <v>218</v>
      </c>
      <c r="Q368" s="1" t="str">
        <f>IF($B368=0,$M368,_xlfn.TEXTBEFORE(Q367,"/",$B368,,,Q367)&amp;"/"&amp;$M368)&amp;IF(_xlfn.TEXTAFTER($D368,"..",,,,1)&lt;&gt;"1","[0]","")</f>
        <v>*/ControlResults[0]/ResultsOfControl[0]/ControlDetails[0]/correctedValue</v>
      </c>
    </row>
    <row r="369" spans="1:17" ht="12" customHeight="1" outlineLevel="4" x14ac:dyDescent="0.35">
      <c r="A369" s="2" t="str">
        <f>$E$2</f>
        <v>CC429B</v>
      </c>
      <c r="B369" s="1">
        <v>4</v>
      </c>
      <c r="C369" s="1" t="s">
        <v>19</v>
      </c>
      <c r="D369" s="2" t="s">
        <v>30</v>
      </c>
      <c r="E369" s="11" t="s">
        <v>1323</v>
      </c>
      <c r="F369" s="7" t="s">
        <v>216</v>
      </c>
      <c r="G369" s="2" t="s">
        <v>396</v>
      </c>
      <c r="I369" s="2" t="s">
        <v>1367</v>
      </c>
      <c r="M369" s="2" t="s">
        <v>1324</v>
      </c>
      <c r="P369" s="2" t="s">
        <v>218</v>
      </c>
      <c r="Q369" s="1" t="str">
        <f>IF($B369=0,$M369,_xlfn.TEXTBEFORE(Q368,"/",$B369,,,Q368)&amp;"/"&amp;$M369)&amp;IF(_xlfn.TEXTAFTER($D369,"..",,,,1)&lt;&gt;"1","[0]","")</f>
        <v>*/ControlResults[0]/ResultsOfControl[0]/ControlDetails[0]/remarks</v>
      </c>
    </row>
    <row r="370" spans="1:17" ht="12" customHeight="1" x14ac:dyDescent="0.35"/>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0E9E0-2522-4017-8C41-6BCF95508BC7}">
  <sheetPr codeName="Ark28">
    <tabColor rgb="FFC00000"/>
    <outlinePr summaryBelow="0" summaryRight="0"/>
  </sheetPr>
  <dimension ref="A1:R38"/>
  <sheetViews>
    <sheetView zoomScaleNormal="100" workbookViewId="0">
      <pane xSplit="1" ySplit="1" topLeftCell="D2" activePane="bottomRight" state="frozen"/>
      <selection activeCell="D2" sqref="D2"/>
      <selection pane="topRight" activeCell="D2" sqref="D2"/>
      <selection pane="bottomLeft" activeCell="D2" sqref="D2"/>
      <selection pane="bottomRight" activeCell="D2" sqref="D2"/>
    </sheetView>
  </sheetViews>
  <sheetFormatPr defaultColWidth="11.54296875" defaultRowHeight="12" outlineLevelRow="3" x14ac:dyDescent="0.35"/>
  <cols>
    <col min="1" max="3" width="0" style="1" hidden="1" customWidth="1"/>
    <col min="4" max="4" width="6.6328125" style="1" customWidth="1"/>
    <col min="5" max="5" width="70.6328125" style="1" customWidth="1"/>
    <col min="6" max="11" width="8.6328125" style="1" customWidth="1"/>
    <col min="12" max="14" width="24.6328125" style="1" customWidth="1"/>
    <col min="15" max="15" width="24.6328125" style="1" hidden="1" customWidth="1"/>
    <col min="16" max="17" width="24.6328125" style="1" customWidth="1"/>
    <col min="18" max="16384" width="11.54296875" style="1"/>
  </cols>
  <sheetData>
    <row r="1" spans="1:18" ht="12"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P1" s="1" t="s">
        <v>14</v>
      </c>
      <c r="Q1" s="1" t="s">
        <v>208</v>
      </c>
      <c r="R1" s="1" t="s">
        <v>209</v>
      </c>
    </row>
    <row r="2" spans="1:18" ht="12" customHeight="1" x14ac:dyDescent="0.35">
      <c r="A2" s="2" t="str">
        <f>$E$2</f>
        <v>CC431B</v>
      </c>
      <c r="B2" s="1">
        <v>0</v>
      </c>
      <c r="C2" s="2" t="s">
        <v>16</v>
      </c>
      <c r="E2" s="2" t="s">
        <v>1368</v>
      </c>
      <c r="M2" s="2" t="s">
        <v>17</v>
      </c>
      <c r="P2" s="2" t="s">
        <v>1369</v>
      </c>
      <c r="Q2" s="1" t="str">
        <f>IF($B2=0,$M2,_xlfn.TEXTBEFORE(Q1,"/",$B2,,,Q1)&amp;"/"&amp;$M2)&amp;IF(_xlfn.TEXTAFTER($D2,"..",,,,1)&lt;&gt;"1","[0]","")</f>
        <v>*</v>
      </c>
    </row>
    <row r="3" spans="1:18" ht="12" customHeight="1" outlineLevel="1" x14ac:dyDescent="0.35">
      <c r="A3" s="3" t="str">
        <f>$E$2</f>
        <v>CC431B</v>
      </c>
      <c r="B3" s="4">
        <v>1</v>
      </c>
      <c r="C3" s="3" t="s">
        <v>24</v>
      </c>
      <c r="D3" s="3" t="s">
        <v>20</v>
      </c>
      <c r="E3" s="5" t="s">
        <v>21</v>
      </c>
      <c r="F3" s="4"/>
      <c r="G3" s="3" t="s">
        <v>22</v>
      </c>
      <c r="H3" s="4"/>
      <c r="I3" s="4"/>
      <c r="J3" s="4"/>
      <c r="K3" s="4"/>
      <c r="L3" s="4"/>
      <c r="M3" s="3" t="s">
        <v>21</v>
      </c>
      <c r="N3" s="4"/>
      <c r="O3" s="4"/>
      <c r="P3" s="3" t="s">
        <v>23</v>
      </c>
      <c r="Q3" s="1" t="str">
        <f>IF($B3=0,$M3,_xlfn.TEXTBEFORE(Q2,"/",$B3,,,Q2)&amp;"/"&amp;$M3)&amp;IF(_xlfn.TEXTAFTER($D3,"..",,,,1)&lt;&gt;"1","[0]","")</f>
        <v>*/Extensions[0]</v>
      </c>
    </row>
    <row r="4" spans="1:18" ht="12" customHeight="1" outlineLevel="2" x14ac:dyDescent="0.35">
      <c r="A4" s="2" t="str">
        <f>$E$2</f>
        <v>CC431B</v>
      </c>
      <c r="B4" s="1">
        <v>2</v>
      </c>
      <c r="C4" s="1" t="s">
        <v>19</v>
      </c>
      <c r="D4" s="2" t="s">
        <v>25</v>
      </c>
      <c r="E4" s="6" t="s">
        <v>774</v>
      </c>
      <c r="F4" s="1" t="s">
        <v>775</v>
      </c>
      <c r="G4" s="2" t="s">
        <v>27</v>
      </c>
      <c r="M4" s="2" t="s">
        <v>776</v>
      </c>
      <c r="Q4" s="1" t="str">
        <f>IF($B4=0,$M4,_xlfn.TEXTBEFORE(Q3,"/",$B4,,,Q3)&amp;"/"&amp;$M4)&amp;IF(_xlfn.TEXTAFTER($D4,"..",,,,1)&lt;&gt;"1","[0]","")</f>
        <v>*/Extensions[0]/SequenceNumeric</v>
      </c>
    </row>
    <row r="5" spans="1:18" ht="12" customHeight="1" outlineLevel="2" x14ac:dyDescent="0.35">
      <c r="A5" s="2" t="str">
        <f>$E$2</f>
        <v>CC431B</v>
      </c>
      <c r="B5" s="1">
        <v>2</v>
      </c>
      <c r="C5" s="1" t="s">
        <v>19</v>
      </c>
      <c r="D5" s="2" t="s">
        <v>30</v>
      </c>
      <c r="E5" s="6" t="s">
        <v>777</v>
      </c>
      <c r="F5" s="1" t="s">
        <v>778</v>
      </c>
      <c r="G5" s="2" t="s">
        <v>22</v>
      </c>
      <c r="M5" s="2" t="s">
        <v>779</v>
      </c>
      <c r="Q5" s="1" t="str">
        <f>IF($B5=0,$M5,_xlfn.TEXTBEFORE(Q4,"/",$B5,,,Q4)&amp;"/"&amp;$M5)&amp;IF(_xlfn.TEXTAFTER($D5,"..",,,,1)&lt;&gt;"1","[0]","")</f>
        <v>*/Extensions[0]/ID</v>
      </c>
    </row>
    <row r="6" spans="1:18" ht="12" customHeight="1" outlineLevel="2" x14ac:dyDescent="0.35">
      <c r="A6" s="2" t="str">
        <f>$E$2</f>
        <v>CC431B</v>
      </c>
      <c r="B6" s="1">
        <v>2</v>
      </c>
      <c r="C6" s="1" t="s">
        <v>19</v>
      </c>
      <c r="D6" s="2" t="s">
        <v>25</v>
      </c>
      <c r="E6" s="6" t="s">
        <v>780</v>
      </c>
      <c r="F6" s="1" t="s">
        <v>778</v>
      </c>
      <c r="G6" s="2" t="s">
        <v>27</v>
      </c>
      <c r="M6" s="2" t="s">
        <v>780</v>
      </c>
      <c r="Q6" s="1" t="str">
        <f>IF($B6=0,$M6,_xlfn.TEXTBEFORE(Q5,"/",$B6,,,Q5)&amp;"/"&amp;$M6)&amp;IF(_xlfn.TEXTAFTER($D6,"..",,,,1)&lt;&gt;"1","[0]","")</f>
        <v>*/Extensions[0]/Key</v>
      </c>
    </row>
    <row r="7" spans="1:18" ht="12" customHeight="1" outlineLevel="2" x14ac:dyDescent="0.35">
      <c r="A7" s="2" t="str">
        <f>$E$2</f>
        <v>CC431B</v>
      </c>
      <c r="B7" s="1">
        <v>2</v>
      </c>
      <c r="C7" s="1" t="s">
        <v>19</v>
      </c>
      <c r="D7" s="2" t="s">
        <v>25</v>
      </c>
      <c r="E7" s="6" t="s">
        <v>781</v>
      </c>
      <c r="F7" s="1" t="s">
        <v>778</v>
      </c>
      <c r="G7" s="2" t="s">
        <v>27</v>
      </c>
      <c r="M7" s="2" t="s">
        <v>781</v>
      </c>
      <c r="Q7" s="1" t="str">
        <f>IF($B7=0,$M7,_xlfn.TEXTBEFORE(Q6,"/",$B7,,,Q6)&amp;"/"&amp;$M7)&amp;IF(_xlfn.TEXTAFTER($D7,"..",,,,1)&lt;&gt;"1","[0]","")</f>
        <v>*/Extensions[0]/Value</v>
      </c>
    </row>
    <row r="8" spans="1:18" ht="12" customHeight="1" outlineLevel="2" x14ac:dyDescent="0.35">
      <c r="A8" s="2" t="str">
        <f>$E$2</f>
        <v>CC431B</v>
      </c>
      <c r="B8" s="1">
        <v>2</v>
      </c>
      <c r="C8" s="1" t="s">
        <v>19</v>
      </c>
      <c r="D8" s="2" t="s">
        <v>25</v>
      </c>
      <c r="E8" s="6" t="s">
        <v>782</v>
      </c>
      <c r="F8" s="7" t="s">
        <v>783</v>
      </c>
      <c r="G8" s="2" t="s">
        <v>27</v>
      </c>
      <c r="M8" s="2" t="s">
        <v>784</v>
      </c>
      <c r="Q8" s="1" t="str">
        <f>IF($B8=0,$M8,_xlfn.TEXTBEFORE(Q7,"/",$B8,,,Q7)&amp;"/"&amp;$M8)&amp;IF(_xlfn.TEXTAFTER($D8,"..",,,,1)&lt;&gt;"1","[0]","")</f>
        <v>*/Extensions[0]/DataType</v>
      </c>
    </row>
    <row r="9" spans="1:18" ht="12" customHeight="1" outlineLevel="2" x14ac:dyDescent="0.35">
      <c r="A9" s="21" t="str">
        <f>$E$2</f>
        <v>CC431B</v>
      </c>
      <c r="B9" s="22">
        <v>2</v>
      </c>
      <c r="C9" s="22" t="s">
        <v>19</v>
      </c>
      <c r="D9" s="21" t="s">
        <v>20</v>
      </c>
      <c r="E9" s="23" t="s">
        <v>21</v>
      </c>
      <c r="F9" s="22"/>
      <c r="G9" s="21" t="s">
        <v>22</v>
      </c>
      <c r="H9" s="22"/>
      <c r="I9" s="22"/>
      <c r="J9" s="22"/>
      <c r="K9" s="22"/>
      <c r="L9" s="22"/>
      <c r="M9" s="21" t="s">
        <v>21</v>
      </c>
      <c r="N9" s="22"/>
      <c r="O9" s="22"/>
      <c r="P9" s="21" t="s">
        <v>785</v>
      </c>
      <c r="Q9" s="1" t="str">
        <f>IF($B9=0,$M9,_xlfn.TEXTBEFORE(Q8,"/",$B9,,,Q8)&amp;"/"&amp;$M9)&amp;IF(_xlfn.TEXTAFTER($D9,"..",,,,1)&lt;&gt;"1","[0]","")</f>
        <v>*/Extensions[0]/Extensions[0]</v>
      </c>
    </row>
    <row r="10" spans="1:18" ht="12" customHeight="1" outlineLevel="1" x14ac:dyDescent="0.35">
      <c r="A10" s="3" t="str">
        <f>$E$2</f>
        <v>CC431B</v>
      </c>
      <c r="B10" s="4">
        <v>1</v>
      </c>
      <c r="C10" s="3" t="s">
        <v>24</v>
      </c>
      <c r="D10" s="3" t="s">
        <v>25</v>
      </c>
      <c r="E10" s="5" t="s">
        <v>26</v>
      </c>
      <c r="F10" s="4"/>
      <c r="G10" s="3" t="s">
        <v>27</v>
      </c>
      <c r="H10" s="4"/>
      <c r="I10" s="4"/>
      <c r="J10" s="4"/>
      <c r="K10" s="4"/>
      <c r="L10" s="4"/>
      <c r="M10" s="3" t="s">
        <v>28</v>
      </c>
      <c r="N10" s="4"/>
      <c r="O10" s="4"/>
      <c r="P10" s="3" t="s">
        <v>1370</v>
      </c>
      <c r="Q10" s="1" t="str">
        <f>IF($B10=0,$M10,_xlfn.TEXTBEFORE(Q9,"/",$B10,,,Q9)&amp;"/"&amp;$M10)&amp;IF(_xlfn.TEXTAFTER($D10,"..",,,,1)&lt;&gt;"1","[0]","")</f>
        <v>*/ImportOperation</v>
      </c>
    </row>
    <row r="11" spans="1:18" ht="12" customHeight="1" outlineLevel="2" x14ac:dyDescent="0.35">
      <c r="A11" s="2" t="str">
        <f>$E$2</f>
        <v>CC431B</v>
      </c>
      <c r="B11" s="1">
        <v>2</v>
      </c>
      <c r="C11" s="1" t="s">
        <v>19</v>
      </c>
      <c r="D11" s="2" t="s">
        <v>25</v>
      </c>
      <c r="E11" s="6" t="s">
        <v>31</v>
      </c>
      <c r="F11" s="7" t="s">
        <v>32</v>
      </c>
      <c r="G11" s="2" t="s">
        <v>27</v>
      </c>
      <c r="M11" s="2" t="s">
        <v>33</v>
      </c>
      <c r="P11" s="2" t="s">
        <v>34</v>
      </c>
      <c r="Q11" s="1" t="str">
        <f>IF($B11=0,$M11,_xlfn.TEXTBEFORE(Q10,"/",$B11,,,Q10)&amp;"/"&amp;$M11)&amp;IF(_xlfn.TEXTAFTER($D11,"..",,,,1)&lt;&gt;"1","[0]","")</f>
        <v>*/ImportOperation/LRN</v>
      </c>
    </row>
    <row r="12" spans="1:18" ht="12" customHeight="1" outlineLevel="2" x14ac:dyDescent="0.35">
      <c r="A12" s="2" t="str">
        <f>$E$2</f>
        <v>CC431B</v>
      </c>
      <c r="B12" s="1">
        <v>2</v>
      </c>
      <c r="C12" s="1" t="s">
        <v>19</v>
      </c>
      <c r="D12" s="2" t="s">
        <v>25</v>
      </c>
      <c r="E12" s="6" t="s">
        <v>35</v>
      </c>
      <c r="F12" s="7" t="s">
        <v>36</v>
      </c>
      <c r="G12" s="2" t="s">
        <v>27</v>
      </c>
      <c r="M12" s="2" t="s">
        <v>37</v>
      </c>
      <c r="P12" s="2" t="s">
        <v>38</v>
      </c>
      <c r="Q12" s="1" t="str">
        <f>IF($B12=0,$M12,_xlfn.TEXTBEFORE(Q11,"/",$B12,,,Q11)&amp;"/"&amp;$M12)&amp;IF(_xlfn.TEXTAFTER($D12,"..",,,,1)&lt;&gt;"1","[0]","")</f>
        <v>*/ImportOperation/MRN</v>
      </c>
    </row>
    <row r="13" spans="1:18" ht="12" customHeight="1" outlineLevel="1" x14ac:dyDescent="0.35">
      <c r="A13" s="3" t="str">
        <f>$E$2</f>
        <v>CC431B</v>
      </c>
      <c r="B13" s="4">
        <v>1</v>
      </c>
      <c r="C13" s="3" t="s">
        <v>24</v>
      </c>
      <c r="D13" s="3" t="s">
        <v>30</v>
      </c>
      <c r="E13" s="5" t="s">
        <v>76</v>
      </c>
      <c r="F13" s="4"/>
      <c r="G13" s="3" t="s">
        <v>22</v>
      </c>
      <c r="H13" s="4"/>
      <c r="I13" s="4"/>
      <c r="J13" s="4"/>
      <c r="K13" s="4"/>
      <c r="L13" s="4"/>
      <c r="M13" s="3" t="s">
        <v>77</v>
      </c>
      <c r="N13" s="4"/>
      <c r="O13" s="4"/>
      <c r="P13" s="3" t="s">
        <v>78</v>
      </c>
      <c r="Q13" s="1" t="str">
        <f>IF($B13=0,$M13,_xlfn.TEXTBEFORE(Q12,"/",$B13,,,Q12)&amp;"/"&amp;$M13)&amp;IF(_xlfn.TEXTAFTER($D13,"..",,,,1)&lt;&gt;"1","[0]","")</f>
        <v>*/SupervisingCustomsOffice</v>
      </c>
    </row>
    <row r="14" spans="1:18" ht="12" customHeight="1" outlineLevel="2" x14ac:dyDescent="0.35">
      <c r="A14" s="2" t="str">
        <f>$E$2</f>
        <v>CC431B</v>
      </c>
      <c r="B14" s="1">
        <v>2</v>
      </c>
      <c r="C14" s="1" t="s">
        <v>19</v>
      </c>
      <c r="D14" s="2" t="s">
        <v>25</v>
      </c>
      <c r="E14" s="6" t="s">
        <v>63</v>
      </c>
      <c r="F14" s="7" t="s">
        <v>74</v>
      </c>
      <c r="G14" s="2" t="s">
        <v>27</v>
      </c>
      <c r="J14" s="2" t="s">
        <v>399</v>
      </c>
      <c r="M14" s="2" t="s">
        <v>65</v>
      </c>
      <c r="P14" s="2" t="s">
        <v>75</v>
      </c>
      <c r="Q14" s="1" t="str">
        <f>IF($B14=0,$M14,_xlfn.TEXTBEFORE(Q13,"/",$B14,,,Q13)&amp;"/"&amp;$M14)&amp;IF(_xlfn.TEXTAFTER($D14,"..",,,,1)&lt;&gt;"1","[0]","")</f>
        <v>*/SupervisingCustomsOffice/referenceNumber</v>
      </c>
    </row>
    <row r="15" spans="1:18" ht="12" customHeight="1" outlineLevel="1" x14ac:dyDescent="0.35">
      <c r="A15" s="3" t="str">
        <f>$E$2</f>
        <v>CC431B</v>
      </c>
      <c r="B15" s="4">
        <v>1</v>
      </c>
      <c r="C15" s="3" t="s">
        <v>24</v>
      </c>
      <c r="D15" s="3" t="s">
        <v>25</v>
      </c>
      <c r="E15" s="5" t="s">
        <v>101</v>
      </c>
      <c r="F15" s="4"/>
      <c r="G15" s="3" t="s">
        <v>27</v>
      </c>
      <c r="H15" s="4"/>
      <c r="I15" s="4"/>
      <c r="J15" s="4"/>
      <c r="K15" s="4"/>
      <c r="L15" s="4"/>
      <c r="M15" s="3" t="s">
        <v>101</v>
      </c>
      <c r="N15" s="4"/>
      <c r="O15" s="4"/>
      <c r="P15" s="3" t="s">
        <v>1496</v>
      </c>
      <c r="Q15" s="1" t="str">
        <f>IF($B15=0,$M15,_xlfn.TEXTBEFORE(Q14,"/",$B15,,,Q14)&amp;"/"&amp;$M15)&amp;IF(_xlfn.TEXTAFTER($D15,"..",,,,1)&lt;&gt;"1","[0]","")</f>
        <v>*/Declarant</v>
      </c>
    </row>
    <row r="16" spans="1:18" ht="12" customHeight="1" outlineLevel="2" x14ac:dyDescent="0.35">
      <c r="A16" s="2" t="str">
        <f>$E$2</f>
        <v>CC431B</v>
      </c>
      <c r="B16" s="1">
        <v>2</v>
      </c>
      <c r="C16" s="1" t="s">
        <v>19</v>
      </c>
      <c r="D16" s="2" t="s">
        <v>25</v>
      </c>
      <c r="E16" s="6" t="s">
        <v>81</v>
      </c>
      <c r="F16" s="7" t="s">
        <v>68</v>
      </c>
      <c r="G16" s="2" t="s">
        <v>27</v>
      </c>
      <c r="H16" s="2" t="s">
        <v>397</v>
      </c>
      <c r="M16" s="2" t="s">
        <v>82</v>
      </c>
      <c r="P16" s="2" t="s">
        <v>70</v>
      </c>
      <c r="Q16" s="1" t="str">
        <f>IF($B16=0,$M16,_xlfn.TEXTBEFORE(Q15,"/",$B16,,,Q15)&amp;"/"&amp;$M16)&amp;IF(_xlfn.TEXTAFTER($D16,"..",,,,1)&lt;&gt;"1","[0]","")</f>
        <v>*/Declarant/identificationNumber</v>
      </c>
    </row>
    <row r="17" spans="1:17" ht="12" customHeight="1" outlineLevel="2" x14ac:dyDescent="0.35">
      <c r="A17" s="2" t="str">
        <f>$E$2</f>
        <v>CC431B</v>
      </c>
      <c r="B17" s="1">
        <v>2</v>
      </c>
      <c r="C17" s="1" t="s">
        <v>19</v>
      </c>
      <c r="D17" s="2" t="s">
        <v>30</v>
      </c>
      <c r="E17" s="6" t="s">
        <v>4</v>
      </c>
      <c r="F17" s="7" t="s">
        <v>83</v>
      </c>
      <c r="G17" s="2" t="s">
        <v>396</v>
      </c>
      <c r="I17" s="2" t="s">
        <v>401</v>
      </c>
      <c r="M17" s="2" t="s">
        <v>84</v>
      </c>
      <c r="P17" s="2" t="s">
        <v>85</v>
      </c>
      <c r="Q17" s="1" t="str">
        <f>IF($B17=0,$M17,_xlfn.TEXTBEFORE(Q16,"/",$B17,,,Q16)&amp;"/"&amp;$M17)&amp;IF(_xlfn.TEXTAFTER($D17,"..",,,,1)&lt;&gt;"1","[0]","")</f>
        <v>*/Declarant/name</v>
      </c>
    </row>
    <row r="18" spans="1:17" ht="12" customHeight="1" outlineLevel="2" x14ac:dyDescent="0.35">
      <c r="A18" s="3" t="str">
        <f>$E$2</f>
        <v>CC431B</v>
      </c>
      <c r="B18" s="4">
        <v>2</v>
      </c>
      <c r="C18" s="3" t="s">
        <v>24</v>
      </c>
      <c r="D18" s="3" t="s">
        <v>30</v>
      </c>
      <c r="E18" s="8" t="s">
        <v>86</v>
      </c>
      <c r="F18" s="4"/>
      <c r="G18" s="3" t="s">
        <v>396</v>
      </c>
      <c r="H18" s="4"/>
      <c r="I18" s="3" t="s">
        <v>401</v>
      </c>
      <c r="J18" s="4"/>
      <c r="K18" s="4"/>
      <c r="L18" s="4"/>
      <c r="M18" s="3" t="s">
        <v>86</v>
      </c>
      <c r="N18" s="4"/>
      <c r="O18" s="4"/>
      <c r="P18" s="3" t="s">
        <v>87</v>
      </c>
      <c r="Q18" s="1" t="str">
        <f>IF($B18=0,$M18,_xlfn.TEXTBEFORE(Q17,"/",$B18,,,Q17)&amp;"/"&amp;$M18)&amp;IF(_xlfn.TEXTAFTER($D18,"..",,,,1)&lt;&gt;"1","[0]","")</f>
        <v>*/Declarant/Address</v>
      </c>
    </row>
    <row r="19" spans="1:17" ht="12" customHeight="1" outlineLevel="3" x14ac:dyDescent="0.35">
      <c r="A19" s="2" t="str">
        <f>$E$2</f>
        <v>CC431B</v>
      </c>
      <c r="B19" s="1">
        <v>3</v>
      </c>
      <c r="C19" s="1" t="s">
        <v>19</v>
      </c>
      <c r="D19" s="2" t="s">
        <v>25</v>
      </c>
      <c r="E19" s="9" t="s">
        <v>88</v>
      </c>
      <c r="F19" s="7" t="s">
        <v>83</v>
      </c>
      <c r="G19" s="2" t="s">
        <v>27</v>
      </c>
      <c r="M19" s="2" t="s">
        <v>89</v>
      </c>
      <c r="P19" s="2" t="s">
        <v>90</v>
      </c>
      <c r="Q19" s="1" t="str">
        <f>IF($B19=0,$M19,_xlfn.TEXTBEFORE(Q18,"/",$B19,,,Q18)&amp;"/"&amp;$M19)&amp;IF(_xlfn.TEXTAFTER($D19,"..",,,,1)&lt;&gt;"1","[0]","")</f>
        <v>*/Declarant/Address/streetAndNumber</v>
      </c>
    </row>
    <row r="20" spans="1:17" ht="12" customHeight="1" outlineLevel="3" x14ac:dyDescent="0.35">
      <c r="A20" s="2" t="str">
        <f>$E$2</f>
        <v>CC431B</v>
      </c>
      <c r="B20" s="1">
        <v>3</v>
      </c>
      <c r="C20" s="1" t="s">
        <v>19</v>
      </c>
      <c r="D20" s="2" t="s">
        <v>30</v>
      </c>
      <c r="E20" s="9" t="s">
        <v>91</v>
      </c>
      <c r="F20" s="7" t="s">
        <v>92</v>
      </c>
      <c r="G20" s="2" t="s">
        <v>396</v>
      </c>
      <c r="I20" s="2" t="s">
        <v>402</v>
      </c>
      <c r="M20" s="2" t="s">
        <v>93</v>
      </c>
      <c r="P20" s="2" t="s">
        <v>94</v>
      </c>
      <c r="Q20" s="1" t="str">
        <f>IF($B20=0,$M20,_xlfn.TEXTBEFORE(Q19,"/",$B20,,,Q19)&amp;"/"&amp;$M20)&amp;IF(_xlfn.TEXTAFTER($D20,"..",,,,1)&lt;&gt;"1","[0]","")</f>
        <v>*/Declarant/Address/postcode</v>
      </c>
    </row>
    <row r="21" spans="1:17" ht="12" customHeight="1" outlineLevel="3" x14ac:dyDescent="0.35">
      <c r="A21" s="2" t="str">
        <f>$E$2</f>
        <v>CC431B</v>
      </c>
      <c r="B21" s="1">
        <v>3</v>
      </c>
      <c r="C21" s="1" t="s">
        <v>19</v>
      </c>
      <c r="D21" s="2" t="s">
        <v>25</v>
      </c>
      <c r="E21" s="9" t="s">
        <v>95</v>
      </c>
      <c r="F21" s="7" t="s">
        <v>96</v>
      </c>
      <c r="G21" s="2" t="s">
        <v>27</v>
      </c>
      <c r="M21" s="2" t="s">
        <v>97</v>
      </c>
      <c r="P21" s="2" t="s">
        <v>98</v>
      </c>
      <c r="Q21" s="1" t="str">
        <f>IF($B21=0,$M21,_xlfn.TEXTBEFORE(Q20,"/",$B21,,,Q20)&amp;"/"&amp;$M21)&amp;IF(_xlfn.TEXTAFTER($D21,"..",,,,1)&lt;&gt;"1","[0]","")</f>
        <v>*/Declarant/Address/city</v>
      </c>
    </row>
    <row r="22" spans="1:17" ht="12" customHeight="1" outlineLevel="3" x14ac:dyDescent="0.35">
      <c r="A22" s="2" t="str">
        <f>$E$2</f>
        <v>CC431B</v>
      </c>
      <c r="B22" s="1">
        <v>3</v>
      </c>
      <c r="C22" s="1" t="s">
        <v>19</v>
      </c>
      <c r="D22" s="2" t="s">
        <v>25</v>
      </c>
      <c r="E22" s="9" t="s">
        <v>99</v>
      </c>
      <c r="F22" s="7" t="s">
        <v>50</v>
      </c>
      <c r="G22" s="2" t="s">
        <v>27</v>
      </c>
      <c r="J22" s="2" t="s">
        <v>403</v>
      </c>
      <c r="M22" s="2" t="s">
        <v>100</v>
      </c>
      <c r="P22" s="2" t="s">
        <v>52</v>
      </c>
      <c r="Q22" s="1" t="str">
        <f>IF($B22=0,$M22,_xlfn.TEXTBEFORE(Q21,"/",$B22,,,Q21)&amp;"/"&amp;$M22)&amp;IF(_xlfn.TEXTAFTER($D22,"..",,,,1)&lt;&gt;"1","[0]","")</f>
        <v>*/Declarant/Address/country</v>
      </c>
    </row>
    <row r="23" spans="1:17" ht="12" customHeight="1" outlineLevel="2" x14ac:dyDescent="0.35">
      <c r="A23" s="3" t="str">
        <f>$E$2</f>
        <v>CC431B</v>
      </c>
      <c r="B23" s="4">
        <v>2</v>
      </c>
      <c r="C23" s="3" t="s">
        <v>24</v>
      </c>
      <c r="D23" s="3" t="s">
        <v>30</v>
      </c>
      <c r="E23" s="8" t="s">
        <v>105</v>
      </c>
      <c r="F23" s="4"/>
      <c r="G23" s="3" t="s">
        <v>22</v>
      </c>
      <c r="H23" s="3" t="s">
        <v>409</v>
      </c>
      <c r="I23" s="4"/>
      <c r="J23" s="4"/>
      <c r="K23" s="4"/>
      <c r="L23" s="4"/>
      <c r="M23" s="3" t="s">
        <v>106</v>
      </c>
      <c r="N23" s="4"/>
      <c r="O23" s="4"/>
      <c r="P23" s="3" t="s">
        <v>107</v>
      </c>
      <c r="Q23" s="1" t="str">
        <f>IF($B23=0,$M23,_xlfn.TEXTBEFORE(Q22,"/",$B23,,,Q22)&amp;"/"&amp;$M23)&amp;IF(_xlfn.TEXTAFTER($D23,"..",,,,1)&lt;&gt;"1","[0]","")</f>
        <v>*/Declarant/ContactPerson</v>
      </c>
    </row>
    <row r="24" spans="1:17" ht="12" customHeight="1" outlineLevel="3" x14ac:dyDescent="0.35">
      <c r="A24" s="2" t="str">
        <f>$E$2</f>
        <v>CC431B</v>
      </c>
      <c r="B24" s="1">
        <v>3</v>
      </c>
      <c r="C24" s="1" t="s">
        <v>19</v>
      </c>
      <c r="D24" s="2" t="s">
        <v>25</v>
      </c>
      <c r="E24" s="9" t="s">
        <v>4</v>
      </c>
      <c r="F24" s="7" t="s">
        <v>83</v>
      </c>
      <c r="G24" s="2" t="s">
        <v>27</v>
      </c>
      <c r="M24" s="2" t="s">
        <v>84</v>
      </c>
      <c r="P24" s="2" t="s">
        <v>85</v>
      </c>
      <c r="Q24" s="1" t="str">
        <f>IF($B24=0,$M24,_xlfn.TEXTBEFORE(Q23,"/",$B24,,,Q23)&amp;"/"&amp;$M24)&amp;IF(_xlfn.TEXTAFTER($D24,"..",,,,1)&lt;&gt;"1","[0]","")</f>
        <v>*/Declarant/ContactPerson/name</v>
      </c>
    </row>
    <row r="25" spans="1:17" ht="12" customHeight="1" outlineLevel="3" x14ac:dyDescent="0.35">
      <c r="A25" s="2" t="str">
        <f>$E$2</f>
        <v>CC431B</v>
      </c>
      <c r="B25" s="1">
        <v>3</v>
      </c>
      <c r="C25" s="1" t="s">
        <v>19</v>
      </c>
      <c r="D25" s="2" t="s">
        <v>25</v>
      </c>
      <c r="E25" s="9" t="s">
        <v>108</v>
      </c>
      <c r="F25" s="7" t="s">
        <v>96</v>
      </c>
      <c r="G25" s="2" t="s">
        <v>27</v>
      </c>
      <c r="M25" s="2" t="s">
        <v>109</v>
      </c>
      <c r="P25" s="2" t="s">
        <v>110</v>
      </c>
      <c r="Q25" s="1" t="str">
        <f>IF($B25=0,$M25,_xlfn.TEXTBEFORE(Q24,"/",$B25,,,Q24)&amp;"/"&amp;$M25)&amp;IF(_xlfn.TEXTAFTER($D25,"..",,,,1)&lt;&gt;"1","[0]","")</f>
        <v>*/Declarant/ContactPerson/phoneNumber</v>
      </c>
    </row>
    <row r="26" spans="1:17" ht="12" customHeight="1" outlineLevel="3" x14ac:dyDescent="0.35">
      <c r="A26" s="2" t="str">
        <f>$E$2</f>
        <v>CC431B</v>
      </c>
      <c r="B26" s="1">
        <v>3</v>
      </c>
      <c r="C26" s="1" t="s">
        <v>19</v>
      </c>
      <c r="D26" s="2" t="s">
        <v>25</v>
      </c>
      <c r="E26" s="9" t="s">
        <v>111</v>
      </c>
      <c r="F26" s="7" t="s">
        <v>112</v>
      </c>
      <c r="G26" s="2" t="s">
        <v>27</v>
      </c>
      <c r="M26" s="2" t="s">
        <v>113</v>
      </c>
      <c r="P26" s="2" t="s">
        <v>114</v>
      </c>
      <c r="Q26" s="1" t="str">
        <f>IF($B26=0,$M26,_xlfn.TEXTBEFORE(Q25,"/",$B26,,,Q25)&amp;"/"&amp;$M26)&amp;IF(_xlfn.TEXTAFTER($D26,"..",,,,1)&lt;&gt;"1","[0]","")</f>
        <v>*/Declarant/ContactPerson/eMailAddress</v>
      </c>
    </row>
    <row r="27" spans="1:17" ht="12" customHeight="1" outlineLevel="1" x14ac:dyDescent="0.35">
      <c r="A27" s="3" t="str">
        <f>$E$2</f>
        <v>CC431B</v>
      </c>
      <c r="B27" s="4">
        <v>1</v>
      </c>
      <c r="C27" s="3" t="s">
        <v>24</v>
      </c>
      <c r="D27" s="3" t="s">
        <v>30</v>
      </c>
      <c r="E27" s="5" t="s">
        <v>121</v>
      </c>
      <c r="F27" s="4"/>
      <c r="G27" s="3" t="s">
        <v>22</v>
      </c>
      <c r="H27" s="4"/>
      <c r="I27" s="4"/>
      <c r="J27" s="4"/>
      <c r="K27" s="4"/>
      <c r="L27" s="4"/>
      <c r="M27" s="3" t="s">
        <v>121</v>
      </c>
      <c r="N27" s="4"/>
      <c r="O27" s="4"/>
      <c r="P27" s="3" t="s">
        <v>1240</v>
      </c>
      <c r="Q27" s="1" t="str">
        <f>IF($B27=0,$M27,_xlfn.TEXTBEFORE(Q26,"/",$B27,,,Q26)&amp;"/"&amp;$M27)&amp;IF(_xlfn.TEXTAFTER($D27,"..",,,,1)&lt;&gt;"1","[0]","")</f>
        <v>*/Representative</v>
      </c>
    </row>
    <row r="28" spans="1:17" ht="12" customHeight="1" outlineLevel="2" x14ac:dyDescent="0.35">
      <c r="A28" s="2" t="str">
        <f>$E$2</f>
        <v>CC431B</v>
      </c>
      <c r="B28" s="1">
        <v>2</v>
      </c>
      <c r="C28" s="1" t="s">
        <v>19</v>
      </c>
      <c r="D28" s="2" t="s">
        <v>25</v>
      </c>
      <c r="E28" s="6" t="s">
        <v>81</v>
      </c>
      <c r="F28" s="7" t="s">
        <v>68</v>
      </c>
      <c r="G28" s="2" t="s">
        <v>27</v>
      </c>
      <c r="H28" s="2" t="s">
        <v>788</v>
      </c>
      <c r="M28" s="2" t="s">
        <v>82</v>
      </c>
      <c r="P28" s="2" t="s">
        <v>70</v>
      </c>
      <c r="Q28" s="1" t="str">
        <f>IF($B28=0,$M28,_xlfn.TEXTBEFORE(Q27,"/",$B28,,,Q27)&amp;"/"&amp;$M28)&amp;IF(_xlfn.TEXTAFTER($D28,"..",,,,1)&lt;&gt;"1","[0]","")</f>
        <v>*/Representative/identificationNumber</v>
      </c>
    </row>
    <row r="29" spans="1:17" ht="12" customHeight="1" outlineLevel="2" x14ac:dyDescent="0.35">
      <c r="A29" s="2" t="str">
        <f>$E$2</f>
        <v>CC431B</v>
      </c>
      <c r="B29" s="1">
        <v>2</v>
      </c>
      <c r="C29" s="1" t="s">
        <v>19</v>
      </c>
      <c r="D29" s="2" t="s">
        <v>25</v>
      </c>
      <c r="E29" s="6" t="s">
        <v>6</v>
      </c>
      <c r="F29" s="7" t="s">
        <v>123</v>
      </c>
      <c r="G29" s="2" t="s">
        <v>27</v>
      </c>
      <c r="H29" s="2" t="s">
        <v>407</v>
      </c>
      <c r="J29" s="2" t="s">
        <v>408</v>
      </c>
      <c r="M29" s="2" t="s">
        <v>124</v>
      </c>
      <c r="P29" s="2" t="s">
        <v>125</v>
      </c>
      <c r="Q29" s="1" t="str">
        <f>IF($B29=0,$M29,_xlfn.TEXTBEFORE(Q28,"/",$B29,,,Q28)&amp;"/"&amp;$M29)&amp;IF(_xlfn.TEXTAFTER($D29,"..",,,,1)&lt;&gt;"1","[0]","")</f>
        <v>*/Representative/status</v>
      </c>
    </row>
    <row r="30" spans="1:17" ht="12" customHeight="1" outlineLevel="2" x14ac:dyDescent="0.35">
      <c r="A30" s="3" t="str">
        <f>$E$2</f>
        <v>CC431B</v>
      </c>
      <c r="B30" s="4">
        <v>2</v>
      </c>
      <c r="C30" s="3" t="s">
        <v>24</v>
      </c>
      <c r="D30" s="3" t="s">
        <v>30</v>
      </c>
      <c r="E30" s="8" t="s">
        <v>105</v>
      </c>
      <c r="F30" s="4"/>
      <c r="G30" s="3" t="s">
        <v>22</v>
      </c>
      <c r="H30" s="3" t="s">
        <v>409</v>
      </c>
      <c r="I30" s="4"/>
      <c r="J30" s="4"/>
      <c r="K30" s="4"/>
      <c r="L30" s="4"/>
      <c r="M30" s="3" t="s">
        <v>106</v>
      </c>
      <c r="N30" s="4"/>
      <c r="O30" s="4"/>
      <c r="P30" s="3" t="s">
        <v>107</v>
      </c>
      <c r="Q30" s="1" t="str">
        <f>IF($B30=0,$M30,_xlfn.TEXTBEFORE(Q29,"/",$B30,,,Q29)&amp;"/"&amp;$M30)&amp;IF(_xlfn.TEXTAFTER($D30,"..",,,,1)&lt;&gt;"1","[0]","")</f>
        <v>*/Representative/ContactPerson</v>
      </c>
    </row>
    <row r="31" spans="1:17" ht="12" customHeight="1" outlineLevel="3" x14ac:dyDescent="0.35">
      <c r="A31" s="2" t="str">
        <f>$E$2</f>
        <v>CC431B</v>
      </c>
      <c r="B31" s="1">
        <v>3</v>
      </c>
      <c r="C31" s="1" t="s">
        <v>19</v>
      </c>
      <c r="D31" s="2" t="s">
        <v>25</v>
      </c>
      <c r="E31" s="9" t="s">
        <v>4</v>
      </c>
      <c r="F31" s="7" t="s">
        <v>83</v>
      </c>
      <c r="G31" s="2" t="s">
        <v>27</v>
      </c>
      <c r="M31" s="2" t="s">
        <v>84</v>
      </c>
      <c r="P31" s="2" t="s">
        <v>85</v>
      </c>
      <c r="Q31" s="1" t="str">
        <f>IF($B31=0,$M31,_xlfn.TEXTBEFORE(Q30,"/",$B31,,,Q30)&amp;"/"&amp;$M31)&amp;IF(_xlfn.TEXTAFTER($D31,"..",,,,1)&lt;&gt;"1","[0]","")</f>
        <v>*/Representative/ContactPerson/name</v>
      </c>
    </row>
    <row r="32" spans="1:17" ht="12" customHeight="1" outlineLevel="3" x14ac:dyDescent="0.35">
      <c r="A32" s="2" t="str">
        <f>$E$2</f>
        <v>CC431B</v>
      </c>
      <c r="B32" s="1">
        <v>3</v>
      </c>
      <c r="C32" s="1" t="s">
        <v>19</v>
      </c>
      <c r="D32" s="2" t="s">
        <v>25</v>
      </c>
      <c r="E32" s="9" t="s">
        <v>108</v>
      </c>
      <c r="F32" s="7" t="s">
        <v>96</v>
      </c>
      <c r="G32" s="2" t="s">
        <v>27</v>
      </c>
      <c r="M32" s="2" t="s">
        <v>109</v>
      </c>
      <c r="P32" s="2" t="s">
        <v>110</v>
      </c>
      <c r="Q32" s="1" t="str">
        <f>IF($B32=0,$M32,_xlfn.TEXTBEFORE(Q31,"/",$B32,,,Q31)&amp;"/"&amp;$M32)&amp;IF(_xlfn.TEXTAFTER($D32,"..",,,,1)&lt;&gt;"1","[0]","")</f>
        <v>*/Representative/ContactPerson/phoneNumber</v>
      </c>
    </row>
    <row r="33" spans="1:17" ht="12" customHeight="1" outlineLevel="3" x14ac:dyDescent="0.35">
      <c r="A33" s="2" t="str">
        <f>$E$2</f>
        <v>CC431B</v>
      </c>
      <c r="B33" s="1">
        <v>3</v>
      </c>
      <c r="C33" s="1" t="s">
        <v>19</v>
      </c>
      <c r="D33" s="2" t="s">
        <v>25</v>
      </c>
      <c r="E33" s="9" t="s">
        <v>111</v>
      </c>
      <c r="F33" s="7" t="s">
        <v>112</v>
      </c>
      <c r="G33" s="2" t="s">
        <v>27</v>
      </c>
      <c r="M33" s="2" t="s">
        <v>113</v>
      </c>
      <c r="P33" s="2" t="s">
        <v>114</v>
      </c>
      <c r="Q33" s="1" t="str">
        <f>IF($B33=0,$M33,_xlfn.TEXTBEFORE(Q32,"/",$B33,,,Q32)&amp;"/"&amp;$M33)&amp;IF(_xlfn.TEXTAFTER($D33,"..",,,,1)&lt;&gt;"1","[0]","")</f>
        <v>*/Representative/ContactPerson/eMailAddress</v>
      </c>
    </row>
    <row r="34" spans="1:17" ht="12" customHeight="1" outlineLevel="1" x14ac:dyDescent="0.35">
      <c r="A34" s="3" t="str">
        <f>$E$2</f>
        <v>CC431B</v>
      </c>
      <c r="B34" s="4">
        <v>1</v>
      </c>
      <c r="C34" s="3" t="s">
        <v>24</v>
      </c>
      <c r="D34" s="3" t="s">
        <v>25</v>
      </c>
      <c r="E34" s="5" t="s">
        <v>1371</v>
      </c>
      <c r="F34" s="4"/>
      <c r="G34" s="3" t="s">
        <v>27</v>
      </c>
      <c r="H34" s="4"/>
      <c r="I34" s="4"/>
      <c r="J34" s="4"/>
      <c r="K34" s="4"/>
      <c r="L34" s="4"/>
      <c r="M34" s="3" t="s">
        <v>1372</v>
      </c>
      <c r="N34" s="4"/>
      <c r="O34" s="4"/>
      <c r="P34" s="3" t="s">
        <v>1373</v>
      </c>
      <c r="Q34" s="1" t="str">
        <f>IF($B34=0,$M34,_xlfn.TEXTBEFORE(Q33,"/",$B34,,,Q33)&amp;"/"&amp;$M34)&amp;IF(_xlfn.TEXTAFTER($D34,"..",,,,1)&lt;&gt;"1","[0]","")</f>
        <v>*/TimerExpiryForSupplementaryDeclaration</v>
      </c>
    </row>
    <row r="35" spans="1:17" ht="12" customHeight="1" outlineLevel="2" x14ac:dyDescent="0.35">
      <c r="A35" s="2" t="str">
        <f>$E$2</f>
        <v>CC431B</v>
      </c>
      <c r="B35" s="1">
        <v>2</v>
      </c>
      <c r="C35" s="1" t="s">
        <v>19</v>
      </c>
      <c r="D35" s="2" t="s">
        <v>25</v>
      </c>
      <c r="E35" s="6" t="s">
        <v>1374</v>
      </c>
      <c r="F35" s="2" t="s">
        <v>505</v>
      </c>
      <c r="G35" s="2" t="s">
        <v>27</v>
      </c>
      <c r="M35" s="2" t="s">
        <v>1375</v>
      </c>
      <c r="P35" s="2" t="s">
        <v>507</v>
      </c>
      <c r="Q35" s="1" t="str">
        <f>IF($B35=0,$M35,_xlfn.TEXTBEFORE(Q34,"/",$B35,,,Q34)&amp;"/"&amp;$M35)&amp;IF(_xlfn.TEXTAFTER($D35,"..",,,,1)&lt;&gt;"1","[0]","")</f>
        <v>*/TimerExpiryForSupplementaryDeclaration/lodgementOfSupplementaryDeclarationStartDate</v>
      </c>
    </row>
    <row r="36" spans="1:17" ht="12" customHeight="1" outlineLevel="2" x14ac:dyDescent="0.35">
      <c r="A36" s="2" t="str">
        <f>$E$2</f>
        <v>CC431B</v>
      </c>
      <c r="B36" s="1">
        <v>2</v>
      </c>
      <c r="C36" s="1" t="s">
        <v>19</v>
      </c>
      <c r="D36" s="2" t="s">
        <v>25</v>
      </c>
      <c r="E36" s="6" t="s">
        <v>1376</v>
      </c>
      <c r="F36" s="2" t="s">
        <v>505</v>
      </c>
      <c r="G36" s="2" t="s">
        <v>27</v>
      </c>
      <c r="M36" s="2" t="s">
        <v>1377</v>
      </c>
      <c r="P36" s="2" t="s">
        <v>507</v>
      </c>
      <c r="Q36" s="1" t="str">
        <f>IF($B36=0,$M36,_xlfn.TEXTBEFORE(Q35,"/",$B36,,,Q35)&amp;"/"&amp;$M36)&amp;IF(_xlfn.TEXTAFTER($D36,"..",,,,1)&lt;&gt;"1","[0]","")</f>
        <v>*/TimerExpiryForSupplementaryDeclaration/lodgementOfSupplementaryDeclarationExpiryDate</v>
      </c>
    </row>
    <row r="37" spans="1:17" ht="12" customHeight="1" outlineLevel="2" x14ac:dyDescent="0.35">
      <c r="A37" s="2" t="str">
        <f>$E$2</f>
        <v>CC431B</v>
      </c>
      <c r="B37" s="1">
        <v>2</v>
      </c>
      <c r="C37" s="1" t="s">
        <v>19</v>
      </c>
      <c r="D37" s="2" t="s">
        <v>30</v>
      </c>
      <c r="E37" s="6" t="s">
        <v>1378</v>
      </c>
      <c r="F37" s="7" t="s">
        <v>216</v>
      </c>
      <c r="G37" s="2" t="s">
        <v>22</v>
      </c>
      <c r="M37" s="2" t="s">
        <v>1379</v>
      </c>
      <c r="P37" s="2" t="s">
        <v>218</v>
      </c>
      <c r="Q37" s="1" t="str">
        <f>IF($B37=0,$M37,_xlfn.TEXTBEFORE(Q36,"/",$B37,,,Q36)&amp;"/"&amp;$M37)&amp;IF(_xlfn.TEXTAFTER($D37,"..",,,,1)&lt;&gt;"1","[0]","")</f>
        <v>*/TimerExpiryForSupplementaryDeclaration/timerExpiryInformation</v>
      </c>
    </row>
    <row r="38" spans="1:17" ht="12" customHeight="1" x14ac:dyDescent="0.35"/>
  </sheetData>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93BD1-3480-452C-B51B-2A87601A197B}">
  <sheetPr codeName="Ark29">
    <tabColor rgb="FFC00000"/>
    <outlinePr summaryBelow="0" summaryRight="0"/>
  </sheetPr>
  <dimension ref="A1:R37"/>
  <sheetViews>
    <sheetView zoomScaleNormal="100" workbookViewId="0">
      <pane xSplit="1" ySplit="1" topLeftCell="D2" activePane="bottomRight" state="frozen"/>
      <selection activeCell="D2" sqref="D2"/>
      <selection pane="topRight" activeCell="D2" sqref="D2"/>
      <selection pane="bottomLeft" activeCell="D2" sqref="D2"/>
      <selection pane="bottomRight" activeCell="D2" sqref="D2"/>
    </sheetView>
  </sheetViews>
  <sheetFormatPr defaultColWidth="11.54296875" defaultRowHeight="12" outlineLevelRow="3" x14ac:dyDescent="0.35"/>
  <cols>
    <col min="1" max="3" width="0" style="1" hidden="1" customWidth="1"/>
    <col min="4" max="4" width="6.6328125" style="1" customWidth="1"/>
    <col min="5" max="5" width="70.6328125" style="1" customWidth="1"/>
    <col min="6" max="11" width="8.6328125" style="1" customWidth="1"/>
    <col min="12" max="14" width="24.6328125" style="1" customWidth="1"/>
    <col min="15" max="15" width="24.6328125" style="1" hidden="1" customWidth="1"/>
    <col min="16" max="17" width="24.6328125" style="1" customWidth="1"/>
    <col min="18" max="16384" width="11.54296875" style="1"/>
  </cols>
  <sheetData>
    <row r="1" spans="1:18" ht="12"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P1" s="1" t="s">
        <v>14</v>
      </c>
      <c r="Q1" s="1" t="s">
        <v>208</v>
      </c>
      <c r="R1" s="1" t="s">
        <v>209</v>
      </c>
    </row>
    <row r="2" spans="1:18" ht="12" customHeight="1" x14ac:dyDescent="0.35">
      <c r="A2" s="2" t="str">
        <f>$E$2</f>
        <v>CC438B</v>
      </c>
      <c r="B2" s="1">
        <v>0</v>
      </c>
      <c r="C2" s="2" t="s">
        <v>16</v>
      </c>
      <c r="E2" s="2" t="s">
        <v>1380</v>
      </c>
      <c r="M2" s="2" t="s">
        <v>17</v>
      </c>
      <c r="P2" s="2" t="s">
        <v>1381</v>
      </c>
      <c r="Q2" s="1" t="str">
        <f>IF($B2=0,$M2,_xlfn.TEXTBEFORE(Q1,"/",$B2,,,Q1)&amp;"/"&amp;$M2)&amp;IF(_xlfn.TEXTAFTER($D2,"..",,,,1)&lt;&gt;"1","[0]","")</f>
        <v>*</v>
      </c>
    </row>
    <row r="3" spans="1:18" ht="12" customHeight="1" outlineLevel="1" x14ac:dyDescent="0.35">
      <c r="A3" s="3" t="str">
        <f>$E$2</f>
        <v>CC438B</v>
      </c>
      <c r="B3" s="4">
        <v>1</v>
      </c>
      <c r="C3" s="3" t="s">
        <v>24</v>
      </c>
      <c r="D3" s="3" t="s">
        <v>20</v>
      </c>
      <c r="E3" s="5" t="s">
        <v>21</v>
      </c>
      <c r="F3" s="4"/>
      <c r="G3" s="3" t="s">
        <v>22</v>
      </c>
      <c r="H3" s="4"/>
      <c r="I3" s="4"/>
      <c r="J3" s="4"/>
      <c r="K3" s="4"/>
      <c r="L3" s="4"/>
      <c r="M3" s="3" t="s">
        <v>21</v>
      </c>
      <c r="N3" s="4"/>
      <c r="O3" s="4"/>
      <c r="P3" s="3" t="s">
        <v>23</v>
      </c>
      <c r="Q3" s="1" t="str">
        <f>IF($B3=0,$M3,_xlfn.TEXTBEFORE(Q2,"/",$B3,,,Q2)&amp;"/"&amp;$M3)&amp;IF(_xlfn.TEXTAFTER($D3,"..",,,,1)&lt;&gt;"1","[0]","")</f>
        <v>*/Extensions[0]</v>
      </c>
    </row>
    <row r="4" spans="1:18" ht="12" customHeight="1" outlineLevel="2" x14ac:dyDescent="0.35">
      <c r="A4" s="2" t="str">
        <f>$E$2</f>
        <v>CC438B</v>
      </c>
      <c r="B4" s="1">
        <v>2</v>
      </c>
      <c r="C4" s="1" t="s">
        <v>19</v>
      </c>
      <c r="D4" s="2" t="s">
        <v>25</v>
      </c>
      <c r="E4" s="6" t="s">
        <v>774</v>
      </c>
      <c r="F4" s="1" t="s">
        <v>775</v>
      </c>
      <c r="G4" s="2" t="s">
        <v>27</v>
      </c>
      <c r="M4" s="2" t="s">
        <v>776</v>
      </c>
      <c r="Q4" s="1" t="str">
        <f>IF($B4=0,$M4,_xlfn.TEXTBEFORE(Q3,"/",$B4,,,Q3)&amp;"/"&amp;$M4)&amp;IF(_xlfn.TEXTAFTER($D4,"..",,,,1)&lt;&gt;"1","[0]","")</f>
        <v>*/Extensions[0]/SequenceNumeric</v>
      </c>
    </row>
    <row r="5" spans="1:18" ht="12" customHeight="1" outlineLevel="2" x14ac:dyDescent="0.35">
      <c r="A5" s="2" t="str">
        <f>$E$2</f>
        <v>CC438B</v>
      </c>
      <c r="B5" s="1">
        <v>2</v>
      </c>
      <c r="C5" s="1" t="s">
        <v>19</v>
      </c>
      <c r="D5" s="2" t="s">
        <v>30</v>
      </c>
      <c r="E5" s="6" t="s">
        <v>777</v>
      </c>
      <c r="F5" s="1" t="s">
        <v>778</v>
      </c>
      <c r="G5" s="2" t="s">
        <v>22</v>
      </c>
      <c r="M5" s="2" t="s">
        <v>779</v>
      </c>
      <c r="Q5" s="1" t="str">
        <f>IF($B5=0,$M5,_xlfn.TEXTBEFORE(Q4,"/",$B5,,,Q4)&amp;"/"&amp;$M5)&amp;IF(_xlfn.TEXTAFTER($D5,"..",,,,1)&lt;&gt;"1","[0]","")</f>
        <v>*/Extensions[0]/ID</v>
      </c>
    </row>
    <row r="6" spans="1:18" ht="12" customHeight="1" outlineLevel="2" x14ac:dyDescent="0.35">
      <c r="A6" s="2" t="str">
        <f>$E$2</f>
        <v>CC438B</v>
      </c>
      <c r="B6" s="1">
        <v>2</v>
      </c>
      <c r="C6" s="1" t="s">
        <v>19</v>
      </c>
      <c r="D6" s="2" t="s">
        <v>25</v>
      </c>
      <c r="E6" s="6" t="s">
        <v>780</v>
      </c>
      <c r="F6" s="1" t="s">
        <v>778</v>
      </c>
      <c r="G6" s="2" t="s">
        <v>27</v>
      </c>
      <c r="M6" s="2" t="s">
        <v>780</v>
      </c>
      <c r="Q6" s="1" t="str">
        <f>IF($B6=0,$M6,_xlfn.TEXTBEFORE(Q5,"/",$B6,,,Q5)&amp;"/"&amp;$M6)&amp;IF(_xlfn.TEXTAFTER($D6,"..",,,,1)&lt;&gt;"1","[0]","")</f>
        <v>*/Extensions[0]/Key</v>
      </c>
    </row>
    <row r="7" spans="1:18" ht="12" customHeight="1" outlineLevel="2" x14ac:dyDescent="0.35">
      <c r="A7" s="2" t="str">
        <f>$E$2</f>
        <v>CC438B</v>
      </c>
      <c r="B7" s="1">
        <v>2</v>
      </c>
      <c r="C7" s="1" t="s">
        <v>19</v>
      </c>
      <c r="D7" s="2" t="s">
        <v>25</v>
      </c>
      <c r="E7" s="6" t="s">
        <v>781</v>
      </c>
      <c r="F7" s="1" t="s">
        <v>778</v>
      </c>
      <c r="G7" s="2" t="s">
        <v>27</v>
      </c>
      <c r="M7" s="2" t="s">
        <v>781</v>
      </c>
      <c r="Q7" s="1" t="str">
        <f>IF($B7=0,$M7,_xlfn.TEXTBEFORE(Q6,"/",$B7,,,Q6)&amp;"/"&amp;$M7)&amp;IF(_xlfn.TEXTAFTER($D7,"..",,,,1)&lt;&gt;"1","[0]","")</f>
        <v>*/Extensions[0]/Value</v>
      </c>
    </row>
    <row r="8" spans="1:18" ht="12" customHeight="1" outlineLevel="2" x14ac:dyDescent="0.35">
      <c r="A8" s="2" t="str">
        <f>$E$2</f>
        <v>CC438B</v>
      </c>
      <c r="B8" s="1">
        <v>2</v>
      </c>
      <c r="C8" s="1" t="s">
        <v>19</v>
      </c>
      <c r="D8" s="2" t="s">
        <v>25</v>
      </c>
      <c r="E8" s="6" t="s">
        <v>782</v>
      </c>
      <c r="F8" s="7" t="s">
        <v>783</v>
      </c>
      <c r="G8" s="2" t="s">
        <v>27</v>
      </c>
      <c r="M8" s="2" t="s">
        <v>784</v>
      </c>
      <c r="Q8" s="1" t="str">
        <f>IF($B8=0,$M8,_xlfn.TEXTBEFORE(Q7,"/",$B8,,,Q7)&amp;"/"&amp;$M8)&amp;IF(_xlfn.TEXTAFTER($D8,"..",,,,1)&lt;&gt;"1","[0]","")</f>
        <v>*/Extensions[0]/DataType</v>
      </c>
    </row>
    <row r="9" spans="1:18" ht="12" customHeight="1" outlineLevel="2" x14ac:dyDescent="0.35">
      <c r="A9" s="21" t="str">
        <f>$E$2</f>
        <v>CC438B</v>
      </c>
      <c r="B9" s="22">
        <v>2</v>
      </c>
      <c r="C9" s="22" t="s">
        <v>19</v>
      </c>
      <c r="D9" s="21" t="s">
        <v>20</v>
      </c>
      <c r="E9" s="23" t="s">
        <v>21</v>
      </c>
      <c r="F9" s="22"/>
      <c r="G9" s="21" t="s">
        <v>22</v>
      </c>
      <c r="H9" s="22"/>
      <c r="I9" s="22"/>
      <c r="J9" s="22"/>
      <c r="K9" s="22"/>
      <c r="L9" s="22"/>
      <c r="M9" s="21" t="s">
        <v>21</v>
      </c>
      <c r="N9" s="22"/>
      <c r="O9" s="22"/>
      <c r="P9" s="21" t="s">
        <v>785</v>
      </c>
      <c r="Q9" s="1" t="str">
        <f>IF($B9=0,$M9,_xlfn.TEXTBEFORE(Q8,"/",$B9,,,Q8)&amp;"/"&amp;$M9)&amp;IF(_xlfn.TEXTAFTER($D9,"..",,,,1)&lt;&gt;"1","[0]","")</f>
        <v>*/Extensions[0]/Extensions[0]</v>
      </c>
    </row>
    <row r="10" spans="1:18" ht="12" customHeight="1" outlineLevel="1" x14ac:dyDescent="0.35">
      <c r="A10" s="3" t="str">
        <f>$E$2</f>
        <v>CC438B</v>
      </c>
      <c r="B10" s="4">
        <v>1</v>
      </c>
      <c r="C10" s="3" t="s">
        <v>24</v>
      </c>
      <c r="D10" s="3" t="s">
        <v>25</v>
      </c>
      <c r="E10" s="5" t="s">
        <v>26</v>
      </c>
      <c r="F10" s="4"/>
      <c r="G10" s="3" t="s">
        <v>27</v>
      </c>
      <c r="H10" s="4"/>
      <c r="I10" s="4"/>
      <c r="J10" s="4"/>
      <c r="K10" s="4"/>
      <c r="L10" s="4"/>
      <c r="M10" s="3" t="s">
        <v>28</v>
      </c>
      <c r="N10" s="4"/>
      <c r="O10" s="4"/>
      <c r="P10" s="3" t="s">
        <v>1370</v>
      </c>
      <c r="Q10" s="1" t="str">
        <f>IF($B10=0,$M10,_xlfn.TEXTBEFORE(Q9,"/",$B10,,,Q9)&amp;"/"&amp;$M10)&amp;IF(_xlfn.TEXTAFTER($D10,"..",,,,1)&lt;&gt;"1","[0]","")</f>
        <v>*/ImportOperation</v>
      </c>
    </row>
    <row r="11" spans="1:18" ht="12" customHeight="1" outlineLevel="2" x14ac:dyDescent="0.35">
      <c r="A11" s="2" t="str">
        <f>$E$2</f>
        <v>CC438B</v>
      </c>
      <c r="B11" s="1">
        <v>2</v>
      </c>
      <c r="C11" s="1" t="s">
        <v>19</v>
      </c>
      <c r="D11" s="2" t="s">
        <v>25</v>
      </c>
      <c r="E11" s="6" t="s">
        <v>31</v>
      </c>
      <c r="F11" s="7" t="s">
        <v>32</v>
      </c>
      <c r="G11" s="2" t="s">
        <v>27</v>
      </c>
      <c r="M11" s="2" t="s">
        <v>33</v>
      </c>
      <c r="P11" s="2" t="s">
        <v>34</v>
      </c>
      <c r="Q11" s="1" t="str">
        <f>IF($B11=0,$M11,_xlfn.TEXTBEFORE(Q10,"/",$B11,,,Q10)&amp;"/"&amp;$M11)&amp;IF(_xlfn.TEXTAFTER($D11,"..",,,,1)&lt;&gt;"1","[0]","")</f>
        <v>*/ImportOperation/LRN</v>
      </c>
    </row>
    <row r="12" spans="1:18" ht="12" customHeight="1" outlineLevel="2" x14ac:dyDescent="0.35">
      <c r="A12" s="2" t="str">
        <f>$E$2</f>
        <v>CC438B</v>
      </c>
      <c r="B12" s="1">
        <v>2</v>
      </c>
      <c r="C12" s="1" t="s">
        <v>19</v>
      </c>
      <c r="D12" s="2" t="s">
        <v>25</v>
      </c>
      <c r="E12" s="6" t="s">
        <v>35</v>
      </c>
      <c r="F12" s="7" t="s">
        <v>36</v>
      </c>
      <c r="G12" s="2" t="s">
        <v>27</v>
      </c>
      <c r="M12" s="2" t="s">
        <v>37</v>
      </c>
      <c r="P12" s="2" t="s">
        <v>38</v>
      </c>
      <c r="Q12" s="1" t="str">
        <f>IF($B12=0,$M12,_xlfn.TEXTBEFORE(Q11,"/",$B12,,,Q11)&amp;"/"&amp;$M12)&amp;IF(_xlfn.TEXTAFTER($D12,"..",,,,1)&lt;&gt;"1","[0]","")</f>
        <v>*/ImportOperation/MRN</v>
      </c>
    </row>
    <row r="13" spans="1:18" ht="12" customHeight="1" outlineLevel="1" x14ac:dyDescent="0.35">
      <c r="A13" s="3" t="str">
        <f>$E$2</f>
        <v>CC438B</v>
      </c>
      <c r="B13" s="4">
        <v>1</v>
      </c>
      <c r="C13" s="3" t="s">
        <v>24</v>
      </c>
      <c r="D13" s="3" t="s">
        <v>30</v>
      </c>
      <c r="E13" s="5" t="s">
        <v>76</v>
      </c>
      <c r="F13" s="4"/>
      <c r="G13" s="3" t="s">
        <v>22</v>
      </c>
      <c r="H13" s="4"/>
      <c r="I13" s="4"/>
      <c r="J13" s="4"/>
      <c r="K13" s="4"/>
      <c r="L13" s="4"/>
      <c r="M13" s="3" t="s">
        <v>77</v>
      </c>
      <c r="N13" s="4"/>
      <c r="O13" s="4"/>
      <c r="P13" s="3" t="s">
        <v>78</v>
      </c>
      <c r="Q13" s="1" t="str">
        <f>IF($B13=0,$M13,_xlfn.TEXTBEFORE(Q12,"/",$B13,,,Q12)&amp;"/"&amp;$M13)&amp;IF(_xlfn.TEXTAFTER($D13,"..",,,,1)&lt;&gt;"1","[0]","")</f>
        <v>*/SupervisingCustomsOffice</v>
      </c>
    </row>
    <row r="14" spans="1:18" ht="12" customHeight="1" outlineLevel="2" x14ac:dyDescent="0.35">
      <c r="A14" s="2" t="str">
        <f>$E$2</f>
        <v>CC438B</v>
      </c>
      <c r="B14" s="1">
        <v>2</v>
      </c>
      <c r="C14" s="1" t="s">
        <v>19</v>
      </c>
      <c r="D14" s="2" t="s">
        <v>25</v>
      </c>
      <c r="E14" s="6" t="s">
        <v>63</v>
      </c>
      <c r="F14" s="7" t="s">
        <v>74</v>
      </c>
      <c r="G14" s="2" t="s">
        <v>27</v>
      </c>
      <c r="J14" s="2" t="s">
        <v>399</v>
      </c>
      <c r="M14" s="2" t="s">
        <v>65</v>
      </c>
      <c r="P14" s="2" t="s">
        <v>75</v>
      </c>
      <c r="Q14" s="1" t="str">
        <f>IF($B14=0,$M14,_xlfn.TEXTBEFORE(Q13,"/",$B14,,,Q13)&amp;"/"&amp;$M14)&amp;IF(_xlfn.TEXTAFTER($D14,"..",,,,1)&lt;&gt;"1","[0]","")</f>
        <v>*/SupervisingCustomsOffice/referenceNumber</v>
      </c>
    </row>
    <row r="15" spans="1:18" ht="12" customHeight="1" outlineLevel="1" x14ac:dyDescent="0.35">
      <c r="A15" s="3" t="str">
        <f>$E$2</f>
        <v>CC438B</v>
      </c>
      <c r="B15" s="4">
        <v>1</v>
      </c>
      <c r="C15" s="3" t="s">
        <v>24</v>
      </c>
      <c r="D15" s="3" t="s">
        <v>25</v>
      </c>
      <c r="E15" s="5" t="s">
        <v>101</v>
      </c>
      <c r="F15" s="4"/>
      <c r="G15" s="3" t="s">
        <v>27</v>
      </c>
      <c r="H15" s="4"/>
      <c r="I15" s="4"/>
      <c r="J15" s="4"/>
      <c r="K15" s="4"/>
      <c r="L15" s="4"/>
      <c r="M15" s="3" t="s">
        <v>101</v>
      </c>
      <c r="N15" s="4"/>
      <c r="O15" s="4"/>
      <c r="P15" s="3" t="s">
        <v>1496</v>
      </c>
      <c r="Q15" s="1" t="str">
        <f>IF($B15=0,$M15,_xlfn.TEXTBEFORE(Q14,"/",$B15,,,Q14)&amp;"/"&amp;$M15)&amp;IF(_xlfn.TEXTAFTER($D15,"..",,,,1)&lt;&gt;"1","[0]","")</f>
        <v>*/Declarant</v>
      </c>
    </row>
    <row r="16" spans="1:18" ht="12" customHeight="1" outlineLevel="2" x14ac:dyDescent="0.35">
      <c r="A16" s="2" t="str">
        <f>$E$2</f>
        <v>CC438B</v>
      </c>
      <c r="B16" s="1">
        <v>2</v>
      </c>
      <c r="C16" s="1" t="s">
        <v>19</v>
      </c>
      <c r="D16" s="2" t="s">
        <v>25</v>
      </c>
      <c r="E16" s="6" t="s">
        <v>81</v>
      </c>
      <c r="F16" s="7" t="s">
        <v>68</v>
      </c>
      <c r="G16" s="2" t="s">
        <v>27</v>
      </c>
      <c r="H16" s="2" t="s">
        <v>397</v>
      </c>
      <c r="M16" s="2" t="s">
        <v>82</v>
      </c>
      <c r="P16" s="2" t="s">
        <v>70</v>
      </c>
      <c r="Q16" s="1" t="str">
        <f>IF($B16=0,$M16,_xlfn.TEXTBEFORE(Q15,"/",$B16,,,Q15)&amp;"/"&amp;$M16)&amp;IF(_xlfn.TEXTAFTER($D16,"..",,,,1)&lt;&gt;"1","[0]","")</f>
        <v>*/Declarant/identificationNumber</v>
      </c>
    </row>
    <row r="17" spans="1:17" ht="12" customHeight="1" outlineLevel="2" x14ac:dyDescent="0.35">
      <c r="A17" s="2" t="str">
        <f>$E$2</f>
        <v>CC438B</v>
      </c>
      <c r="B17" s="1">
        <v>2</v>
      </c>
      <c r="C17" s="1" t="s">
        <v>19</v>
      </c>
      <c r="D17" s="2" t="s">
        <v>30</v>
      </c>
      <c r="E17" s="6" t="s">
        <v>4</v>
      </c>
      <c r="F17" s="7" t="s">
        <v>83</v>
      </c>
      <c r="G17" s="2" t="s">
        <v>396</v>
      </c>
      <c r="I17" s="2" t="s">
        <v>401</v>
      </c>
      <c r="M17" s="2" t="s">
        <v>84</v>
      </c>
      <c r="P17" s="2" t="s">
        <v>85</v>
      </c>
      <c r="Q17" s="1" t="str">
        <f>IF($B17=0,$M17,_xlfn.TEXTBEFORE(Q16,"/",$B17,,,Q16)&amp;"/"&amp;$M17)&amp;IF(_xlfn.TEXTAFTER($D17,"..",,,,1)&lt;&gt;"1","[0]","")</f>
        <v>*/Declarant/name</v>
      </c>
    </row>
    <row r="18" spans="1:17" ht="12" customHeight="1" outlineLevel="2" x14ac:dyDescent="0.35">
      <c r="A18" s="3" t="str">
        <f>$E$2</f>
        <v>CC438B</v>
      </c>
      <c r="B18" s="4">
        <v>2</v>
      </c>
      <c r="C18" s="3" t="s">
        <v>24</v>
      </c>
      <c r="D18" s="3" t="s">
        <v>30</v>
      </c>
      <c r="E18" s="8" t="s">
        <v>86</v>
      </c>
      <c r="F18" s="4"/>
      <c r="G18" s="3" t="s">
        <v>396</v>
      </c>
      <c r="H18" s="4"/>
      <c r="I18" s="3" t="s">
        <v>401</v>
      </c>
      <c r="J18" s="4"/>
      <c r="K18" s="4"/>
      <c r="L18" s="4"/>
      <c r="M18" s="3" t="s">
        <v>86</v>
      </c>
      <c r="N18" s="4"/>
      <c r="O18" s="4"/>
      <c r="P18" s="3" t="s">
        <v>87</v>
      </c>
      <c r="Q18" s="1" t="str">
        <f>IF($B18=0,$M18,_xlfn.TEXTBEFORE(Q17,"/",$B18,,,Q17)&amp;"/"&amp;$M18)&amp;IF(_xlfn.TEXTAFTER($D18,"..",,,,1)&lt;&gt;"1","[0]","")</f>
        <v>*/Declarant/Address</v>
      </c>
    </row>
    <row r="19" spans="1:17" ht="12" customHeight="1" outlineLevel="3" x14ac:dyDescent="0.35">
      <c r="A19" s="2" t="str">
        <f>$E$2</f>
        <v>CC438B</v>
      </c>
      <c r="B19" s="1">
        <v>3</v>
      </c>
      <c r="C19" s="1" t="s">
        <v>19</v>
      </c>
      <c r="D19" s="2" t="s">
        <v>25</v>
      </c>
      <c r="E19" s="9" t="s">
        <v>88</v>
      </c>
      <c r="F19" s="7" t="s">
        <v>83</v>
      </c>
      <c r="G19" s="2" t="s">
        <v>27</v>
      </c>
      <c r="M19" s="2" t="s">
        <v>89</v>
      </c>
      <c r="P19" s="2" t="s">
        <v>90</v>
      </c>
      <c r="Q19" s="1" t="str">
        <f>IF($B19=0,$M19,_xlfn.TEXTBEFORE(Q18,"/",$B19,,,Q18)&amp;"/"&amp;$M19)&amp;IF(_xlfn.TEXTAFTER($D19,"..",,,,1)&lt;&gt;"1","[0]","")</f>
        <v>*/Declarant/Address/streetAndNumber</v>
      </c>
    </row>
    <row r="20" spans="1:17" ht="12" customHeight="1" outlineLevel="3" x14ac:dyDescent="0.35">
      <c r="A20" s="2" t="str">
        <f>$E$2</f>
        <v>CC438B</v>
      </c>
      <c r="B20" s="1">
        <v>3</v>
      </c>
      <c r="C20" s="1" t="s">
        <v>19</v>
      </c>
      <c r="D20" s="2" t="s">
        <v>30</v>
      </c>
      <c r="E20" s="9" t="s">
        <v>91</v>
      </c>
      <c r="F20" s="7" t="s">
        <v>92</v>
      </c>
      <c r="G20" s="2" t="s">
        <v>396</v>
      </c>
      <c r="I20" s="2" t="s">
        <v>402</v>
      </c>
      <c r="M20" s="2" t="s">
        <v>93</v>
      </c>
      <c r="P20" s="2" t="s">
        <v>94</v>
      </c>
      <c r="Q20" s="1" t="str">
        <f>IF($B20=0,$M20,_xlfn.TEXTBEFORE(Q19,"/",$B20,,,Q19)&amp;"/"&amp;$M20)&amp;IF(_xlfn.TEXTAFTER($D20,"..",,,,1)&lt;&gt;"1","[0]","")</f>
        <v>*/Declarant/Address/postcode</v>
      </c>
    </row>
    <row r="21" spans="1:17" ht="12" customHeight="1" outlineLevel="3" x14ac:dyDescent="0.35">
      <c r="A21" s="2" t="str">
        <f>$E$2</f>
        <v>CC438B</v>
      </c>
      <c r="B21" s="1">
        <v>3</v>
      </c>
      <c r="C21" s="1" t="s">
        <v>19</v>
      </c>
      <c r="D21" s="2" t="s">
        <v>25</v>
      </c>
      <c r="E21" s="9" t="s">
        <v>95</v>
      </c>
      <c r="F21" s="7" t="s">
        <v>96</v>
      </c>
      <c r="G21" s="2" t="s">
        <v>27</v>
      </c>
      <c r="M21" s="2" t="s">
        <v>97</v>
      </c>
      <c r="P21" s="2" t="s">
        <v>98</v>
      </c>
      <c r="Q21" s="1" t="str">
        <f>IF($B21=0,$M21,_xlfn.TEXTBEFORE(Q20,"/",$B21,,,Q20)&amp;"/"&amp;$M21)&amp;IF(_xlfn.TEXTAFTER($D21,"..",,,,1)&lt;&gt;"1","[0]","")</f>
        <v>*/Declarant/Address/city</v>
      </c>
    </row>
    <row r="22" spans="1:17" ht="12" customHeight="1" outlineLevel="3" x14ac:dyDescent="0.35">
      <c r="A22" s="2" t="str">
        <f>$E$2</f>
        <v>CC438B</v>
      </c>
      <c r="B22" s="1">
        <v>3</v>
      </c>
      <c r="C22" s="1" t="s">
        <v>19</v>
      </c>
      <c r="D22" s="2" t="s">
        <v>25</v>
      </c>
      <c r="E22" s="9" t="s">
        <v>99</v>
      </c>
      <c r="F22" s="7" t="s">
        <v>50</v>
      </c>
      <c r="G22" s="2" t="s">
        <v>27</v>
      </c>
      <c r="J22" s="2" t="s">
        <v>403</v>
      </c>
      <c r="M22" s="2" t="s">
        <v>100</v>
      </c>
      <c r="P22" s="2" t="s">
        <v>52</v>
      </c>
      <c r="Q22" s="1" t="str">
        <f>IF($B22=0,$M22,_xlfn.TEXTBEFORE(Q21,"/",$B22,,,Q21)&amp;"/"&amp;$M22)&amp;IF(_xlfn.TEXTAFTER($D22,"..",,,,1)&lt;&gt;"1","[0]","")</f>
        <v>*/Declarant/Address/country</v>
      </c>
    </row>
    <row r="23" spans="1:17" ht="12" customHeight="1" outlineLevel="2" x14ac:dyDescent="0.35">
      <c r="A23" s="3" t="str">
        <f>$E$2</f>
        <v>CC438B</v>
      </c>
      <c r="B23" s="4">
        <v>2</v>
      </c>
      <c r="C23" s="3" t="s">
        <v>24</v>
      </c>
      <c r="D23" s="3" t="s">
        <v>30</v>
      </c>
      <c r="E23" s="8" t="s">
        <v>105</v>
      </c>
      <c r="F23" s="4"/>
      <c r="G23" s="3" t="s">
        <v>22</v>
      </c>
      <c r="H23" s="3" t="s">
        <v>409</v>
      </c>
      <c r="I23" s="4"/>
      <c r="J23" s="4"/>
      <c r="K23" s="4"/>
      <c r="L23" s="4"/>
      <c r="M23" s="3" t="s">
        <v>106</v>
      </c>
      <c r="N23" s="4"/>
      <c r="O23" s="4"/>
      <c r="P23" s="3" t="s">
        <v>107</v>
      </c>
      <c r="Q23" s="1" t="str">
        <f>IF($B23=0,$M23,_xlfn.TEXTBEFORE(Q22,"/",$B23,,,Q22)&amp;"/"&amp;$M23)&amp;IF(_xlfn.TEXTAFTER($D23,"..",,,,1)&lt;&gt;"1","[0]","")</f>
        <v>*/Declarant/ContactPerson</v>
      </c>
    </row>
    <row r="24" spans="1:17" ht="12" customHeight="1" outlineLevel="3" x14ac:dyDescent="0.35">
      <c r="A24" s="2" t="str">
        <f>$E$2</f>
        <v>CC438B</v>
      </c>
      <c r="B24" s="1">
        <v>3</v>
      </c>
      <c r="C24" s="1" t="s">
        <v>19</v>
      </c>
      <c r="D24" s="2" t="s">
        <v>25</v>
      </c>
      <c r="E24" s="9" t="s">
        <v>4</v>
      </c>
      <c r="F24" s="7" t="s">
        <v>83</v>
      </c>
      <c r="G24" s="2" t="s">
        <v>27</v>
      </c>
      <c r="M24" s="2" t="s">
        <v>84</v>
      </c>
      <c r="P24" s="2" t="s">
        <v>85</v>
      </c>
      <c r="Q24" s="1" t="str">
        <f>IF($B24=0,$M24,_xlfn.TEXTBEFORE(Q23,"/",$B24,,,Q23)&amp;"/"&amp;$M24)&amp;IF(_xlfn.TEXTAFTER($D24,"..",,,,1)&lt;&gt;"1","[0]","")</f>
        <v>*/Declarant/ContactPerson/name</v>
      </c>
    </row>
    <row r="25" spans="1:17" ht="12" customHeight="1" outlineLevel="3" x14ac:dyDescent="0.35">
      <c r="A25" s="2" t="str">
        <f>$E$2</f>
        <v>CC438B</v>
      </c>
      <c r="B25" s="1">
        <v>3</v>
      </c>
      <c r="C25" s="1" t="s">
        <v>19</v>
      </c>
      <c r="D25" s="2" t="s">
        <v>25</v>
      </c>
      <c r="E25" s="9" t="s">
        <v>108</v>
      </c>
      <c r="F25" s="7" t="s">
        <v>96</v>
      </c>
      <c r="G25" s="2" t="s">
        <v>27</v>
      </c>
      <c r="M25" s="2" t="s">
        <v>109</v>
      </c>
      <c r="P25" s="2" t="s">
        <v>110</v>
      </c>
      <c r="Q25" s="1" t="str">
        <f>IF($B25=0,$M25,_xlfn.TEXTBEFORE(Q24,"/",$B25,,,Q24)&amp;"/"&amp;$M25)&amp;IF(_xlfn.TEXTAFTER($D25,"..",,,,1)&lt;&gt;"1","[0]","")</f>
        <v>*/Declarant/ContactPerson/phoneNumber</v>
      </c>
    </row>
    <row r="26" spans="1:17" ht="12" customHeight="1" outlineLevel="3" x14ac:dyDescent="0.35">
      <c r="A26" s="2" t="str">
        <f>$E$2</f>
        <v>CC438B</v>
      </c>
      <c r="B26" s="1">
        <v>3</v>
      </c>
      <c r="C26" s="1" t="s">
        <v>19</v>
      </c>
      <c r="D26" s="2" t="s">
        <v>25</v>
      </c>
      <c r="E26" s="9" t="s">
        <v>111</v>
      </c>
      <c r="F26" s="7" t="s">
        <v>112</v>
      </c>
      <c r="G26" s="2" t="s">
        <v>27</v>
      </c>
      <c r="M26" s="2" t="s">
        <v>113</v>
      </c>
      <c r="P26" s="2" t="s">
        <v>114</v>
      </c>
      <c r="Q26" s="1" t="str">
        <f>IF($B26=0,$M26,_xlfn.TEXTBEFORE(Q25,"/",$B26,,,Q25)&amp;"/"&amp;$M26)&amp;IF(_xlfn.TEXTAFTER($D26,"..",,,,1)&lt;&gt;"1","[0]","")</f>
        <v>*/Declarant/ContactPerson/eMailAddress</v>
      </c>
    </row>
    <row r="27" spans="1:17" ht="12" customHeight="1" outlineLevel="1" x14ac:dyDescent="0.35">
      <c r="A27" s="3" t="str">
        <f>$E$2</f>
        <v>CC438B</v>
      </c>
      <c r="B27" s="4">
        <v>1</v>
      </c>
      <c r="C27" s="3" t="s">
        <v>24</v>
      </c>
      <c r="D27" s="3" t="s">
        <v>30</v>
      </c>
      <c r="E27" s="5" t="s">
        <v>121</v>
      </c>
      <c r="F27" s="4"/>
      <c r="G27" s="3" t="s">
        <v>22</v>
      </c>
      <c r="H27" s="4"/>
      <c r="I27" s="4"/>
      <c r="J27" s="4"/>
      <c r="K27" s="4"/>
      <c r="L27" s="4"/>
      <c r="M27" s="3" t="s">
        <v>121</v>
      </c>
      <c r="N27" s="4"/>
      <c r="O27" s="4"/>
      <c r="P27" s="3" t="s">
        <v>1240</v>
      </c>
      <c r="Q27" s="1" t="str">
        <f>IF($B27=0,$M27,_xlfn.TEXTBEFORE(Q26,"/",$B27,,,Q26)&amp;"/"&amp;$M27)&amp;IF(_xlfn.TEXTAFTER($D27,"..",,,,1)&lt;&gt;"1","[0]","")</f>
        <v>*/Representative</v>
      </c>
    </row>
    <row r="28" spans="1:17" ht="12" customHeight="1" outlineLevel="2" x14ac:dyDescent="0.35">
      <c r="A28" s="2" t="str">
        <f>$E$2</f>
        <v>CC438B</v>
      </c>
      <c r="B28" s="1">
        <v>2</v>
      </c>
      <c r="C28" s="1" t="s">
        <v>19</v>
      </c>
      <c r="D28" s="2" t="s">
        <v>25</v>
      </c>
      <c r="E28" s="6" t="s">
        <v>81</v>
      </c>
      <c r="F28" s="7" t="s">
        <v>68</v>
      </c>
      <c r="G28" s="2" t="s">
        <v>27</v>
      </c>
      <c r="H28" s="2" t="s">
        <v>788</v>
      </c>
      <c r="M28" s="2" t="s">
        <v>82</v>
      </c>
      <c r="P28" s="2" t="s">
        <v>70</v>
      </c>
      <c r="Q28" s="1" t="str">
        <f>IF($B28=0,$M28,_xlfn.TEXTBEFORE(Q27,"/",$B28,,,Q27)&amp;"/"&amp;$M28)&amp;IF(_xlfn.TEXTAFTER($D28,"..",,,,1)&lt;&gt;"1","[0]","")</f>
        <v>*/Representative/identificationNumber</v>
      </c>
    </row>
    <row r="29" spans="1:17" ht="12" customHeight="1" outlineLevel="2" x14ac:dyDescent="0.35">
      <c r="A29" s="2" t="str">
        <f>$E$2</f>
        <v>CC438B</v>
      </c>
      <c r="B29" s="1">
        <v>2</v>
      </c>
      <c r="C29" s="1" t="s">
        <v>19</v>
      </c>
      <c r="D29" s="2" t="s">
        <v>25</v>
      </c>
      <c r="E29" s="6" t="s">
        <v>6</v>
      </c>
      <c r="F29" s="7" t="s">
        <v>123</v>
      </c>
      <c r="G29" s="2" t="s">
        <v>27</v>
      </c>
      <c r="H29" s="2" t="s">
        <v>407</v>
      </c>
      <c r="J29" s="2" t="s">
        <v>408</v>
      </c>
      <c r="M29" s="2" t="s">
        <v>124</v>
      </c>
      <c r="P29" s="2" t="s">
        <v>125</v>
      </c>
      <c r="Q29" s="1" t="str">
        <f>IF($B29=0,$M29,_xlfn.TEXTBEFORE(Q28,"/",$B29,,,Q28)&amp;"/"&amp;$M29)&amp;IF(_xlfn.TEXTAFTER($D29,"..",,,,1)&lt;&gt;"1","[0]","")</f>
        <v>*/Representative/status</v>
      </c>
    </row>
    <row r="30" spans="1:17" ht="12" customHeight="1" outlineLevel="2" x14ac:dyDescent="0.35">
      <c r="A30" s="3" t="str">
        <f>$E$2</f>
        <v>CC438B</v>
      </c>
      <c r="B30" s="4">
        <v>2</v>
      </c>
      <c r="C30" s="3" t="s">
        <v>24</v>
      </c>
      <c r="D30" s="3" t="s">
        <v>30</v>
      </c>
      <c r="E30" s="8" t="s">
        <v>105</v>
      </c>
      <c r="F30" s="4"/>
      <c r="G30" s="3" t="s">
        <v>22</v>
      </c>
      <c r="H30" s="3" t="s">
        <v>409</v>
      </c>
      <c r="I30" s="4"/>
      <c r="J30" s="4"/>
      <c r="K30" s="4"/>
      <c r="L30" s="4"/>
      <c r="M30" s="3" t="s">
        <v>106</v>
      </c>
      <c r="N30" s="4"/>
      <c r="O30" s="4"/>
      <c r="P30" s="3" t="s">
        <v>107</v>
      </c>
      <c r="Q30" s="1" t="str">
        <f>IF($B30=0,$M30,_xlfn.TEXTBEFORE(Q29,"/",$B30,,,Q29)&amp;"/"&amp;$M30)&amp;IF(_xlfn.TEXTAFTER($D30,"..",,,,1)&lt;&gt;"1","[0]","")</f>
        <v>*/Representative/ContactPerson</v>
      </c>
    </row>
    <row r="31" spans="1:17" ht="12" customHeight="1" outlineLevel="3" x14ac:dyDescent="0.35">
      <c r="A31" s="2" t="str">
        <f>$E$2</f>
        <v>CC438B</v>
      </c>
      <c r="B31" s="1">
        <v>3</v>
      </c>
      <c r="C31" s="1" t="s">
        <v>19</v>
      </c>
      <c r="D31" s="2" t="s">
        <v>25</v>
      </c>
      <c r="E31" s="9" t="s">
        <v>4</v>
      </c>
      <c r="F31" s="7" t="s">
        <v>83</v>
      </c>
      <c r="G31" s="2" t="s">
        <v>27</v>
      </c>
      <c r="M31" s="2" t="s">
        <v>84</v>
      </c>
      <c r="P31" s="2" t="s">
        <v>85</v>
      </c>
      <c r="Q31" s="1" t="str">
        <f>IF($B31=0,$M31,_xlfn.TEXTBEFORE(Q30,"/",$B31,,,Q30)&amp;"/"&amp;$M31)&amp;IF(_xlfn.TEXTAFTER($D31,"..",,,,1)&lt;&gt;"1","[0]","")</f>
        <v>*/Representative/ContactPerson/name</v>
      </c>
    </row>
    <row r="32" spans="1:17" ht="12" customHeight="1" outlineLevel="3" x14ac:dyDescent="0.35">
      <c r="A32" s="2" t="str">
        <f>$E$2</f>
        <v>CC438B</v>
      </c>
      <c r="B32" s="1">
        <v>3</v>
      </c>
      <c r="C32" s="1" t="s">
        <v>19</v>
      </c>
      <c r="D32" s="2" t="s">
        <v>25</v>
      </c>
      <c r="E32" s="9" t="s">
        <v>108</v>
      </c>
      <c r="F32" s="7" t="s">
        <v>96</v>
      </c>
      <c r="G32" s="2" t="s">
        <v>27</v>
      </c>
      <c r="M32" s="2" t="s">
        <v>109</v>
      </c>
      <c r="P32" s="2" t="s">
        <v>110</v>
      </c>
      <c r="Q32" s="1" t="str">
        <f>IF($B32=0,$M32,_xlfn.TEXTBEFORE(Q31,"/",$B32,,,Q31)&amp;"/"&amp;$M32)&amp;IF(_xlfn.TEXTAFTER($D32,"..",,,,1)&lt;&gt;"1","[0]","")</f>
        <v>*/Representative/ContactPerson/phoneNumber</v>
      </c>
    </row>
    <row r="33" spans="1:17" ht="12" customHeight="1" outlineLevel="3" x14ac:dyDescent="0.35">
      <c r="A33" s="2" t="str">
        <f>$E$2</f>
        <v>CC438B</v>
      </c>
      <c r="B33" s="1">
        <v>3</v>
      </c>
      <c r="C33" s="1" t="s">
        <v>19</v>
      </c>
      <c r="D33" s="2" t="s">
        <v>25</v>
      </c>
      <c r="E33" s="9" t="s">
        <v>111</v>
      </c>
      <c r="F33" s="7" t="s">
        <v>112</v>
      </c>
      <c r="G33" s="2" t="s">
        <v>27</v>
      </c>
      <c r="M33" s="2" t="s">
        <v>113</v>
      </c>
      <c r="P33" s="2" t="s">
        <v>114</v>
      </c>
      <c r="Q33" s="1" t="str">
        <f>IF($B33=0,$M33,_xlfn.TEXTBEFORE(Q32,"/",$B33,,,Q32)&amp;"/"&amp;$M33)&amp;IF(_xlfn.TEXTAFTER($D33,"..",,,,1)&lt;&gt;"1","[0]","")</f>
        <v>*/Representative/ContactPerson/eMailAddress</v>
      </c>
    </row>
    <row r="34" spans="1:17" ht="12" customHeight="1" outlineLevel="1" x14ac:dyDescent="0.35">
      <c r="A34" s="3" t="str">
        <f>$E$2</f>
        <v>CC438B</v>
      </c>
      <c r="B34" s="4">
        <v>1</v>
      </c>
      <c r="C34" s="3" t="s">
        <v>24</v>
      </c>
      <c r="D34" s="3" t="s">
        <v>25</v>
      </c>
      <c r="E34" s="5" t="s">
        <v>1382</v>
      </c>
      <c r="F34" s="4"/>
      <c r="G34" s="3" t="s">
        <v>27</v>
      </c>
      <c r="H34" s="4"/>
      <c r="I34" s="4"/>
      <c r="J34" s="4"/>
      <c r="K34" s="4"/>
      <c r="L34" s="4"/>
      <c r="M34" s="3" t="s">
        <v>1383</v>
      </c>
      <c r="N34" s="4"/>
      <c r="O34" s="4"/>
      <c r="P34" s="3" t="s">
        <v>1384</v>
      </c>
      <c r="Q34" s="1" t="str">
        <f>IF($B34=0,$M34,_xlfn.TEXTBEFORE(Q33,"/",$B34,,,Q33)&amp;"/"&amp;$M34)&amp;IF(_xlfn.TEXTAFTER($D34,"..",,,,1)&lt;&gt;"1","[0]","")</f>
        <v>*/ReminderDetails</v>
      </c>
    </row>
    <row r="35" spans="1:17" ht="12" customHeight="1" outlineLevel="2" x14ac:dyDescent="0.35">
      <c r="A35" s="2" t="str">
        <f>$E$2</f>
        <v>CC438B</v>
      </c>
      <c r="B35" s="1">
        <v>2</v>
      </c>
      <c r="C35" s="1" t="s">
        <v>19</v>
      </c>
      <c r="D35" s="2" t="s">
        <v>25</v>
      </c>
      <c r="E35" s="6" t="s">
        <v>1385</v>
      </c>
      <c r="F35" s="2" t="s">
        <v>505</v>
      </c>
      <c r="G35" s="2" t="s">
        <v>27</v>
      </c>
      <c r="H35" s="2" t="s">
        <v>786</v>
      </c>
      <c r="M35" s="2" t="s">
        <v>1386</v>
      </c>
      <c r="P35" s="2" t="s">
        <v>507</v>
      </c>
      <c r="Q35" s="1" t="str">
        <f>IF($B35=0,$M35,_xlfn.TEXTBEFORE(Q34,"/",$B35,,,Q34)&amp;"/"&amp;$M35)&amp;IF(_xlfn.TEXTAFTER($D35,"..",,,,1)&lt;&gt;"1","[0]","")</f>
        <v>*/ReminderDetails/requestDate</v>
      </c>
    </row>
    <row r="36" spans="1:17" ht="12" customHeight="1" outlineLevel="2" x14ac:dyDescent="0.35">
      <c r="A36" s="2" t="str">
        <f>$E$2</f>
        <v>CC438B</v>
      </c>
      <c r="B36" s="1">
        <v>2</v>
      </c>
      <c r="C36" s="1" t="s">
        <v>19</v>
      </c>
      <c r="D36" s="2" t="s">
        <v>25</v>
      </c>
      <c r="E36" s="6" t="s">
        <v>1387</v>
      </c>
      <c r="F36" s="2" t="s">
        <v>505</v>
      </c>
      <c r="G36" s="2" t="s">
        <v>27</v>
      </c>
      <c r="M36" s="2" t="s">
        <v>1388</v>
      </c>
      <c r="P36" s="2" t="s">
        <v>507</v>
      </c>
      <c r="Q36" s="1" t="str">
        <f>IF($B36=0,$M36,_xlfn.TEXTBEFORE(Q35,"/",$B36,,,Q35)&amp;"/"&amp;$M36)&amp;IF(_xlfn.TEXTAFTER($D36,"..",,,,1)&lt;&gt;"1","[0]","")</f>
        <v>*/ReminderDetails/expirationDate</v>
      </c>
    </row>
    <row r="37" spans="1:17" ht="12" customHeight="1" x14ac:dyDescent="0.35"/>
  </sheetData>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63B62-521D-452D-AC71-937438F648E0}">
  <sheetPr codeName="Ark30">
    <tabColor rgb="FFC00000"/>
    <outlinePr summaryBelow="0" summaryRight="0"/>
  </sheetPr>
  <dimension ref="A1:R55"/>
  <sheetViews>
    <sheetView zoomScaleNormal="100" workbookViewId="0">
      <pane xSplit="1" ySplit="1" topLeftCell="D2" activePane="bottomRight" state="frozen"/>
      <selection activeCell="D2" sqref="D2"/>
      <selection pane="topRight" activeCell="D2" sqref="D2"/>
      <selection pane="bottomLeft" activeCell="D2" sqref="D2"/>
      <selection pane="bottomRight" activeCell="D2" sqref="D2"/>
    </sheetView>
  </sheetViews>
  <sheetFormatPr defaultColWidth="11.54296875" defaultRowHeight="12" outlineLevelRow="4" x14ac:dyDescent="0.35"/>
  <cols>
    <col min="1" max="3" width="0" style="1" hidden="1" customWidth="1"/>
    <col min="4" max="4" width="6.6328125" style="1" customWidth="1"/>
    <col min="5" max="5" width="70.6328125" style="1" customWidth="1"/>
    <col min="6" max="11" width="8.6328125" style="1" customWidth="1"/>
    <col min="12" max="14" width="24.6328125" style="1" customWidth="1"/>
    <col min="15" max="15" width="24.6328125" style="1" hidden="1" customWidth="1"/>
    <col min="16" max="17" width="24.6328125" style="1" customWidth="1"/>
    <col min="18" max="16384" width="11.54296875" style="1"/>
  </cols>
  <sheetData>
    <row r="1" spans="1:18" ht="12"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P1" s="1" t="s">
        <v>14</v>
      </c>
      <c r="Q1" s="1" t="s">
        <v>208</v>
      </c>
      <c r="R1" s="1" t="s">
        <v>209</v>
      </c>
    </row>
    <row r="2" spans="1:18" ht="12" customHeight="1" x14ac:dyDescent="0.35">
      <c r="A2" s="2" t="str">
        <f>$E$2</f>
        <v>CC444B</v>
      </c>
      <c r="B2" s="1">
        <v>0</v>
      </c>
      <c r="C2" s="2" t="s">
        <v>16</v>
      </c>
      <c r="E2" s="2" t="s">
        <v>1389</v>
      </c>
      <c r="M2" s="2" t="s">
        <v>17</v>
      </c>
      <c r="P2" s="2" t="s">
        <v>1390</v>
      </c>
      <c r="Q2" s="1" t="str">
        <f>IF($B2=0,$M2,_xlfn.TEXTBEFORE(Q1,"/",$B2,,,Q1)&amp;"/"&amp;$M2)&amp;IF(_xlfn.TEXTAFTER($D2,"..",,,,1)&lt;&gt;"1","[0]","")</f>
        <v>*</v>
      </c>
    </row>
    <row r="3" spans="1:18" ht="12" customHeight="1" outlineLevel="1" x14ac:dyDescent="0.35">
      <c r="A3" s="3" t="str">
        <f>$E$2</f>
        <v>CC444B</v>
      </c>
      <c r="B3" s="4">
        <v>1</v>
      </c>
      <c r="C3" s="3" t="s">
        <v>24</v>
      </c>
      <c r="D3" s="3" t="s">
        <v>20</v>
      </c>
      <c r="E3" s="5" t="s">
        <v>21</v>
      </c>
      <c r="F3" s="4"/>
      <c r="G3" s="3" t="s">
        <v>22</v>
      </c>
      <c r="H3" s="4"/>
      <c r="I3" s="4"/>
      <c r="J3" s="4"/>
      <c r="K3" s="4"/>
      <c r="L3" s="4"/>
      <c r="M3" s="3" t="s">
        <v>21</v>
      </c>
      <c r="N3" s="4"/>
      <c r="O3" s="4"/>
      <c r="P3" s="3" t="s">
        <v>23</v>
      </c>
      <c r="Q3" s="1" t="str">
        <f>IF($B3=0,$M3,_xlfn.TEXTBEFORE(Q2,"/",$B3,,,Q2)&amp;"/"&amp;$M3)&amp;IF(_xlfn.TEXTAFTER($D3,"..",,,,1)&lt;&gt;"1","[0]","")</f>
        <v>*/Extensions[0]</v>
      </c>
    </row>
    <row r="4" spans="1:18" ht="12" customHeight="1" outlineLevel="2" x14ac:dyDescent="0.35">
      <c r="A4" s="2" t="str">
        <f>$E$2</f>
        <v>CC444B</v>
      </c>
      <c r="B4" s="1">
        <v>2</v>
      </c>
      <c r="C4" s="1" t="s">
        <v>19</v>
      </c>
      <c r="D4" s="2" t="s">
        <v>25</v>
      </c>
      <c r="E4" s="6" t="s">
        <v>774</v>
      </c>
      <c r="F4" s="1" t="s">
        <v>775</v>
      </c>
      <c r="G4" s="2" t="s">
        <v>27</v>
      </c>
      <c r="M4" s="2" t="s">
        <v>776</v>
      </c>
      <c r="Q4" s="1" t="str">
        <f>IF($B4=0,$M4,_xlfn.TEXTBEFORE(Q3,"/",$B4,,,Q3)&amp;"/"&amp;$M4)&amp;IF(_xlfn.TEXTAFTER($D4,"..",,,,1)&lt;&gt;"1","[0]","")</f>
        <v>*/Extensions[0]/SequenceNumeric</v>
      </c>
    </row>
    <row r="5" spans="1:18" ht="12" customHeight="1" outlineLevel="2" x14ac:dyDescent="0.35">
      <c r="A5" s="2" t="str">
        <f>$E$2</f>
        <v>CC444B</v>
      </c>
      <c r="B5" s="1">
        <v>2</v>
      </c>
      <c r="C5" s="1" t="s">
        <v>19</v>
      </c>
      <c r="D5" s="2" t="s">
        <v>30</v>
      </c>
      <c r="E5" s="6" t="s">
        <v>777</v>
      </c>
      <c r="F5" s="1" t="s">
        <v>778</v>
      </c>
      <c r="G5" s="2" t="s">
        <v>22</v>
      </c>
      <c r="M5" s="2" t="s">
        <v>779</v>
      </c>
      <c r="Q5" s="1" t="str">
        <f>IF($B5=0,$M5,_xlfn.TEXTBEFORE(Q4,"/",$B5,,,Q4)&amp;"/"&amp;$M5)&amp;IF(_xlfn.TEXTAFTER($D5,"..",,,,1)&lt;&gt;"1","[0]","")</f>
        <v>*/Extensions[0]/ID</v>
      </c>
    </row>
    <row r="6" spans="1:18" ht="12" customHeight="1" outlineLevel="2" x14ac:dyDescent="0.35">
      <c r="A6" s="2" t="str">
        <f>$E$2</f>
        <v>CC444B</v>
      </c>
      <c r="B6" s="1">
        <v>2</v>
      </c>
      <c r="C6" s="1" t="s">
        <v>19</v>
      </c>
      <c r="D6" s="2" t="s">
        <v>25</v>
      </c>
      <c r="E6" s="6" t="s">
        <v>780</v>
      </c>
      <c r="F6" s="1" t="s">
        <v>778</v>
      </c>
      <c r="G6" s="2" t="s">
        <v>27</v>
      </c>
      <c r="M6" s="2" t="s">
        <v>780</v>
      </c>
      <c r="Q6" s="1" t="str">
        <f>IF($B6=0,$M6,_xlfn.TEXTBEFORE(Q5,"/",$B6,,,Q5)&amp;"/"&amp;$M6)&amp;IF(_xlfn.TEXTAFTER($D6,"..",,,,1)&lt;&gt;"1","[0]","")</f>
        <v>*/Extensions[0]/Key</v>
      </c>
    </row>
    <row r="7" spans="1:18" ht="12" customHeight="1" outlineLevel="2" x14ac:dyDescent="0.35">
      <c r="A7" s="2" t="str">
        <f>$E$2</f>
        <v>CC444B</v>
      </c>
      <c r="B7" s="1">
        <v>2</v>
      </c>
      <c r="C7" s="1" t="s">
        <v>19</v>
      </c>
      <c r="D7" s="2" t="s">
        <v>25</v>
      </c>
      <c r="E7" s="6" t="s">
        <v>781</v>
      </c>
      <c r="F7" s="1" t="s">
        <v>778</v>
      </c>
      <c r="G7" s="2" t="s">
        <v>27</v>
      </c>
      <c r="M7" s="2" t="s">
        <v>781</v>
      </c>
      <c r="Q7" s="1" t="str">
        <f>IF($B7=0,$M7,_xlfn.TEXTBEFORE(Q6,"/",$B7,,,Q6)&amp;"/"&amp;$M7)&amp;IF(_xlfn.TEXTAFTER($D7,"..",,,,1)&lt;&gt;"1","[0]","")</f>
        <v>*/Extensions[0]/Value</v>
      </c>
    </row>
    <row r="8" spans="1:18" ht="12" customHeight="1" outlineLevel="2" x14ac:dyDescent="0.35">
      <c r="A8" s="2" t="str">
        <f>$E$2</f>
        <v>CC444B</v>
      </c>
      <c r="B8" s="1">
        <v>2</v>
      </c>
      <c r="C8" s="1" t="s">
        <v>19</v>
      </c>
      <c r="D8" s="2" t="s">
        <v>25</v>
      </c>
      <c r="E8" s="6" t="s">
        <v>782</v>
      </c>
      <c r="F8" s="7" t="s">
        <v>783</v>
      </c>
      <c r="G8" s="2" t="s">
        <v>27</v>
      </c>
      <c r="M8" s="2" t="s">
        <v>784</v>
      </c>
      <c r="Q8" s="1" t="str">
        <f>IF($B8=0,$M8,_xlfn.TEXTBEFORE(Q7,"/",$B8,,,Q7)&amp;"/"&amp;$M8)&amp;IF(_xlfn.TEXTAFTER($D8,"..",,,,1)&lt;&gt;"1","[0]","")</f>
        <v>*/Extensions[0]/DataType</v>
      </c>
    </row>
    <row r="9" spans="1:18" ht="12" customHeight="1" outlineLevel="2" x14ac:dyDescent="0.35">
      <c r="A9" s="21" t="str">
        <f>$E$2</f>
        <v>CC444B</v>
      </c>
      <c r="B9" s="22">
        <v>2</v>
      </c>
      <c r="C9" s="22" t="s">
        <v>19</v>
      </c>
      <c r="D9" s="21" t="s">
        <v>20</v>
      </c>
      <c r="E9" s="23" t="s">
        <v>21</v>
      </c>
      <c r="F9" s="22"/>
      <c r="G9" s="21" t="s">
        <v>22</v>
      </c>
      <c r="H9" s="22"/>
      <c r="I9" s="22"/>
      <c r="J9" s="22"/>
      <c r="K9" s="22"/>
      <c r="L9" s="22"/>
      <c r="M9" s="21" t="s">
        <v>21</v>
      </c>
      <c r="N9" s="22"/>
      <c r="O9" s="22"/>
      <c r="P9" s="21" t="s">
        <v>785</v>
      </c>
      <c r="Q9" s="1" t="str">
        <f>IF($B9=0,$M9,_xlfn.TEXTBEFORE(Q8,"/",$B9,,,Q8)&amp;"/"&amp;$M9)&amp;IF(_xlfn.TEXTAFTER($D9,"..",,,,1)&lt;&gt;"1","[0]","")</f>
        <v>*/Extensions[0]/Extensions[0]</v>
      </c>
    </row>
    <row r="10" spans="1:18" ht="12" customHeight="1" outlineLevel="1" x14ac:dyDescent="0.35">
      <c r="A10" s="3" t="str">
        <f>$E$2</f>
        <v>CC444B</v>
      </c>
      <c r="B10" s="4">
        <v>1</v>
      </c>
      <c r="C10" s="3" t="s">
        <v>24</v>
      </c>
      <c r="D10" s="3" t="s">
        <v>25</v>
      </c>
      <c r="E10" s="5" t="s">
        <v>26</v>
      </c>
      <c r="F10" s="4"/>
      <c r="G10" s="3" t="s">
        <v>27</v>
      </c>
      <c r="H10" s="4"/>
      <c r="I10" s="4"/>
      <c r="J10" s="4"/>
      <c r="K10" s="4"/>
      <c r="L10" s="4"/>
      <c r="M10" s="3" t="s">
        <v>28</v>
      </c>
      <c r="N10" s="4"/>
      <c r="O10" s="4"/>
      <c r="P10" s="3" t="s">
        <v>1370</v>
      </c>
      <c r="Q10" s="1" t="str">
        <f>IF($B10=0,$M10,_xlfn.TEXTBEFORE(Q9,"/",$B10,,,Q9)&amp;"/"&amp;$M10)&amp;IF(_xlfn.TEXTAFTER($D10,"..",,,,1)&lt;&gt;"1","[0]","")</f>
        <v>*/ImportOperation</v>
      </c>
    </row>
    <row r="11" spans="1:18" ht="12" customHeight="1" outlineLevel="2" x14ac:dyDescent="0.35">
      <c r="A11" s="2" t="str">
        <f>$E$2</f>
        <v>CC444B</v>
      </c>
      <c r="B11" s="1">
        <v>2</v>
      </c>
      <c r="C11" s="1" t="s">
        <v>19</v>
      </c>
      <c r="D11" s="2" t="s">
        <v>25</v>
      </c>
      <c r="E11" s="6" t="s">
        <v>31</v>
      </c>
      <c r="F11" s="7" t="s">
        <v>32</v>
      </c>
      <c r="G11" s="2" t="s">
        <v>27</v>
      </c>
      <c r="M11" s="2" t="s">
        <v>33</v>
      </c>
      <c r="P11" s="2" t="s">
        <v>34</v>
      </c>
      <c r="Q11" s="1" t="str">
        <f>IF($B11=0,$M11,_xlfn.TEXTBEFORE(Q10,"/",$B11,,,Q10)&amp;"/"&amp;$M11)&amp;IF(_xlfn.TEXTAFTER($D11,"..",,,,1)&lt;&gt;"1","[0]","")</f>
        <v>*/ImportOperation/LRN</v>
      </c>
    </row>
    <row r="12" spans="1:18" ht="12" customHeight="1" outlineLevel="2" x14ac:dyDescent="0.35">
      <c r="A12" s="2" t="str">
        <f>$E$2</f>
        <v>CC444B</v>
      </c>
      <c r="B12" s="1">
        <v>2</v>
      </c>
      <c r="C12" s="1" t="s">
        <v>19</v>
      </c>
      <c r="D12" s="2" t="s">
        <v>25</v>
      </c>
      <c r="E12" s="6" t="s">
        <v>35</v>
      </c>
      <c r="F12" s="7" t="s">
        <v>36</v>
      </c>
      <c r="G12" s="2" t="s">
        <v>27</v>
      </c>
      <c r="M12" s="2" t="s">
        <v>37</v>
      </c>
      <c r="P12" s="2" t="s">
        <v>38</v>
      </c>
      <c r="Q12" s="1" t="str">
        <f>IF($B12=0,$M12,_xlfn.TEXTBEFORE(Q11,"/",$B12,,,Q11)&amp;"/"&amp;$M12)&amp;IF(_xlfn.TEXTAFTER($D12,"..",,,,1)&lt;&gt;"1","[0]","")</f>
        <v>*/ImportOperation/MRN</v>
      </c>
    </row>
    <row r="13" spans="1:18" ht="12" customHeight="1" outlineLevel="1" x14ac:dyDescent="0.35">
      <c r="A13" s="3" t="str">
        <f>$E$2</f>
        <v>CC444B</v>
      </c>
      <c r="B13" s="4">
        <v>1</v>
      </c>
      <c r="C13" s="3" t="s">
        <v>24</v>
      </c>
      <c r="D13" s="3" t="s">
        <v>30</v>
      </c>
      <c r="E13" s="5" t="s">
        <v>76</v>
      </c>
      <c r="F13" s="4"/>
      <c r="G13" s="3" t="s">
        <v>22</v>
      </c>
      <c r="H13" s="4"/>
      <c r="I13" s="4"/>
      <c r="J13" s="4"/>
      <c r="K13" s="4"/>
      <c r="L13" s="4"/>
      <c r="M13" s="3" t="s">
        <v>77</v>
      </c>
      <c r="N13" s="4"/>
      <c r="O13" s="4"/>
      <c r="P13" s="3" t="s">
        <v>78</v>
      </c>
      <c r="Q13" s="1" t="str">
        <f>IF($B13=0,$M13,_xlfn.TEXTBEFORE(Q12,"/",$B13,,,Q12)&amp;"/"&amp;$M13)&amp;IF(_xlfn.TEXTAFTER($D13,"..",,,,1)&lt;&gt;"1","[0]","")</f>
        <v>*/SupervisingCustomsOffice</v>
      </c>
    </row>
    <row r="14" spans="1:18" ht="12" customHeight="1" outlineLevel="2" x14ac:dyDescent="0.35">
      <c r="A14" s="2" t="str">
        <f>$E$2</f>
        <v>CC444B</v>
      </c>
      <c r="B14" s="1">
        <v>2</v>
      </c>
      <c r="C14" s="1" t="s">
        <v>19</v>
      </c>
      <c r="D14" s="2" t="s">
        <v>25</v>
      </c>
      <c r="E14" s="6" t="s">
        <v>63</v>
      </c>
      <c r="F14" s="7" t="s">
        <v>74</v>
      </c>
      <c r="G14" s="2" t="s">
        <v>27</v>
      </c>
      <c r="J14" s="2" t="s">
        <v>399</v>
      </c>
      <c r="M14" s="2" t="s">
        <v>65</v>
      </c>
      <c r="P14" s="2" t="s">
        <v>75</v>
      </c>
      <c r="Q14" s="1" t="str">
        <f>IF($B14=0,$M14,_xlfn.TEXTBEFORE(Q13,"/",$B14,,,Q13)&amp;"/"&amp;$M14)&amp;IF(_xlfn.TEXTAFTER($D14,"..",,,,1)&lt;&gt;"1","[0]","")</f>
        <v>*/SupervisingCustomsOffice/referenceNumber</v>
      </c>
    </row>
    <row r="15" spans="1:18" ht="12" customHeight="1" outlineLevel="1" x14ac:dyDescent="0.35">
      <c r="A15" s="3" t="str">
        <f>$E$2</f>
        <v>CC444B</v>
      </c>
      <c r="B15" s="4">
        <v>1</v>
      </c>
      <c r="C15" s="3" t="s">
        <v>24</v>
      </c>
      <c r="D15" s="3" t="s">
        <v>25</v>
      </c>
      <c r="E15" s="5" t="s">
        <v>101</v>
      </c>
      <c r="F15" s="4"/>
      <c r="G15" s="3" t="s">
        <v>27</v>
      </c>
      <c r="H15" s="4"/>
      <c r="I15" s="4"/>
      <c r="J15" s="4"/>
      <c r="K15" s="4"/>
      <c r="L15" s="4"/>
      <c r="M15" s="3" t="s">
        <v>101</v>
      </c>
      <c r="N15" s="4"/>
      <c r="O15" s="4"/>
      <c r="P15" s="3" t="s">
        <v>1496</v>
      </c>
      <c r="Q15" s="1" t="str">
        <f>IF($B15=0,$M15,_xlfn.TEXTBEFORE(Q14,"/",$B15,,,Q14)&amp;"/"&amp;$M15)&amp;IF(_xlfn.TEXTAFTER($D15,"..",,,,1)&lt;&gt;"1","[0]","")</f>
        <v>*/Declarant</v>
      </c>
    </row>
    <row r="16" spans="1:18" ht="12" customHeight="1" outlineLevel="2" x14ac:dyDescent="0.35">
      <c r="A16" s="2" t="str">
        <f>$E$2</f>
        <v>CC444B</v>
      </c>
      <c r="B16" s="1">
        <v>2</v>
      </c>
      <c r="C16" s="1" t="s">
        <v>19</v>
      </c>
      <c r="D16" s="2" t="s">
        <v>25</v>
      </c>
      <c r="E16" s="6" t="s">
        <v>81</v>
      </c>
      <c r="F16" s="7" t="s">
        <v>68</v>
      </c>
      <c r="G16" s="2" t="s">
        <v>27</v>
      </c>
      <c r="H16" s="2" t="s">
        <v>397</v>
      </c>
      <c r="M16" s="2" t="s">
        <v>82</v>
      </c>
      <c r="P16" s="2" t="s">
        <v>70</v>
      </c>
      <c r="Q16" s="1" t="str">
        <f>IF($B16=0,$M16,_xlfn.TEXTBEFORE(Q15,"/",$B16,,,Q15)&amp;"/"&amp;$M16)&amp;IF(_xlfn.TEXTAFTER($D16,"..",,,,1)&lt;&gt;"1","[0]","")</f>
        <v>*/Declarant/identificationNumber</v>
      </c>
    </row>
    <row r="17" spans="1:17" ht="12" customHeight="1" outlineLevel="2" x14ac:dyDescent="0.35">
      <c r="A17" s="2" t="str">
        <f>$E$2</f>
        <v>CC444B</v>
      </c>
      <c r="B17" s="1">
        <v>2</v>
      </c>
      <c r="C17" s="1" t="s">
        <v>19</v>
      </c>
      <c r="D17" s="2" t="s">
        <v>30</v>
      </c>
      <c r="E17" s="6" t="s">
        <v>4</v>
      </c>
      <c r="F17" s="7" t="s">
        <v>83</v>
      </c>
      <c r="G17" s="2" t="s">
        <v>396</v>
      </c>
      <c r="I17" s="2" t="s">
        <v>401</v>
      </c>
      <c r="M17" s="2" t="s">
        <v>84</v>
      </c>
      <c r="P17" s="2" t="s">
        <v>85</v>
      </c>
      <c r="Q17" s="1" t="str">
        <f>IF($B17=0,$M17,_xlfn.TEXTBEFORE(Q16,"/",$B17,,,Q16)&amp;"/"&amp;$M17)&amp;IF(_xlfn.TEXTAFTER($D17,"..",,,,1)&lt;&gt;"1","[0]","")</f>
        <v>*/Declarant/name</v>
      </c>
    </row>
    <row r="18" spans="1:17" ht="12" customHeight="1" outlineLevel="2" x14ac:dyDescent="0.35">
      <c r="A18" s="3" t="str">
        <f>$E$2</f>
        <v>CC444B</v>
      </c>
      <c r="B18" s="4">
        <v>2</v>
      </c>
      <c r="C18" s="3" t="s">
        <v>24</v>
      </c>
      <c r="D18" s="3" t="s">
        <v>30</v>
      </c>
      <c r="E18" s="8" t="s">
        <v>86</v>
      </c>
      <c r="F18" s="4"/>
      <c r="G18" s="3" t="s">
        <v>396</v>
      </c>
      <c r="H18" s="4"/>
      <c r="I18" s="3" t="s">
        <v>401</v>
      </c>
      <c r="J18" s="4"/>
      <c r="K18" s="4"/>
      <c r="L18" s="4"/>
      <c r="M18" s="3" t="s">
        <v>86</v>
      </c>
      <c r="N18" s="4"/>
      <c r="O18" s="4"/>
      <c r="P18" s="3" t="s">
        <v>87</v>
      </c>
      <c r="Q18" s="1" t="str">
        <f>IF($B18=0,$M18,_xlfn.TEXTBEFORE(Q17,"/",$B18,,,Q17)&amp;"/"&amp;$M18)&amp;IF(_xlfn.TEXTAFTER($D18,"..",,,,1)&lt;&gt;"1","[0]","")</f>
        <v>*/Declarant/Address</v>
      </c>
    </row>
    <row r="19" spans="1:17" ht="12" customHeight="1" outlineLevel="3" x14ac:dyDescent="0.35">
      <c r="A19" s="2" t="str">
        <f>$E$2</f>
        <v>CC444B</v>
      </c>
      <c r="B19" s="1">
        <v>3</v>
      </c>
      <c r="C19" s="1" t="s">
        <v>19</v>
      </c>
      <c r="D19" s="2" t="s">
        <v>25</v>
      </c>
      <c r="E19" s="9" t="s">
        <v>88</v>
      </c>
      <c r="F19" s="7" t="s">
        <v>83</v>
      </c>
      <c r="G19" s="2" t="s">
        <v>27</v>
      </c>
      <c r="M19" s="2" t="s">
        <v>89</v>
      </c>
      <c r="P19" s="2" t="s">
        <v>90</v>
      </c>
      <c r="Q19" s="1" t="str">
        <f>IF($B19=0,$M19,_xlfn.TEXTBEFORE(Q18,"/",$B19,,,Q18)&amp;"/"&amp;$M19)&amp;IF(_xlfn.TEXTAFTER($D19,"..",,,,1)&lt;&gt;"1","[0]","")</f>
        <v>*/Declarant/Address/streetAndNumber</v>
      </c>
    </row>
    <row r="20" spans="1:17" ht="12" customHeight="1" outlineLevel="3" x14ac:dyDescent="0.35">
      <c r="A20" s="2" t="str">
        <f>$E$2</f>
        <v>CC444B</v>
      </c>
      <c r="B20" s="1">
        <v>3</v>
      </c>
      <c r="C20" s="1" t="s">
        <v>19</v>
      </c>
      <c r="D20" s="2" t="s">
        <v>30</v>
      </c>
      <c r="E20" s="9" t="s">
        <v>91</v>
      </c>
      <c r="F20" s="7" t="s">
        <v>92</v>
      </c>
      <c r="G20" s="2" t="s">
        <v>396</v>
      </c>
      <c r="I20" s="2" t="s">
        <v>402</v>
      </c>
      <c r="M20" s="2" t="s">
        <v>93</v>
      </c>
      <c r="P20" s="2" t="s">
        <v>94</v>
      </c>
      <c r="Q20" s="1" t="str">
        <f>IF($B20=0,$M20,_xlfn.TEXTBEFORE(Q19,"/",$B20,,,Q19)&amp;"/"&amp;$M20)&amp;IF(_xlfn.TEXTAFTER($D20,"..",,,,1)&lt;&gt;"1","[0]","")</f>
        <v>*/Declarant/Address/postcode</v>
      </c>
    </row>
    <row r="21" spans="1:17" ht="12" customHeight="1" outlineLevel="3" x14ac:dyDescent="0.35">
      <c r="A21" s="2" t="str">
        <f>$E$2</f>
        <v>CC444B</v>
      </c>
      <c r="B21" s="1">
        <v>3</v>
      </c>
      <c r="C21" s="1" t="s">
        <v>19</v>
      </c>
      <c r="D21" s="2" t="s">
        <v>25</v>
      </c>
      <c r="E21" s="9" t="s">
        <v>95</v>
      </c>
      <c r="F21" s="7" t="s">
        <v>96</v>
      </c>
      <c r="G21" s="2" t="s">
        <v>27</v>
      </c>
      <c r="M21" s="2" t="s">
        <v>97</v>
      </c>
      <c r="P21" s="2" t="s">
        <v>98</v>
      </c>
      <c r="Q21" s="1" t="str">
        <f>IF($B21=0,$M21,_xlfn.TEXTBEFORE(Q20,"/",$B21,,,Q20)&amp;"/"&amp;$M21)&amp;IF(_xlfn.TEXTAFTER($D21,"..",,,,1)&lt;&gt;"1","[0]","")</f>
        <v>*/Declarant/Address/city</v>
      </c>
    </row>
    <row r="22" spans="1:17" ht="12" customHeight="1" outlineLevel="3" x14ac:dyDescent="0.35">
      <c r="A22" s="2" t="str">
        <f>$E$2</f>
        <v>CC444B</v>
      </c>
      <c r="B22" s="1">
        <v>3</v>
      </c>
      <c r="C22" s="1" t="s">
        <v>19</v>
      </c>
      <c r="D22" s="2" t="s">
        <v>25</v>
      </c>
      <c r="E22" s="9" t="s">
        <v>99</v>
      </c>
      <c r="F22" s="7" t="s">
        <v>50</v>
      </c>
      <c r="G22" s="2" t="s">
        <v>27</v>
      </c>
      <c r="J22" s="2" t="s">
        <v>403</v>
      </c>
      <c r="M22" s="2" t="s">
        <v>100</v>
      </c>
      <c r="P22" s="2" t="s">
        <v>52</v>
      </c>
      <c r="Q22" s="1" t="str">
        <f>IF($B22=0,$M22,_xlfn.TEXTBEFORE(Q21,"/",$B22,,,Q21)&amp;"/"&amp;$M22)&amp;IF(_xlfn.TEXTAFTER($D22,"..",,,,1)&lt;&gt;"1","[0]","")</f>
        <v>*/Declarant/Address/country</v>
      </c>
    </row>
    <row r="23" spans="1:17" ht="12" customHeight="1" outlineLevel="2" x14ac:dyDescent="0.35">
      <c r="A23" s="3" t="str">
        <f>$E$2</f>
        <v>CC444B</v>
      </c>
      <c r="B23" s="4">
        <v>2</v>
      </c>
      <c r="C23" s="3" t="s">
        <v>24</v>
      </c>
      <c r="D23" s="3" t="s">
        <v>30</v>
      </c>
      <c r="E23" s="8" t="s">
        <v>105</v>
      </c>
      <c r="F23" s="4"/>
      <c r="G23" s="3" t="s">
        <v>22</v>
      </c>
      <c r="H23" s="3" t="s">
        <v>409</v>
      </c>
      <c r="I23" s="4"/>
      <c r="J23" s="4"/>
      <c r="K23" s="4"/>
      <c r="L23" s="4"/>
      <c r="M23" s="3" t="s">
        <v>106</v>
      </c>
      <c r="N23" s="4"/>
      <c r="O23" s="4"/>
      <c r="P23" s="3" t="s">
        <v>107</v>
      </c>
      <c r="Q23" s="1" t="str">
        <f>IF($B23=0,$M23,_xlfn.TEXTBEFORE(Q22,"/",$B23,,,Q22)&amp;"/"&amp;$M23)&amp;IF(_xlfn.TEXTAFTER($D23,"..",,,,1)&lt;&gt;"1","[0]","")</f>
        <v>*/Declarant/ContactPerson</v>
      </c>
    </row>
    <row r="24" spans="1:17" ht="12" customHeight="1" outlineLevel="3" x14ac:dyDescent="0.35">
      <c r="A24" s="2" t="str">
        <f>$E$2</f>
        <v>CC444B</v>
      </c>
      <c r="B24" s="1">
        <v>3</v>
      </c>
      <c r="C24" s="1" t="s">
        <v>19</v>
      </c>
      <c r="D24" s="2" t="s">
        <v>25</v>
      </c>
      <c r="E24" s="9" t="s">
        <v>4</v>
      </c>
      <c r="F24" s="7" t="s">
        <v>83</v>
      </c>
      <c r="G24" s="2" t="s">
        <v>27</v>
      </c>
      <c r="M24" s="2" t="s">
        <v>84</v>
      </c>
      <c r="P24" s="2" t="s">
        <v>85</v>
      </c>
      <c r="Q24" s="1" t="str">
        <f>IF($B24=0,$M24,_xlfn.TEXTBEFORE(Q23,"/",$B24,,,Q23)&amp;"/"&amp;$M24)&amp;IF(_xlfn.TEXTAFTER($D24,"..",,,,1)&lt;&gt;"1","[0]","")</f>
        <v>*/Declarant/ContactPerson/name</v>
      </c>
    </row>
    <row r="25" spans="1:17" ht="12" customHeight="1" outlineLevel="3" x14ac:dyDescent="0.35">
      <c r="A25" s="2" t="str">
        <f>$E$2</f>
        <v>CC444B</v>
      </c>
      <c r="B25" s="1">
        <v>3</v>
      </c>
      <c r="C25" s="1" t="s">
        <v>19</v>
      </c>
      <c r="D25" s="2" t="s">
        <v>25</v>
      </c>
      <c r="E25" s="9" t="s">
        <v>108</v>
      </c>
      <c r="F25" s="7" t="s">
        <v>96</v>
      </c>
      <c r="G25" s="2" t="s">
        <v>27</v>
      </c>
      <c r="M25" s="2" t="s">
        <v>109</v>
      </c>
      <c r="P25" s="2" t="s">
        <v>110</v>
      </c>
      <c r="Q25" s="1" t="str">
        <f>IF($B25=0,$M25,_xlfn.TEXTBEFORE(Q24,"/",$B25,,,Q24)&amp;"/"&amp;$M25)&amp;IF(_xlfn.TEXTAFTER($D25,"..",,,,1)&lt;&gt;"1","[0]","")</f>
        <v>*/Declarant/ContactPerson/phoneNumber</v>
      </c>
    </row>
    <row r="26" spans="1:17" ht="12" customHeight="1" outlineLevel="3" x14ac:dyDescent="0.35">
      <c r="A26" s="2" t="str">
        <f>$E$2</f>
        <v>CC444B</v>
      </c>
      <c r="B26" s="1">
        <v>3</v>
      </c>
      <c r="C26" s="1" t="s">
        <v>19</v>
      </c>
      <c r="D26" s="2" t="s">
        <v>25</v>
      </c>
      <c r="E26" s="9" t="s">
        <v>111</v>
      </c>
      <c r="F26" s="7" t="s">
        <v>112</v>
      </c>
      <c r="G26" s="2" t="s">
        <v>27</v>
      </c>
      <c r="M26" s="2" t="s">
        <v>113</v>
      </c>
      <c r="P26" s="2" t="s">
        <v>114</v>
      </c>
      <c r="Q26" s="1" t="str">
        <f>IF($B26=0,$M26,_xlfn.TEXTBEFORE(Q25,"/",$B26,,,Q25)&amp;"/"&amp;$M26)&amp;IF(_xlfn.TEXTAFTER($D26,"..",,,,1)&lt;&gt;"1","[0]","")</f>
        <v>*/Declarant/ContactPerson/eMailAddress</v>
      </c>
    </row>
    <row r="27" spans="1:17" ht="12" customHeight="1" outlineLevel="1" x14ac:dyDescent="0.35">
      <c r="A27" s="3" t="str">
        <f>$E$2</f>
        <v>CC444B</v>
      </c>
      <c r="B27" s="4">
        <v>1</v>
      </c>
      <c r="C27" s="3" t="s">
        <v>24</v>
      </c>
      <c r="D27" s="3" t="s">
        <v>30</v>
      </c>
      <c r="E27" s="5" t="s">
        <v>121</v>
      </c>
      <c r="F27" s="4"/>
      <c r="G27" s="3" t="s">
        <v>22</v>
      </c>
      <c r="H27" s="4"/>
      <c r="I27" s="4"/>
      <c r="J27" s="4"/>
      <c r="K27" s="4"/>
      <c r="L27" s="4"/>
      <c r="M27" s="3" t="s">
        <v>121</v>
      </c>
      <c r="N27" s="4"/>
      <c r="O27" s="4"/>
      <c r="P27" s="3" t="s">
        <v>1240</v>
      </c>
      <c r="Q27" s="1" t="str">
        <f>IF($B27=0,$M27,_xlfn.TEXTBEFORE(Q26,"/",$B27,,,Q26)&amp;"/"&amp;$M27)&amp;IF(_xlfn.TEXTAFTER($D27,"..",,,,1)&lt;&gt;"1","[0]","")</f>
        <v>*/Representative</v>
      </c>
    </row>
    <row r="28" spans="1:17" ht="12" customHeight="1" outlineLevel="2" x14ac:dyDescent="0.35">
      <c r="A28" s="2" t="str">
        <f>$E$2</f>
        <v>CC444B</v>
      </c>
      <c r="B28" s="1">
        <v>2</v>
      </c>
      <c r="C28" s="1" t="s">
        <v>19</v>
      </c>
      <c r="D28" s="2" t="s">
        <v>25</v>
      </c>
      <c r="E28" s="6" t="s">
        <v>81</v>
      </c>
      <c r="F28" s="7" t="s">
        <v>68</v>
      </c>
      <c r="G28" s="2" t="s">
        <v>27</v>
      </c>
      <c r="H28" s="2" t="s">
        <v>788</v>
      </c>
      <c r="M28" s="2" t="s">
        <v>82</v>
      </c>
      <c r="P28" s="2" t="s">
        <v>70</v>
      </c>
      <c r="Q28" s="1" t="str">
        <f>IF($B28=0,$M28,_xlfn.TEXTBEFORE(Q27,"/",$B28,,,Q27)&amp;"/"&amp;$M28)&amp;IF(_xlfn.TEXTAFTER($D28,"..",,,,1)&lt;&gt;"1","[0]","")</f>
        <v>*/Representative/identificationNumber</v>
      </c>
    </row>
    <row r="29" spans="1:17" ht="12" customHeight="1" outlineLevel="2" x14ac:dyDescent="0.35">
      <c r="A29" s="2" t="str">
        <f>$E$2</f>
        <v>CC444B</v>
      </c>
      <c r="B29" s="1">
        <v>2</v>
      </c>
      <c r="C29" s="1" t="s">
        <v>19</v>
      </c>
      <c r="D29" s="2" t="s">
        <v>25</v>
      </c>
      <c r="E29" s="6" t="s">
        <v>6</v>
      </c>
      <c r="F29" s="7" t="s">
        <v>123</v>
      </c>
      <c r="G29" s="2" t="s">
        <v>27</v>
      </c>
      <c r="H29" s="2" t="s">
        <v>407</v>
      </c>
      <c r="J29" s="2" t="s">
        <v>408</v>
      </c>
      <c r="M29" s="2" t="s">
        <v>124</v>
      </c>
      <c r="P29" s="2" t="s">
        <v>125</v>
      </c>
      <c r="Q29" s="1" t="str">
        <f>IF($B29=0,$M29,_xlfn.TEXTBEFORE(Q28,"/",$B29,,,Q28)&amp;"/"&amp;$M29)&amp;IF(_xlfn.TEXTAFTER($D29,"..",,,,1)&lt;&gt;"1","[0]","")</f>
        <v>*/Representative/status</v>
      </c>
    </row>
    <row r="30" spans="1:17" ht="12" customHeight="1" outlineLevel="2" x14ac:dyDescent="0.35">
      <c r="A30" s="3" t="str">
        <f>$E$2</f>
        <v>CC444B</v>
      </c>
      <c r="B30" s="4">
        <v>2</v>
      </c>
      <c r="C30" s="3" t="s">
        <v>24</v>
      </c>
      <c r="D30" s="3" t="s">
        <v>30</v>
      </c>
      <c r="E30" s="8" t="s">
        <v>105</v>
      </c>
      <c r="F30" s="4"/>
      <c r="G30" s="3" t="s">
        <v>22</v>
      </c>
      <c r="H30" s="3" t="s">
        <v>409</v>
      </c>
      <c r="I30" s="4"/>
      <c r="J30" s="4"/>
      <c r="K30" s="4"/>
      <c r="L30" s="4"/>
      <c r="M30" s="3" t="s">
        <v>106</v>
      </c>
      <c r="N30" s="4"/>
      <c r="O30" s="4"/>
      <c r="P30" s="3" t="s">
        <v>107</v>
      </c>
      <c r="Q30" s="1" t="str">
        <f>IF($B30=0,$M30,_xlfn.TEXTBEFORE(Q29,"/",$B30,,,Q29)&amp;"/"&amp;$M30)&amp;IF(_xlfn.TEXTAFTER($D30,"..",,,,1)&lt;&gt;"1","[0]","")</f>
        <v>*/Representative/ContactPerson</v>
      </c>
    </row>
    <row r="31" spans="1:17" ht="12" customHeight="1" outlineLevel="3" x14ac:dyDescent="0.35">
      <c r="A31" s="2" t="str">
        <f>$E$2</f>
        <v>CC444B</v>
      </c>
      <c r="B31" s="1">
        <v>3</v>
      </c>
      <c r="C31" s="1" t="s">
        <v>19</v>
      </c>
      <c r="D31" s="2" t="s">
        <v>25</v>
      </c>
      <c r="E31" s="9" t="s">
        <v>4</v>
      </c>
      <c r="F31" s="7" t="s">
        <v>83</v>
      </c>
      <c r="G31" s="2" t="s">
        <v>27</v>
      </c>
      <c r="M31" s="2" t="s">
        <v>84</v>
      </c>
      <c r="P31" s="2" t="s">
        <v>85</v>
      </c>
      <c r="Q31" s="1" t="str">
        <f>IF($B31=0,$M31,_xlfn.TEXTBEFORE(Q30,"/",$B31,,,Q30)&amp;"/"&amp;$M31)&amp;IF(_xlfn.TEXTAFTER($D31,"..",,,,1)&lt;&gt;"1","[0]","")</f>
        <v>*/Representative/ContactPerson/name</v>
      </c>
    </row>
    <row r="32" spans="1:17" ht="12" customHeight="1" outlineLevel="3" x14ac:dyDescent="0.35">
      <c r="A32" s="2" t="str">
        <f>$E$2</f>
        <v>CC444B</v>
      </c>
      <c r="B32" s="1">
        <v>3</v>
      </c>
      <c r="C32" s="1" t="s">
        <v>19</v>
      </c>
      <c r="D32" s="2" t="s">
        <v>25</v>
      </c>
      <c r="E32" s="9" t="s">
        <v>108</v>
      </c>
      <c r="F32" s="7" t="s">
        <v>96</v>
      </c>
      <c r="G32" s="2" t="s">
        <v>27</v>
      </c>
      <c r="M32" s="2" t="s">
        <v>109</v>
      </c>
      <c r="P32" s="2" t="s">
        <v>110</v>
      </c>
      <c r="Q32" s="1" t="str">
        <f>IF($B32=0,$M32,_xlfn.TEXTBEFORE(Q31,"/",$B32,,,Q31)&amp;"/"&amp;$M32)&amp;IF(_xlfn.TEXTAFTER($D32,"..",,,,1)&lt;&gt;"1","[0]","")</f>
        <v>*/Representative/ContactPerson/phoneNumber</v>
      </c>
    </row>
    <row r="33" spans="1:17" ht="12" customHeight="1" outlineLevel="3" x14ac:dyDescent="0.35">
      <c r="A33" s="2" t="str">
        <f>$E$2</f>
        <v>CC444B</v>
      </c>
      <c r="B33" s="1">
        <v>3</v>
      </c>
      <c r="C33" s="1" t="s">
        <v>19</v>
      </c>
      <c r="D33" s="2" t="s">
        <v>25</v>
      </c>
      <c r="E33" s="9" t="s">
        <v>111</v>
      </c>
      <c r="F33" s="7" t="s">
        <v>112</v>
      </c>
      <c r="G33" s="2" t="s">
        <v>27</v>
      </c>
      <c r="M33" s="2" t="s">
        <v>113</v>
      </c>
      <c r="P33" s="2" t="s">
        <v>114</v>
      </c>
      <c r="Q33" s="1" t="str">
        <f>IF($B33=0,$M33,_xlfn.TEXTBEFORE(Q32,"/",$B33,,,Q32)&amp;"/"&amp;$M33)&amp;IF(_xlfn.TEXTAFTER($D33,"..",,,,1)&lt;&gt;"1","[0]","")</f>
        <v>*/Representative/ContactPerson/eMailAddress</v>
      </c>
    </row>
    <row r="34" spans="1:17" ht="12" customHeight="1" outlineLevel="1" x14ac:dyDescent="0.35">
      <c r="A34" s="3" t="str">
        <f>$E$2</f>
        <v>CC444B</v>
      </c>
      <c r="B34" s="4">
        <v>1</v>
      </c>
      <c r="C34" s="3" t="s">
        <v>24</v>
      </c>
      <c r="D34" s="3" t="s">
        <v>25</v>
      </c>
      <c r="E34" s="5" t="s">
        <v>1315</v>
      </c>
      <c r="F34" s="4"/>
      <c r="G34" s="3" t="s">
        <v>27</v>
      </c>
      <c r="H34" s="4"/>
      <c r="I34" s="4"/>
      <c r="J34" s="4"/>
      <c r="K34" s="4"/>
      <c r="L34" s="4"/>
      <c r="M34" s="3" t="s">
        <v>1316</v>
      </c>
      <c r="N34" s="4"/>
      <c r="O34" s="4"/>
      <c r="P34" s="3" t="s">
        <v>1317</v>
      </c>
      <c r="Q34" s="1" t="str">
        <f>IF($B34=0,$M34,_xlfn.TEXTBEFORE(Q33,"/",$B34,,,Q33)&amp;"/"&amp;$M34)&amp;IF(_xlfn.TEXTAFTER($D34,"..",,,,1)&lt;&gt;"1","[0]","")</f>
        <v>*/ControlResult</v>
      </c>
    </row>
    <row r="35" spans="1:17" ht="12" customHeight="1" outlineLevel="2" x14ac:dyDescent="0.35">
      <c r="A35" s="2" t="str">
        <f>$E$2</f>
        <v>CC444B</v>
      </c>
      <c r="B35" s="1">
        <v>2</v>
      </c>
      <c r="C35" s="1" t="s">
        <v>19</v>
      </c>
      <c r="D35" s="2" t="s">
        <v>25</v>
      </c>
      <c r="E35" s="6" t="s">
        <v>222</v>
      </c>
      <c r="F35" s="7" t="s">
        <v>325</v>
      </c>
      <c r="G35" s="2" t="s">
        <v>27</v>
      </c>
      <c r="H35" s="2" t="s">
        <v>1318</v>
      </c>
      <c r="J35" s="2" t="s">
        <v>1319</v>
      </c>
      <c r="M35" s="2" t="s">
        <v>224</v>
      </c>
      <c r="P35" s="2" t="s">
        <v>1320</v>
      </c>
      <c r="Q35" s="1" t="str">
        <f>IF($B35=0,$M35,_xlfn.TEXTBEFORE(Q34,"/",$B35,,,Q34)&amp;"/"&amp;$M35)&amp;IF(_xlfn.TEXTAFTER($D35,"..",,,,1)&lt;&gt;"1","[0]","")</f>
        <v>*/ControlResult/code</v>
      </c>
    </row>
    <row r="36" spans="1:17" ht="12" customHeight="1" outlineLevel="2" x14ac:dyDescent="0.35">
      <c r="A36" s="2" t="str">
        <f>$E$2</f>
        <v>CC444B</v>
      </c>
      <c r="B36" s="1">
        <v>2</v>
      </c>
      <c r="C36" s="1" t="s">
        <v>19</v>
      </c>
      <c r="D36" s="2" t="s">
        <v>25</v>
      </c>
      <c r="E36" s="6" t="s">
        <v>1321</v>
      </c>
      <c r="F36" s="2" t="s">
        <v>505</v>
      </c>
      <c r="G36" s="2" t="s">
        <v>27</v>
      </c>
      <c r="H36" s="2" t="s">
        <v>786</v>
      </c>
      <c r="M36" s="2" t="s">
        <v>1322</v>
      </c>
      <c r="P36" s="2" t="s">
        <v>507</v>
      </c>
      <c r="Q36" s="1" t="str">
        <f>IF($B36=0,$M36,_xlfn.TEXTBEFORE(Q35,"/",$B36,,,Q35)&amp;"/"&amp;$M36)&amp;IF(_xlfn.TEXTAFTER($D36,"..",,,,1)&lt;&gt;"1","[0]","")</f>
        <v>*/ControlResult/date</v>
      </c>
    </row>
    <row r="37" spans="1:17" ht="12" customHeight="1" outlineLevel="2" x14ac:dyDescent="0.35">
      <c r="A37" s="2" t="str">
        <f>$E$2</f>
        <v>CC444B</v>
      </c>
      <c r="B37" s="1">
        <v>2</v>
      </c>
      <c r="C37" s="1" t="s">
        <v>19</v>
      </c>
      <c r="D37" s="2" t="s">
        <v>30</v>
      </c>
      <c r="E37" s="6" t="s">
        <v>1323</v>
      </c>
      <c r="F37" s="7" t="s">
        <v>216</v>
      </c>
      <c r="G37" s="2" t="s">
        <v>22</v>
      </c>
      <c r="M37" s="2" t="s">
        <v>1324</v>
      </c>
      <c r="P37" s="2" t="s">
        <v>218</v>
      </c>
      <c r="Q37" s="1" t="str">
        <f>IF($B37=0,$M37,_xlfn.TEXTBEFORE(Q36,"/",$B37,,,Q36)&amp;"/"&amp;$M37)&amp;IF(_xlfn.TEXTAFTER($D37,"..",,,,1)&lt;&gt;"1","[0]","")</f>
        <v>*/ControlResult/remarks</v>
      </c>
    </row>
    <row r="38" spans="1:17" ht="12" customHeight="1" outlineLevel="2" x14ac:dyDescent="0.35">
      <c r="A38" s="2" t="str">
        <f>$E$2</f>
        <v>CC444B</v>
      </c>
      <c r="B38" s="1">
        <v>2</v>
      </c>
      <c r="C38" s="1" t="s">
        <v>19</v>
      </c>
      <c r="D38" s="2" t="s">
        <v>25</v>
      </c>
      <c r="E38" s="6" t="s">
        <v>1325</v>
      </c>
      <c r="F38" s="7" t="s">
        <v>123</v>
      </c>
      <c r="G38" s="2" t="s">
        <v>27</v>
      </c>
      <c r="J38" s="2" t="s">
        <v>539</v>
      </c>
      <c r="M38" s="2" t="s">
        <v>1326</v>
      </c>
      <c r="P38" s="2" t="s">
        <v>367</v>
      </c>
      <c r="Q38" s="1" t="str">
        <f>IF($B38=0,$M38,_xlfn.TEXTBEFORE(Q37,"/",$B38,,,Q37)&amp;"/"&amp;$M38)&amp;IF(_xlfn.TEXTAFTER($D38,"..",,,,1)&lt;&gt;"1","[0]","")</f>
        <v>*/ControlResult/pendingSamplingResults</v>
      </c>
    </row>
    <row r="39" spans="1:17" ht="12" customHeight="1" outlineLevel="1" x14ac:dyDescent="0.35">
      <c r="A39" s="3" t="str">
        <f>$E$2</f>
        <v>CC444B</v>
      </c>
      <c r="B39" s="4">
        <v>1</v>
      </c>
      <c r="C39" s="3" t="s">
        <v>24</v>
      </c>
      <c r="D39" s="3" t="s">
        <v>314</v>
      </c>
      <c r="E39" s="5" t="s">
        <v>1327</v>
      </c>
      <c r="F39" s="4"/>
      <c r="G39" s="3" t="s">
        <v>396</v>
      </c>
      <c r="H39" s="4"/>
      <c r="I39" s="3" t="s">
        <v>1328</v>
      </c>
      <c r="J39" s="4"/>
      <c r="K39" s="4"/>
      <c r="L39" s="4"/>
      <c r="M39" s="3" t="s">
        <v>1329</v>
      </c>
      <c r="N39" s="4"/>
      <c r="O39" s="4"/>
      <c r="P39" s="3" t="s">
        <v>1391</v>
      </c>
      <c r="Q39" s="1" t="str">
        <f>IF($B39=0,$M39,_xlfn.TEXTBEFORE(Q38,"/",$B39,,,Q38)&amp;"/"&amp;$M39)&amp;IF(_xlfn.TEXTAFTER($D39,"..",,,,1)&lt;&gt;"1","[0]","")</f>
        <v>*/ControlResults[0]</v>
      </c>
    </row>
    <row r="40" spans="1:17" ht="12" customHeight="1" outlineLevel="2" x14ac:dyDescent="0.35">
      <c r="A40" s="2" t="str">
        <f>$E$2</f>
        <v>CC444B</v>
      </c>
      <c r="B40" s="1">
        <v>2</v>
      </c>
      <c r="C40" s="1" t="s">
        <v>19</v>
      </c>
      <c r="D40" s="2" t="s">
        <v>25</v>
      </c>
      <c r="E40" s="6" t="s">
        <v>56</v>
      </c>
      <c r="F40" s="7" t="s">
        <v>57</v>
      </c>
      <c r="G40" s="2" t="s">
        <v>27</v>
      </c>
      <c r="H40" s="2" t="s">
        <v>393</v>
      </c>
      <c r="M40" s="2" t="s">
        <v>58</v>
      </c>
      <c r="P40" s="2" t="s">
        <v>59</v>
      </c>
      <c r="Q40" s="1" t="str">
        <f>IF($B40=0,$M40,_xlfn.TEXTBEFORE(Q39,"/",$B40,,,Q39)&amp;"/"&amp;$M40)&amp;IF(_xlfn.TEXTAFTER($D40,"..",,,,1)&lt;&gt;"1","[0]","")</f>
        <v>*/ControlResults[0]/sequenceNumber</v>
      </c>
    </row>
    <row r="41" spans="1:17" ht="12" customHeight="1" outlineLevel="2" x14ac:dyDescent="0.35">
      <c r="A41" s="2" t="str">
        <f>$E$2</f>
        <v>CC444B</v>
      </c>
      <c r="B41" s="1">
        <v>2</v>
      </c>
      <c r="C41" s="1" t="s">
        <v>19</v>
      </c>
      <c r="D41" s="2" t="s">
        <v>30</v>
      </c>
      <c r="E41" s="6" t="s">
        <v>253</v>
      </c>
      <c r="F41" s="7" t="s">
        <v>1490</v>
      </c>
      <c r="G41" s="2" t="s">
        <v>22</v>
      </c>
      <c r="H41" s="2" t="s">
        <v>1392</v>
      </c>
      <c r="M41" s="2" t="s">
        <v>254</v>
      </c>
      <c r="P41" s="2" t="s">
        <v>1334</v>
      </c>
      <c r="Q41" s="1" t="str">
        <f>IF($B41=0,$M41,_xlfn.TEXTBEFORE(Q40,"/",$B41,,,Q40)&amp;"/"&amp;$M41)&amp;IF(_xlfn.TEXTAFTER($D41,"..",,,,1)&lt;&gt;"1","[0]","")</f>
        <v>*/ControlResults[0]/declarationGoodsItemNumber</v>
      </c>
    </row>
    <row r="42" spans="1:17" ht="12" customHeight="1" outlineLevel="2" x14ac:dyDescent="0.35">
      <c r="A42" s="2" t="str">
        <f>$E$2</f>
        <v>CC444B</v>
      </c>
      <c r="B42" s="1">
        <v>2</v>
      </c>
      <c r="C42" s="1" t="s">
        <v>19</v>
      </c>
      <c r="D42" s="2" t="s">
        <v>25</v>
      </c>
      <c r="E42" s="6" t="s">
        <v>1335</v>
      </c>
      <c r="F42" s="7" t="s">
        <v>325</v>
      </c>
      <c r="G42" s="2" t="s">
        <v>27</v>
      </c>
      <c r="J42" s="2" t="s">
        <v>1319</v>
      </c>
      <c r="M42" s="2" t="s">
        <v>1336</v>
      </c>
      <c r="P42" s="2" t="s">
        <v>1320</v>
      </c>
      <c r="Q42" s="1" t="str">
        <f>IF($B42=0,$M42,_xlfn.TEXTBEFORE(Q41,"/",$B42,,,Q41)&amp;"/"&amp;$M42)&amp;IF(_xlfn.TEXTAFTER($D42,"..",,,,1)&lt;&gt;"1","[0]","")</f>
        <v>*/ControlResults[0]/controlResultCode</v>
      </c>
    </row>
    <row r="43" spans="1:17" ht="12" customHeight="1" outlineLevel="2" x14ac:dyDescent="0.35">
      <c r="A43" s="3" t="str">
        <f>$E$2</f>
        <v>CC444B</v>
      </c>
      <c r="B43" s="4">
        <v>2</v>
      </c>
      <c r="C43" s="3" t="s">
        <v>24</v>
      </c>
      <c r="D43" s="3" t="s">
        <v>193</v>
      </c>
      <c r="E43" s="8" t="s">
        <v>1337</v>
      </c>
      <c r="F43" s="4"/>
      <c r="G43" s="3" t="s">
        <v>396</v>
      </c>
      <c r="H43" s="4"/>
      <c r="I43" s="3" t="s">
        <v>1338</v>
      </c>
      <c r="J43" s="4"/>
      <c r="K43" s="4"/>
      <c r="L43" s="4"/>
      <c r="M43" s="3" t="s">
        <v>1339</v>
      </c>
      <c r="N43" s="4"/>
      <c r="O43" s="4"/>
      <c r="P43" s="3" t="s">
        <v>1340</v>
      </c>
      <c r="Q43" s="1" t="str">
        <f>IF($B43=0,$M43,_xlfn.TEXTBEFORE(Q42,"/",$B43,,,Q42)&amp;"/"&amp;$M43)&amp;IF(_xlfn.TEXTAFTER($D43,"..",,,,1)&lt;&gt;"1","[0]","")</f>
        <v>*/ControlResults[0]/ResultsOfControl[0]</v>
      </c>
    </row>
    <row r="44" spans="1:17" ht="12" customHeight="1" outlineLevel="3" x14ac:dyDescent="0.35">
      <c r="A44" s="2" t="str">
        <f>$E$2</f>
        <v>CC444B</v>
      </c>
      <c r="B44" s="1">
        <v>3</v>
      </c>
      <c r="C44" s="1" t="s">
        <v>19</v>
      </c>
      <c r="D44" s="2" t="s">
        <v>25</v>
      </c>
      <c r="E44" s="9" t="s">
        <v>56</v>
      </c>
      <c r="F44" s="7" t="s">
        <v>57</v>
      </c>
      <c r="G44" s="2" t="s">
        <v>27</v>
      </c>
      <c r="H44" s="2" t="s">
        <v>393</v>
      </c>
      <c r="M44" s="2" t="s">
        <v>58</v>
      </c>
      <c r="P44" s="2" t="s">
        <v>59</v>
      </c>
      <c r="Q44" s="1" t="str">
        <f>IF($B44=0,$M44,_xlfn.TEXTBEFORE(Q43,"/",$B44,,,Q43)&amp;"/"&amp;$M44)&amp;IF(_xlfn.TEXTAFTER($D44,"..",,,,1)&lt;&gt;"1","[0]","")</f>
        <v>*/ControlResults[0]/ResultsOfControl[0]/sequenceNumber</v>
      </c>
    </row>
    <row r="45" spans="1:17" ht="12" customHeight="1" outlineLevel="3" x14ac:dyDescent="0.35">
      <c r="A45" s="2" t="str">
        <f>$E$2</f>
        <v>CC444B</v>
      </c>
      <c r="B45" s="1">
        <v>3</v>
      </c>
      <c r="C45" s="1" t="s">
        <v>19</v>
      </c>
      <c r="D45" s="2" t="s">
        <v>25</v>
      </c>
      <c r="E45" s="9" t="s">
        <v>1341</v>
      </c>
      <c r="F45" s="7" t="s">
        <v>1491</v>
      </c>
      <c r="G45" s="2" t="s">
        <v>27</v>
      </c>
      <c r="J45" s="2" t="s">
        <v>1342</v>
      </c>
      <c r="M45" s="2" t="s">
        <v>1343</v>
      </c>
      <c r="P45" s="2" t="s">
        <v>1344</v>
      </c>
      <c r="Q45" s="1" t="str">
        <f>IF($B45=0,$M45,_xlfn.TEXTBEFORE(Q44,"/",$B45,,,Q44)&amp;"/"&amp;$M45)&amp;IF(_xlfn.TEXTAFTER($D45,"..",,,,1)&lt;&gt;"1","[0]","")</f>
        <v>*/ControlResults[0]/ResultsOfControl[0]/riskAreaCode</v>
      </c>
    </row>
    <row r="46" spans="1:17" ht="12" customHeight="1" outlineLevel="3" x14ac:dyDescent="0.35">
      <c r="A46" s="2" t="str">
        <f>$E$2</f>
        <v>CC444B</v>
      </c>
      <c r="B46" s="1">
        <v>3</v>
      </c>
      <c r="C46" s="1" t="s">
        <v>19</v>
      </c>
      <c r="D46" s="2" t="s">
        <v>25</v>
      </c>
      <c r="E46" s="9" t="s">
        <v>1345</v>
      </c>
      <c r="F46" s="7" t="s">
        <v>1492</v>
      </c>
      <c r="G46" s="2" t="s">
        <v>27</v>
      </c>
      <c r="H46" s="2" t="s">
        <v>1346</v>
      </c>
      <c r="J46" s="2" t="s">
        <v>1347</v>
      </c>
      <c r="M46" s="2" t="s">
        <v>1348</v>
      </c>
      <c r="P46" s="2" t="s">
        <v>1349</v>
      </c>
      <c r="Q46" s="1" t="str">
        <f>IF($B46=0,$M46,_xlfn.TEXTBEFORE(Q45,"/",$B46,,,Q45)&amp;"/"&amp;$M46)&amp;IF(_xlfn.TEXTAFTER($D46,"..",,,,1)&lt;&gt;"1","[0]","")</f>
        <v>*/ControlResults[0]/ResultsOfControl[0]/controlType</v>
      </c>
    </row>
    <row r="47" spans="1:17" ht="12" customHeight="1" outlineLevel="3" x14ac:dyDescent="0.35">
      <c r="A47" s="2" t="str">
        <f>$E$2</f>
        <v>CC444B</v>
      </c>
      <c r="B47" s="1">
        <v>3</v>
      </c>
      <c r="C47" s="1" t="s">
        <v>19</v>
      </c>
      <c r="D47" s="2" t="s">
        <v>25</v>
      </c>
      <c r="E47" s="9" t="s">
        <v>1350</v>
      </c>
      <c r="F47" s="2" t="s">
        <v>505</v>
      </c>
      <c r="G47" s="2" t="s">
        <v>27</v>
      </c>
      <c r="H47" s="2" t="s">
        <v>786</v>
      </c>
      <c r="M47" s="2" t="s">
        <v>1351</v>
      </c>
      <c r="P47" s="2" t="s">
        <v>507</v>
      </c>
      <c r="Q47" s="1" t="str">
        <f>IF($B47=0,$M47,_xlfn.TEXTBEFORE(Q46,"/",$B47,,,Q46)&amp;"/"&amp;$M47)&amp;IF(_xlfn.TEXTAFTER($D47,"..",,,,1)&lt;&gt;"1","[0]","")</f>
        <v>*/ControlResults[0]/ResultsOfControl[0]/controlDate</v>
      </c>
    </row>
    <row r="48" spans="1:17" ht="12" customHeight="1" outlineLevel="3" x14ac:dyDescent="0.35">
      <c r="A48" s="2" t="str">
        <f>$E$2</f>
        <v>CC444B</v>
      </c>
      <c r="B48" s="1">
        <v>3</v>
      </c>
      <c r="C48" s="1" t="s">
        <v>19</v>
      </c>
      <c r="D48" s="2" t="s">
        <v>30</v>
      </c>
      <c r="E48" s="9" t="s">
        <v>1323</v>
      </c>
      <c r="F48" s="7" t="s">
        <v>216</v>
      </c>
      <c r="G48" s="2" t="s">
        <v>22</v>
      </c>
      <c r="M48" s="2" t="s">
        <v>1324</v>
      </c>
      <c r="P48" s="2" t="s">
        <v>218</v>
      </c>
      <c r="Q48" s="1" t="str">
        <f>IF($B48=0,$M48,_xlfn.TEXTBEFORE(Q47,"/",$B48,,,Q47)&amp;"/"&amp;$M48)&amp;IF(_xlfn.TEXTAFTER($D48,"..",,,,1)&lt;&gt;"1","[0]","")</f>
        <v>*/ControlResults[0]/ResultsOfControl[0]/remarks</v>
      </c>
    </row>
    <row r="49" spans="1:17" ht="12" customHeight="1" outlineLevel="3" x14ac:dyDescent="0.35">
      <c r="A49" s="3" t="str">
        <f>$E$2</f>
        <v>CC444B</v>
      </c>
      <c r="B49" s="4">
        <v>3</v>
      </c>
      <c r="C49" s="3" t="s">
        <v>24</v>
      </c>
      <c r="D49" s="3" t="s">
        <v>53</v>
      </c>
      <c r="E49" s="10" t="s">
        <v>1352</v>
      </c>
      <c r="F49" s="4"/>
      <c r="G49" s="3" t="s">
        <v>396</v>
      </c>
      <c r="H49" s="3" t="s">
        <v>1353</v>
      </c>
      <c r="I49" s="3" t="s">
        <v>1354</v>
      </c>
      <c r="J49" s="4"/>
      <c r="K49" s="4"/>
      <c r="L49" s="4"/>
      <c r="M49" s="3" t="s">
        <v>1355</v>
      </c>
      <c r="N49" s="4"/>
      <c r="O49" s="4"/>
      <c r="P49" s="3" t="s">
        <v>1356</v>
      </c>
      <c r="Q49" s="1" t="str">
        <f>IF($B49=0,$M49,_xlfn.TEXTBEFORE(Q48,"/",$B49,,,Q48)&amp;"/"&amp;$M49)&amp;IF(_xlfn.TEXTAFTER($D49,"..",,,,1)&lt;&gt;"1","[0]","")</f>
        <v>*/ControlResults[0]/ResultsOfControl[0]/ControlDetails[0]</v>
      </c>
    </row>
    <row r="50" spans="1:17" ht="12" customHeight="1" outlineLevel="4" x14ac:dyDescent="0.35">
      <c r="A50" s="2" t="str">
        <f>$E$2</f>
        <v>CC444B</v>
      </c>
      <c r="B50" s="1">
        <v>4</v>
      </c>
      <c r="C50" s="1" t="s">
        <v>19</v>
      </c>
      <c r="D50" s="2" t="s">
        <v>25</v>
      </c>
      <c r="E50" s="11" t="s">
        <v>56</v>
      </c>
      <c r="F50" s="7" t="s">
        <v>57</v>
      </c>
      <c r="G50" s="2" t="s">
        <v>27</v>
      </c>
      <c r="H50" s="2" t="s">
        <v>393</v>
      </c>
      <c r="M50" s="2" t="s">
        <v>58</v>
      </c>
      <c r="P50" s="2" t="s">
        <v>59</v>
      </c>
      <c r="Q50" s="1" t="str">
        <f>IF($B50=0,$M50,_xlfn.TEXTBEFORE(Q49,"/",$B50,,,Q49)&amp;"/"&amp;$M50)&amp;IF(_xlfn.TEXTAFTER($D50,"..",,,,1)&lt;&gt;"1","[0]","")</f>
        <v>*/ControlResults[0]/ResultsOfControl[0]/ControlDetails[0]/sequenceNumber</v>
      </c>
    </row>
    <row r="51" spans="1:17" ht="12" customHeight="1" outlineLevel="4" x14ac:dyDescent="0.35">
      <c r="A51" s="2" t="str">
        <f>$E$2</f>
        <v>CC444B</v>
      </c>
      <c r="B51" s="1">
        <v>4</v>
      </c>
      <c r="C51" s="1" t="s">
        <v>19</v>
      </c>
      <c r="D51" s="2" t="s">
        <v>25</v>
      </c>
      <c r="E51" s="11" t="s">
        <v>1357</v>
      </c>
      <c r="F51" s="7" t="s">
        <v>1493</v>
      </c>
      <c r="G51" s="2" t="s">
        <v>27</v>
      </c>
      <c r="J51" s="2" t="s">
        <v>1358</v>
      </c>
      <c r="M51" s="2" t="s">
        <v>1359</v>
      </c>
      <c r="P51" s="2" t="s">
        <v>1360</v>
      </c>
      <c r="Q51" s="1" t="str">
        <f>IF($B51=0,$M51,_xlfn.TEXTBEFORE(Q50,"/",$B51,,,Q50)&amp;"/"&amp;$M51)&amp;IF(_xlfn.TEXTAFTER($D51,"..",,,,1)&lt;&gt;"1","[0]","")</f>
        <v>*/ControlResults[0]/ResultsOfControl[0]/ControlDetails[0]/typeOfDiscrepancies</v>
      </c>
    </row>
    <row r="52" spans="1:17" ht="12" customHeight="1" outlineLevel="4" x14ac:dyDescent="0.35">
      <c r="A52" s="2" t="str">
        <f>$E$2</f>
        <v>CC444B</v>
      </c>
      <c r="B52" s="1">
        <v>4</v>
      </c>
      <c r="C52" s="1" t="s">
        <v>19</v>
      </c>
      <c r="D52" s="2" t="s">
        <v>25</v>
      </c>
      <c r="E52" s="11" t="s">
        <v>1361</v>
      </c>
      <c r="F52" s="7" t="s">
        <v>216</v>
      </c>
      <c r="G52" s="2" t="s">
        <v>27</v>
      </c>
      <c r="H52" s="2" t="s">
        <v>1362</v>
      </c>
      <c r="M52" s="2" t="s">
        <v>1363</v>
      </c>
      <c r="P52" s="2" t="s">
        <v>218</v>
      </c>
      <c r="Q52" s="1" t="str">
        <f>IF($B52=0,$M52,_xlfn.TEXTBEFORE(Q51,"/",$B52,,,Q51)&amp;"/"&amp;$M52)&amp;IF(_xlfn.TEXTAFTER($D52,"..",,,,1)&lt;&gt;"1","[0]","")</f>
        <v>*/ControlResults[0]/ResultsOfControl[0]/ControlDetails[0]/attributePointer</v>
      </c>
    </row>
    <row r="53" spans="1:17" ht="12" customHeight="1" outlineLevel="4" x14ac:dyDescent="0.35">
      <c r="A53" s="2" t="str">
        <f>$E$2</f>
        <v>CC444B</v>
      </c>
      <c r="B53" s="1">
        <v>4</v>
      </c>
      <c r="C53" s="1" t="s">
        <v>19</v>
      </c>
      <c r="D53" s="2" t="s">
        <v>30</v>
      </c>
      <c r="E53" s="11" t="s">
        <v>1364</v>
      </c>
      <c r="F53" s="7" t="s">
        <v>216</v>
      </c>
      <c r="G53" s="2" t="s">
        <v>22</v>
      </c>
      <c r="H53" s="2" t="s">
        <v>1365</v>
      </c>
      <c r="M53" s="2" t="s">
        <v>1366</v>
      </c>
      <c r="P53" s="2" t="s">
        <v>218</v>
      </c>
      <c r="Q53" s="1" t="str">
        <f>IF($B53=0,$M53,_xlfn.TEXTBEFORE(Q52,"/",$B53,,,Q52)&amp;"/"&amp;$M53)&amp;IF(_xlfn.TEXTAFTER($D53,"..",,,,1)&lt;&gt;"1","[0]","")</f>
        <v>*/ControlResults[0]/ResultsOfControl[0]/ControlDetails[0]/correctedValue</v>
      </c>
    </row>
    <row r="54" spans="1:17" ht="12" customHeight="1" outlineLevel="4" x14ac:dyDescent="0.35">
      <c r="A54" s="2" t="str">
        <f>$E$2</f>
        <v>CC444B</v>
      </c>
      <c r="B54" s="1">
        <v>4</v>
      </c>
      <c r="C54" s="1" t="s">
        <v>19</v>
      </c>
      <c r="D54" s="2" t="s">
        <v>30</v>
      </c>
      <c r="E54" s="11" t="s">
        <v>1323</v>
      </c>
      <c r="F54" s="7" t="s">
        <v>216</v>
      </c>
      <c r="G54" s="2" t="s">
        <v>396</v>
      </c>
      <c r="I54" s="2" t="s">
        <v>1367</v>
      </c>
      <c r="M54" s="2" t="s">
        <v>1324</v>
      </c>
      <c r="P54" s="2" t="s">
        <v>218</v>
      </c>
      <c r="Q54" s="1" t="str">
        <f>IF($B54=0,$M54,_xlfn.TEXTBEFORE(Q53,"/",$B54,,,Q53)&amp;"/"&amp;$M54)&amp;IF(_xlfn.TEXTAFTER($D54,"..",,,,1)&lt;&gt;"1","[0]","")</f>
        <v>*/ControlResults[0]/ResultsOfControl[0]/ControlDetails[0]/remarks</v>
      </c>
    </row>
    <row r="55" spans="1:17" ht="12" customHeight="1" x14ac:dyDescent="0.35"/>
  </sheetData>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83C25-AE5F-47DF-AAA8-2E4B5D9CF00A}">
  <sheetPr codeName="Ark31">
    <tabColor rgb="FFC00000"/>
    <outlinePr summaryBelow="0" summaryRight="0"/>
  </sheetPr>
  <dimension ref="A1:R56"/>
  <sheetViews>
    <sheetView zoomScaleNormal="100" workbookViewId="0">
      <pane xSplit="1" ySplit="1" topLeftCell="D2" activePane="bottomRight" state="frozen"/>
      <selection activeCell="D2" sqref="D2"/>
      <selection pane="topRight" activeCell="D2" sqref="D2"/>
      <selection pane="bottomLeft" activeCell="D2" sqref="D2"/>
      <selection pane="bottomRight" activeCell="D2" sqref="D2"/>
    </sheetView>
  </sheetViews>
  <sheetFormatPr defaultColWidth="11.54296875" defaultRowHeight="12" outlineLevelRow="4" x14ac:dyDescent="0.35"/>
  <cols>
    <col min="1" max="3" width="0" style="1" hidden="1" customWidth="1"/>
    <col min="4" max="4" width="6.6328125" style="1" customWidth="1"/>
    <col min="5" max="5" width="70.6328125" style="1" customWidth="1"/>
    <col min="6" max="11" width="8.6328125" style="1" customWidth="1"/>
    <col min="12" max="14" width="24.6328125" style="1" customWidth="1"/>
    <col min="15" max="15" width="24.6328125" style="1" hidden="1" customWidth="1"/>
    <col min="16" max="17" width="24.6328125" style="1" customWidth="1"/>
    <col min="18" max="16384" width="11.54296875" style="1"/>
  </cols>
  <sheetData>
    <row r="1" spans="1:18" ht="12"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P1" s="1" t="s">
        <v>14</v>
      </c>
      <c r="Q1" s="1" t="s">
        <v>208</v>
      </c>
      <c r="R1" s="1" t="s">
        <v>209</v>
      </c>
    </row>
    <row r="2" spans="1:18" ht="12" customHeight="1" x14ac:dyDescent="0.35">
      <c r="A2" s="2" t="str">
        <f>$E$2</f>
        <v>CC447B</v>
      </c>
      <c r="B2" s="1">
        <v>0</v>
      </c>
      <c r="C2" s="2" t="s">
        <v>16</v>
      </c>
      <c r="E2" s="2" t="s">
        <v>1393</v>
      </c>
      <c r="M2" s="2" t="s">
        <v>17</v>
      </c>
      <c r="P2" s="2" t="s">
        <v>1394</v>
      </c>
      <c r="Q2" s="1" t="str">
        <f>IF($B2=0,$M2,_xlfn.TEXTBEFORE(Q1,"/",$B2,,,Q1)&amp;"/"&amp;$M2)&amp;IF(_xlfn.TEXTAFTER($D2,"..",,,,1)&lt;&gt;"1","[0]","")</f>
        <v>*</v>
      </c>
    </row>
    <row r="3" spans="1:18" ht="12" customHeight="1" outlineLevel="1" x14ac:dyDescent="0.35">
      <c r="A3" s="3" t="str">
        <f>$E$2</f>
        <v>CC447B</v>
      </c>
      <c r="B3" s="4">
        <v>1</v>
      </c>
      <c r="C3" s="3" t="s">
        <v>24</v>
      </c>
      <c r="D3" s="3" t="s">
        <v>20</v>
      </c>
      <c r="E3" s="5" t="s">
        <v>21</v>
      </c>
      <c r="F3" s="4"/>
      <c r="G3" s="3" t="s">
        <v>22</v>
      </c>
      <c r="H3" s="4"/>
      <c r="I3" s="4"/>
      <c r="J3" s="4"/>
      <c r="K3" s="4"/>
      <c r="L3" s="4"/>
      <c r="M3" s="3" t="s">
        <v>21</v>
      </c>
      <c r="N3" s="4"/>
      <c r="O3" s="4"/>
      <c r="P3" s="3" t="s">
        <v>23</v>
      </c>
      <c r="Q3" s="1" t="str">
        <f>IF($B3=0,$M3,_xlfn.TEXTBEFORE(Q2,"/",$B3,,,Q2)&amp;"/"&amp;$M3)&amp;IF(_xlfn.TEXTAFTER($D3,"..",,,,1)&lt;&gt;"1","[0]","")</f>
        <v>*/Extensions[0]</v>
      </c>
    </row>
    <row r="4" spans="1:18" ht="12" customHeight="1" outlineLevel="2" x14ac:dyDescent="0.35">
      <c r="A4" s="2" t="str">
        <f>$E$2</f>
        <v>CC447B</v>
      </c>
      <c r="B4" s="1">
        <v>2</v>
      </c>
      <c r="C4" s="1" t="s">
        <v>19</v>
      </c>
      <c r="D4" s="2" t="s">
        <v>25</v>
      </c>
      <c r="E4" s="6" t="s">
        <v>774</v>
      </c>
      <c r="F4" s="1" t="s">
        <v>775</v>
      </c>
      <c r="G4" s="2" t="s">
        <v>27</v>
      </c>
      <c r="M4" s="2" t="s">
        <v>776</v>
      </c>
      <c r="Q4" s="1" t="str">
        <f>IF($B4=0,$M4,_xlfn.TEXTBEFORE(Q3,"/",$B4,,,Q3)&amp;"/"&amp;$M4)&amp;IF(_xlfn.TEXTAFTER($D4,"..",,,,1)&lt;&gt;"1","[0]","")</f>
        <v>*/Extensions[0]/SequenceNumeric</v>
      </c>
    </row>
    <row r="5" spans="1:18" ht="12" customHeight="1" outlineLevel="2" x14ac:dyDescent="0.35">
      <c r="A5" s="2" t="str">
        <f>$E$2</f>
        <v>CC447B</v>
      </c>
      <c r="B5" s="1">
        <v>2</v>
      </c>
      <c r="C5" s="1" t="s">
        <v>19</v>
      </c>
      <c r="D5" s="2" t="s">
        <v>30</v>
      </c>
      <c r="E5" s="6" t="s">
        <v>777</v>
      </c>
      <c r="F5" s="1" t="s">
        <v>778</v>
      </c>
      <c r="G5" s="2" t="s">
        <v>22</v>
      </c>
      <c r="M5" s="2" t="s">
        <v>779</v>
      </c>
      <c r="Q5" s="1" t="str">
        <f>IF($B5=0,$M5,_xlfn.TEXTBEFORE(Q4,"/",$B5,,,Q4)&amp;"/"&amp;$M5)&amp;IF(_xlfn.TEXTAFTER($D5,"..",,,,1)&lt;&gt;"1","[0]","")</f>
        <v>*/Extensions[0]/ID</v>
      </c>
    </row>
    <row r="6" spans="1:18" ht="12" customHeight="1" outlineLevel="2" x14ac:dyDescent="0.35">
      <c r="A6" s="2" t="str">
        <f>$E$2</f>
        <v>CC447B</v>
      </c>
      <c r="B6" s="1">
        <v>2</v>
      </c>
      <c r="C6" s="1" t="s">
        <v>19</v>
      </c>
      <c r="D6" s="2" t="s">
        <v>25</v>
      </c>
      <c r="E6" s="6" t="s">
        <v>780</v>
      </c>
      <c r="F6" s="1" t="s">
        <v>778</v>
      </c>
      <c r="G6" s="2" t="s">
        <v>27</v>
      </c>
      <c r="M6" s="2" t="s">
        <v>780</v>
      </c>
      <c r="Q6" s="1" t="str">
        <f>IF($B6=0,$M6,_xlfn.TEXTBEFORE(Q5,"/",$B6,,,Q5)&amp;"/"&amp;$M6)&amp;IF(_xlfn.TEXTAFTER($D6,"..",,,,1)&lt;&gt;"1","[0]","")</f>
        <v>*/Extensions[0]/Key</v>
      </c>
    </row>
    <row r="7" spans="1:18" ht="12" customHeight="1" outlineLevel="2" x14ac:dyDescent="0.35">
      <c r="A7" s="2" t="str">
        <f>$E$2</f>
        <v>CC447B</v>
      </c>
      <c r="B7" s="1">
        <v>2</v>
      </c>
      <c r="C7" s="1" t="s">
        <v>19</v>
      </c>
      <c r="D7" s="2" t="s">
        <v>25</v>
      </c>
      <c r="E7" s="6" t="s">
        <v>781</v>
      </c>
      <c r="F7" s="1" t="s">
        <v>778</v>
      </c>
      <c r="G7" s="2" t="s">
        <v>27</v>
      </c>
      <c r="M7" s="2" t="s">
        <v>781</v>
      </c>
      <c r="Q7" s="1" t="str">
        <f>IF($B7=0,$M7,_xlfn.TEXTBEFORE(Q6,"/",$B7,,,Q6)&amp;"/"&amp;$M7)&amp;IF(_xlfn.TEXTAFTER($D7,"..",,,,1)&lt;&gt;"1","[0]","")</f>
        <v>*/Extensions[0]/Value</v>
      </c>
    </row>
    <row r="8" spans="1:18" ht="12" customHeight="1" outlineLevel="2" x14ac:dyDescent="0.35">
      <c r="A8" s="2" t="str">
        <f>$E$2</f>
        <v>CC447B</v>
      </c>
      <c r="B8" s="1">
        <v>2</v>
      </c>
      <c r="C8" s="1" t="s">
        <v>19</v>
      </c>
      <c r="D8" s="2" t="s">
        <v>25</v>
      </c>
      <c r="E8" s="6" t="s">
        <v>782</v>
      </c>
      <c r="F8" s="7" t="s">
        <v>783</v>
      </c>
      <c r="G8" s="2" t="s">
        <v>27</v>
      </c>
      <c r="M8" s="2" t="s">
        <v>784</v>
      </c>
      <c r="Q8" s="1" t="str">
        <f>IF($B8=0,$M8,_xlfn.TEXTBEFORE(Q7,"/",$B8,,,Q7)&amp;"/"&amp;$M8)&amp;IF(_xlfn.TEXTAFTER($D8,"..",,,,1)&lt;&gt;"1","[0]","")</f>
        <v>*/Extensions[0]/DataType</v>
      </c>
    </row>
    <row r="9" spans="1:18" ht="12" customHeight="1" outlineLevel="2" x14ac:dyDescent="0.35">
      <c r="A9" s="21" t="str">
        <f>$E$2</f>
        <v>CC447B</v>
      </c>
      <c r="B9" s="22">
        <v>2</v>
      </c>
      <c r="C9" s="22" t="s">
        <v>19</v>
      </c>
      <c r="D9" s="21" t="s">
        <v>20</v>
      </c>
      <c r="E9" s="23" t="s">
        <v>21</v>
      </c>
      <c r="F9" s="22"/>
      <c r="G9" s="21" t="s">
        <v>22</v>
      </c>
      <c r="H9" s="22"/>
      <c r="I9" s="22"/>
      <c r="J9" s="22"/>
      <c r="K9" s="22"/>
      <c r="L9" s="22"/>
      <c r="M9" s="21" t="s">
        <v>21</v>
      </c>
      <c r="N9" s="22"/>
      <c r="O9" s="22"/>
      <c r="P9" s="21" t="s">
        <v>785</v>
      </c>
      <c r="Q9" s="1" t="str">
        <f>IF($B9=0,$M9,_xlfn.TEXTBEFORE(Q8,"/",$B9,,,Q8)&amp;"/"&amp;$M9)&amp;IF(_xlfn.TEXTAFTER($D9,"..",,,,1)&lt;&gt;"1","[0]","")</f>
        <v>*/Extensions[0]/Extensions[0]</v>
      </c>
    </row>
    <row r="10" spans="1:18" ht="12" customHeight="1" outlineLevel="1" x14ac:dyDescent="0.35">
      <c r="A10" s="3" t="str">
        <f>$E$2</f>
        <v>CC447B</v>
      </c>
      <c r="B10" s="4">
        <v>1</v>
      </c>
      <c r="C10" s="3" t="s">
        <v>24</v>
      </c>
      <c r="D10" s="3" t="s">
        <v>25</v>
      </c>
      <c r="E10" s="5" t="s">
        <v>26</v>
      </c>
      <c r="F10" s="4"/>
      <c r="G10" s="3" t="s">
        <v>27</v>
      </c>
      <c r="H10" s="4"/>
      <c r="I10" s="4"/>
      <c r="J10" s="4"/>
      <c r="K10" s="4"/>
      <c r="L10" s="4"/>
      <c r="M10" s="3" t="s">
        <v>28</v>
      </c>
      <c r="N10" s="4"/>
      <c r="O10" s="4"/>
      <c r="P10" s="3" t="s">
        <v>1370</v>
      </c>
      <c r="Q10" s="1" t="str">
        <f>IF($B10=0,$M10,_xlfn.TEXTBEFORE(Q9,"/",$B10,,,Q9)&amp;"/"&amp;$M10)&amp;IF(_xlfn.TEXTAFTER($D10,"..",,,,1)&lt;&gt;"1","[0]","")</f>
        <v>*/ImportOperation</v>
      </c>
    </row>
    <row r="11" spans="1:18" ht="12" customHeight="1" outlineLevel="2" x14ac:dyDescent="0.35">
      <c r="A11" s="2" t="str">
        <f>$E$2</f>
        <v>CC447B</v>
      </c>
      <c r="B11" s="1">
        <v>2</v>
      </c>
      <c r="C11" s="1" t="s">
        <v>19</v>
      </c>
      <c r="D11" s="2" t="s">
        <v>25</v>
      </c>
      <c r="E11" s="6" t="s">
        <v>31</v>
      </c>
      <c r="F11" s="7" t="s">
        <v>32</v>
      </c>
      <c r="G11" s="2" t="s">
        <v>27</v>
      </c>
      <c r="M11" s="2" t="s">
        <v>33</v>
      </c>
      <c r="P11" s="2" t="s">
        <v>34</v>
      </c>
      <c r="Q11" s="1" t="str">
        <f>IF($B11=0,$M11,_xlfn.TEXTBEFORE(Q10,"/",$B11,,,Q10)&amp;"/"&amp;$M11)&amp;IF(_xlfn.TEXTAFTER($D11,"..",,,,1)&lt;&gt;"1","[0]","")</f>
        <v>*/ImportOperation/LRN</v>
      </c>
    </row>
    <row r="12" spans="1:18" ht="12" customHeight="1" outlineLevel="2" x14ac:dyDescent="0.35">
      <c r="A12" s="2" t="str">
        <f>$E$2</f>
        <v>CC447B</v>
      </c>
      <c r="B12" s="1">
        <v>2</v>
      </c>
      <c r="C12" s="1" t="s">
        <v>19</v>
      </c>
      <c r="D12" s="2" t="s">
        <v>25</v>
      </c>
      <c r="E12" s="6" t="s">
        <v>35</v>
      </c>
      <c r="F12" s="7" t="s">
        <v>36</v>
      </c>
      <c r="G12" s="2" t="s">
        <v>27</v>
      </c>
      <c r="M12" s="2" t="s">
        <v>37</v>
      </c>
      <c r="P12" s="2" t="s">
        <v>38</v>
      </c>
      <c r="Q12" s="1" t="str">
        <f>IF($B12=0,$M12,_xlfn.TEXTBEFORE(Q11,"/",$B12,,,Q11)&amp;"/"&amp;$M12)&amp;IF(_xlfn.TEXTAFTER($D12,"..",,,,1)&lt;&gt;"1","[0]","")</f>
        <v>*/ImportOperation/MRN</v>
      </c>
    </row>
    <row r="13" spans="1:18" ht="12" customHeight="1" outlineLevel="1" x14ac:dyDescent="0.35">
      <c r="A13" s="3" t="str">
        <f>$E$2</f>
        <v>CC447B</v>
      </c>
      <c r="B13" s="4">
        <v>1</v>
      </c>
      <c r="C13" s="3" t="s">
        <v>24</v>
      </c>
      <c r="D13" s="3" t="s">
        <v>30</v>
      </c>
      <c r="E13" s="5" t="s">
        <v>76</v>
      </c>
      <c r="F13" s="4"/>
      <c r="G13" s="3" t="s">
        <v>22</v>
      </c>
      <c r="H13" s="4"/>
      <c r="I13" s="4"/>
      <c r="J13" s="4"/>
      <c r="K13" s="4"/>
      <c r="L13" s="4"/>
      <c r="M13" s="3" t="s">
        <v>77</v>
      </c>
      <c r="N13" s="4"/>
      <c r="O13" s="4"/>
      <c r="P13" s="3" t="s">
        <v>78</v>
      </c>
      <c r="Q13" s="1" t="str">
        <f>IF($B13=0,$M13,_xlfn.TEXTBEFORE(Q12,"/",$B13,,,Q12)&amp;"/"&amp;$M13)&amp;IF(_xlfn.TEXTAFTER($D13,"..",,,,1)&lt;&gt;"1","[0]","")</f>
        <v>*/SupervisingCustomsOffice</v>
      </c>
    </row>
    <row r="14" spans="1:18" ht="12" customHeight="1" outlineLevel="2" x14ac:dyDescent="0.35">
      <c r="A14" s="2" t="str">
        <f>$E$2</f>
        <v>CC447B</v>
      </c>
      <c r="B14" s="1">
        <v>2</v>
      </c>
      <c r="C14" s="1" t="s">
        <v>19</v>
      </c>
      <c r="D14" s="2" t="s">
        <v>25</v>
      </c>
      <c r="E14" s="6" t="s">
        <v>63</v>
      </c>
      <c r="F14" s="7" t="s">
        <v>74</v>
      </c>
      <c r="G14" s="2" t="s">
        <v>27</v>
      </c>
      <c r="J14" s="2" t="s">
        <v>399</v>
      </c>
      <c r="M14" s="2" t="s">
        <v>65</v>
      </c>
      <c r="P14" s="2" t="s">
        <v>75</v>
      </c>
      <c r="Q14" s="1" t="str">
        <f>IF($B14=0,$M14,_xlfn.TEXTBEFORE(Q13,"/",$B14,,,Q13)&amp;"/"&amp;$M14)&amp;IF(_xlfn.TEXTAFTER($D14,"..",,,,1)&lt;&gt;"1","[0]","")</f>
        <v>*/SupervisingCustomsOffice/referenceNumber</v>
      </c>
    </row>
    <row r="15" spans="1:18" ht="12" customHeight="1" outlineLevel="1" x14ac:dyDescent="0.35">
      <c r="A15" s="3" t="str">
        <f>$E$2</f>
        <v>CC447B</v>
      </c>
      <c r="B15" s="4">
        <v>1</v>
      </c>
      <c r="C15" s="3" t="s">
        <v>24</v>
      </c>
      <c r="D15" s="3" t="s">
        <v>25</v>
      </c>
      <c r="E15" s="5" t="s">
        <v>101</v>
      </c>
      <c r="F15" s="4"/>
      <c r="G15" s="3" t="s">
        <v>27</v>
      </c>
      <c r="H15" s="4"/>
      <c r="I15" s="4"/>
      <c r="J15" s="4"/>
      <c r="K15" s="4"/>
      <c r="L15" s="4"/>
      <c r="M15" s="3" t="s">
        <v>101</v>
      </c>
      <c r="N15" s="4"/>
      <c r="O15" s="4"/>
      <c r="P15" s="3" t="s">
        <v>1496</v>
      </c>
      <c r="Q15" s="1" t="str">
        <f>IF($B15=0,$M15,_xlfn.TEXTBEFORE(Q14,"/",$B15,,,Q14)&amp;"/"&amp;$M15)&amp;IF(_xlfn.TEXTAFTER($D15,"..",,,,1)&lt;&gt;"1","[0]","")</f>
        <v>*/Declarant</v>
      </c>
    </row>
    <row r="16" spans="1:18" ht="12" customHeight="1" outlineLevel="2" x14ac:dyDescent="0.35">
      <c r="A16" s="2" t="str">
        <f>$E$2</f>
        <v>CC447B</v>
      </c>
      <c r="B16" s="1">
        <v>2</v>
      </c>
      <c r="C16" s="1" t="s">
        <v>19</v>
      </c>
      <c r="D16" s="2" t="s">
        <v>25</v>
      </c>
      <c r="E16" s="6" t="s">
        <v>81</v>
      </c>
      <c r="F16" s="7" t="s">
        <v>68</v>
      </c>
      <c r="G16" s="2" t="s">
        <v>27</v>
      </c>
      <c r="H16" s="2" t="s">
        <v>397</v>
      </c>
      <c r="M16" s="2" t="s">
        <v>82</v>
      </c>
      <c r="P16" s="2" t="s">
        <v>70</v>
      </c>
      <c r="Q16" s="1" t="str">
        <f>IF($B16=0,$M16,_xlfn.TEXTBEFORE(Q15,"/",$B16,,,Q15)&amp;"/"&amp;$M16)&amp;IF(_xlfn.TEXTAFTER($D16,"..",,,,1)&lt;&gt;"1","[0]","")</f>
        <v>*/Declarant/identificationNumber</v>
      </c>
    </row>
    <row r="17" spans="1:17" ht="12" customHeight="1" outlineLevel="2" x14ac:dyDescent="0.35">
      <c r="A17" s="2" t="str">
        <f>$E$2</f>
        <v>CC447B</v>
      </c>
      <c r="B17" s="1">
        <v>2</v>
      </c>
      <c r="C17" s="1" t="s">
        <v>19</v>
      </c>
      <c r="D17" s="2" t="s">
        <v>30</v>
      </c>
      <c r="E17" s="6" t="s">
        <v>4</v>
      </c>
      <c r="F17" s="7" t="s">
        <v>83</v>
      </c>
      <c r="G17" s="2" t="s">
        <v>396</v>
      </c>
      <c r="I17" s="2" t="s">
        <v>401</v>
      </c>
      <c r="M17" s="2" t="s">
        <v>84</v>
      </c>
      <c r="P17" s="2" t="s">
        <v>85</v>
      </c>
      <c r="Q17" s="1" t="str">
        <f>IF($B17=0,$M17,_xlfn.TEXTBEFORE(Q16,"/",$B17,,,Q16)&amp;"/"&amp;$M17)&amp;IF(_xlfn.TEXTAFTER($D17,"..",,,,1)&lt;&gt;"1","[0]","")</f>
        <v>*/Declarant/name</v>
      </c>
    </row>
    <row r="18" spans="1:17" ht="12" customHeight="1" outlineLevel="2" x14ac:dyDescent="0.35">
      <c r="A18" s="3" t="str">
        <f>$E$2</f>
        <v>CC447B</v>
      </c>
      <c r="B18" s="4">
        <v>2</v>
      </c>
      <c r="C18" s="3" t="s">
        <v>24</v>
      </c>
      <c r="D18" s="3" t="s">
        <v>30</v>
      </c>
      <c r="E18" s="8" t="s">
        <v>86</v>
      </c>
      <c r="F18" s="4"/>
      <c r="G18" s="3" t="s">
        <v>396</v>
      </c>
      <c r="H18" s="4"/>
      <c r="I18" s="3" t="s">
        <v>401</v>
      </c>
      <c r="J18" s="4"/>
      <c r="K18" s="4"/>
      <c r="L18" s="4"/>
      <c r="M18" s="3" t="s">
        <v>86</v>
      </c>
      <c r="N18" s="4"/>
      <c r="O18" s="4"/>
      <c r="P18" s="3" t="s">
        <v>87</v>
      </c>
      <c r="Q18" s="1" t="str">
        <f>IF($B18=0,$M18,_xlfn.TEXTBEFORE(Q17,"/",$B18,,,Q17)&amp;"/"&amp;$M18)&amp;IF(_xlfn.TEXTAFTER($D18,"..",,,,1)&lt;&gt;"1","[0]","")</f>
        <v>*/Declarant/Address</v>
      </c>
    </row>
    <row r="19" spans="1:17" ht="12" customHeight="1" outlineLevel="3" x14ac:dyDescent="0.35">
      <c r="A19" s="2" t="str">
        <f>$E$2</f>
        <v>CC447B</v>
      </c>
      <c r="B19" s="1">
        <v>3</v>
      </c>
      <c r="C19" s="1" t="s">
        <v>19</v>
      </c>
      <c r="D19" s="2" t="s">
        <v>25</v>
      </c>
      <c r="E19" s="9" t="s">
        <v>88</v>
      </c>
      <c r="F19" s="7" t="s">
        <v>83</v>
      </c>
      <c r="G19" s="2" t="s">
        <v>27</v>
      </c>
      <c r="M19" s="2" t="s">
        <v>89</v>
      </c>
      <c r="P19" s="2" t="s">
        <v>90</v>
      </c>
      <c r="Q19" s="1" t="str">
        <f>IF($B19=0,$M19,_xlfn.TEXTBEFORE(Q18,"/",$B19,,,Q18)&amp;"/"&amp;$M19)&amp;IF(_xlfn.TEXTAFTER($D19,"..",,,,1)&lt;&gt;"1","[0]","")</f>
        <v>*/Declarant/Address/streetAndNumber</v>
      </c>
    </row>
    <row r="20" spans="1:17" ht="12" customHeight="1" outlineLevel="3" x14ac:dyDescent="0.35">
      <c r="A20" s="2" t="str">
        <f>$E$2</f>
        <v>CC447B</v>
      </c>
      <c r="B20" s="1">
        <v>3</v>
      </c>
      <c r="C20" s="1" t="s">
        <v>19</v>
      </c>
      <c r="D20" s="2" t="s">
        <v>30</v>
      </c>
      <c r="E20" s="9" t="s">
        <v>91</v>
      </c>
      <c r="F20" s="7" t="s">
        <v>92</v>
      </c>
      <c r="G20" s="2" t="s">
        <v>396</v>
      </c>
      <c r="I20" s="2" t="s">
        <v>402</v>
      </c>
      <c r="M20" s="2" t="s">
        <v>93</v>
      </c>
      <c r="P20" s="2" t="s">
        <v>94</v>
      </c>
      <c r="Q20" s="1" t="str">
        <f>IF($B20=0,$M20,_xlfn.TEXTBEFORE(Q19,"/",$B20,,,Q19)&amp;"/"&amp;$M20)&amp;IF(_xlfn.TEXTAFTER($D20,"..",,,,1)&lt;&gt;"1","[0]","")</f>
        <v>*/Declarant/Address/postcode</v>
      </c>
    </row>
    <row r="21" spans="1:17" ht="12" customHeight="1" outlineLevel="3" x14ac:dyDescent="0.35">
      <c r="A21" s="2" t="str">
        <f>$E$2</f>
        <v>CC447B</v>
      </c>
      <c r="B21" s="1">
        <v>3</v>
      </c>
      <c r="C21" s="1" t="s">
        <v>19</v>
      </c>
      <c r="D21" s="2" t="s">
        <v>25</v>
      </c>
      <c r="E21" s="9" t="s">
        <v>95</v>
      </c>
      <c r="F21" s="7" t="s">
        <v>96</v>
      </c>
      <c r="G21" s="2" t="s">
        <v>27</v>
      </c>
      <c r="M21" s="2" t="s">
        <v>97</v>
      </c>
      <c r="P21" s="2" t="s">
        <v>98</v>
      </c>
      <c r="Q21" s="1" t="str">
        <f>IF($B21=0,$M21,_xlfn.TEXTBEFORE(Q20,"/",$B21,,,Q20)&amp;"/"&amp;$M21)&amp;IF(_xlfn.TEXTAFTER($D21,"..",,,,1)&lt;&gt;"1","[0]","")</f>
        <v>*/Declarant/Address/city</v>
      </c>
    </row>
    <row r="22" spans="1:17" ht="12" customHeight="1" outlineLevel="3" x14ac:dyDescent="0.35">
      <c r="A22" s="2" t="str">
        <f>$E$2</f>
        <v>CC447B</v>
      </c>
      <c r="B22" s="1">
        <v>3</v>
      </c>
      <c r="C22" s="1" t="s">
        <v>19</v>
      </c>
      <c r="D22" s="2" t="s">
        <v>25</v>
      </c>
      <c r="E22" s="9" t="s">
        <v>99</v>
      </c>
      <c r="F22" s="7" t="s">
        <v>50</v>
      </c>
      <c r="G22" s="2" t="s">
        <v>27</v>
      </c>
      <c r="J22" s="2" t="s">
        <v>403</v>
      </c>
      <c r="M22" s="2" t="s">
        <v>100</v>
      </c>
      <c r="P22" s="2" t="s">
        <v>52</v>
      </c>
      <c r="Q22" s="1" t="str">
        <f>IF($B22=0,$M22,_xlfn.TEXTBEFORE(Q21,"/",$B22,,,Q21)&amp;"/"&amp;$M22)&amp;IF(_xlfn.TEXTAFTER($D22,"..",,,,1)&lt;&gt;"1","[0]","")</f>
        <v>*/Declarant/Address/country</v>
      </c>
    </row>
    <row r="23" spans="1:17" ht="12" customHeight="1" outlineLevel="2" x14ac:dyDescent="0.35">
      <c r="A23" s="3" t="str">
        <f>$E$2</f>
        <v>CC447B</v>
      </c>
      <c r="B23" s="4">
        <v>2</v>
      </c>
      <c r="C23" s="3" t="s">
        <v>24</v>
      </c>
      <c r="D23" s="3" t="s">
        <v>30</v>
      </c>
      <c r="E23" s="8" t="s">
        <v>105</v>
      </c>
      <c r="F23" s="4"/>
      <c r="G23" s="3" t="s">
        <v>22</v>
      </c>
      <c r="H23" s="3" t="s">
        <v>409</v>
      </c>
      <c r="I23" s="4"/>
      <c r="J23" s="4"/>
      <c r="K23" s="4"/>
      <c r="L23" s="4"/>
      <c r="M23" s="3" t="s">
        <v>106</v>
      </c>
      <c r="N23" s="4"/>
      <c r="O23" s="4"/>
      <c r="P23" s="3" t="s">
        <v>107</v>
      </c>
      <c r="Q23" s="1" t="str">
        <f>IF($B23=0,$M23,_xlfn.TEXTBEFORE(Q22,"/",$B23,,,Q22)&amp;"/"&amp;$M23)&amp;IF(_xlfn.TEXTAFTER($D23,"..",,,,1)&lt;&gt;"1","[0]","")</f>
        <v>*/Declarant/ContactPerson</v>
      </c>
    </row>
    <row r="24" spans="1:17" ht="12" customHeight="1" outlineLevel="3" x14ac:dyDescent="0.35">
      <c r="A24" s="2" t="str">
        <f>$E$2</f>
        <v>CC447B</v>
      </c>
      <c r="B24" s="1">
        <v>3</v>
      </c>
      <c r="C24" s="1" t="s">
        <v>19</v>
      </c>
      <c r="D24" s="2" t="s">
        <v>25</v>
      </c>
      <c r="E24" s="9" t="s">
        <v>4</v>
      </c>
      <c r="F24" s="7" t="s">
        <v>83</v>
      </c>
      <c r="G24" s="2" t="s">
        <v>27</v>
      </c>
      <c r="M24" s="2" t="s">
        <v>84</v>
      </c>
      <c r="P24" s="2" t="s">
        <v>85</v>
      </c>
      <c r="Q24" s="1" t="str">
        <f>IF($B24=0,$M24,_xlfn.TEXTBEFORE(Q23,"/",$B24,,,Q23)&amp;"/"&amp;$M24)&amp;IF(_xlfn.TEXTAFTER($D24,"..",,,,1)&lt;&gt;"1","[0]","")</f>
        <v>*/Declarant/ContactPerson/name</v>
      </c>
    </row>
    <row r="25" spans="1:17" ht="12" customHeight="1" outlineLevel="3" x14ac:dyDescent="0.35">
      <c r="A25" s="2" t="str">
        <f>$E$2</f>
        <v>CC447B</v>
      </c>
      <c r="B25" s="1">
        <v>3</v>
      </c>
      <c r="C25" s="1" t="s">
        <v>19</v>
      </c>
      <c r="D25" s="2" t="s">
        <v>25</v>
      </c>
      <c r="E25" s="9" t="s">
        <v>108</v>
      </c>
      <c r="F25" s="7" t="s">
        <v>96</v>
      </c>
      <c r="G25" s="2" t="s">
        <v>27</v>
      </c>
      <c r="M25" s="2" t="s">
        <v>109</v>
      </c>
      <c r="P25" s="2" t="s">
        <v>110</v>
      </c>
      <c r="Q25" s="1" t="str">
        <f>IF($B25=0,$M25,_xlfn.TEXTBEFORE(Q24,"/",$B25,,,Q24)&amp;"/"&amp;$M25)&amp;IF(_xlfn.TEXTAFTER($D25,"..",,,,1)&lt;&gt;"1","[0]","")</f>
        <v>*/Declarant/ContactPerson/phoneNumber</v>
      </c>
    </row>
    <row r="26" spans="1:17" ht="12" customHeight="1" outlineLevel="3" x14ac:dyDescent="0.35">
      <c r="A26" s="2" t="str">
        <f>$E$2</f>
        <v>CC447B</v>
      </c>
      <c r="B26" s="1">
        <v>3</v>
      </c>
      <c r="C26" s="1" t="s">
        <v>19</v>
      </c>
      <c r="D26" s="2" t="s">
        <v>25</v>
      </c>
      <c r="E26" s="9" t="s">
        <v>111</v>
      </c>
      <c r="F26" s="7" t="s">
        <v>112</v>
      </c>
      <c r="G26" s="2" t="s">
        <v>27</v>
      </c>
      <c r="M26" s="2" t="s">
        <v>113</v>
      </c>
      <c r="P26" s="2" t="s">
        <v>114</v>
      </c>
      <c r="Q26" s="1" t="str">
        <f>IF($B26=0,$M26,_xlfn.TEXTBEFORE(Q25,"/",$B26,,,Q25)&amp;"/"&amp;$M26)&amp;IF(_xlfn.TEXTAFTER($D26,"..",,,,1)&lt;&gt;"1","[0]","")</f>
        <v>*/Declarant/ContactPerson/eMailAddress</v>
      </c>
    </row>
    <row r="27" spans="1:17" ht="12" customHeight="1" outlineLevel="1" x14ac:dyDescent="0.35">
      <c r="A27" s="3" t="str">
        <f>$E$2</f>
        <v>CC447B</v>
      </c>
      <c r="B27" s="4">
        <v>1</v>
      </c>
      <c r="C27" s="3" t="s">
        <v>24</v>
      </c>
      <c r="D27" s="3" t="s">
        <v>30</v>
      </c>
      <c r="E27" s="5" t="s">
        <v>121</v>
      </c>
      <c r="F27" s="4"/>
      <c r="G27" s="3" t="s">
        <v>22</v>
      </c>
      <c r="H27" s="4"/>
      <c r="I27" s="4"/>
      <c r="J27" s="4"/>
      <c r="K27" s="4"/>
      <c r="L27" s="4"/>
      <c r="M27" s="3" t="s">
        <v>121</v>
      </c>
      <c r="N27" s="4"/>
      <c r="O27" s="4"/>
      <c r="P27" s="3" t="s">
        <v>1240</v>
      </c>
      <c r="Q27" s="1" t="str">
        <f>IF($B27=0,$M27,_xlfn.TEXTBEFORE(Q26,"/",$B27,,,Q26)&amp;"/"&amp;$M27)&amp;IF(_xlfn.TEXTAFTER($D27,"..",,,,1)&lt;&gt;"1","[0]","")</f>
        <v>*/Representative</v>
      </c>
    </row>
    <row r="28" spans="1:17" ht="12" customHeight="1" outlineLevel="2" x14ac:dyDescent="0.35">
      <c r="A28" s="2" t="str">
        <f>$E$2</f>
        <v>CC447B</v>
      </c>
      <c r="B28" s="1">
        <v>2</v>
      </c>
      <c r="C28" s="1" t="s">
        <v>19</v>
      </c>
      <c r="D28" s="2" t="s">
        <v>25</v>
      </c>
      <c r="E28" s="6" t="s">
        <v>81</v>
      </c>
      <c r="F28" s="7" t="s">
        <v>68</v>
      </c>
      <c r="G28" s="2" t="s">
        <v>27</v>
      </c>
      <c r="H28" s="2" t="s">
        <v>788</v>
      </c>
      <c r="M28" s="2" t="s">
        <v>82</v>
      </c>
      <c r="P28" s="2" t="s">
        <v>70</v>
      </c>
      <c r="Q28" s="1" t="str">
        <f>IF($B28=0,$M28,_xlfn.TEXTBEFORE(Q27,"/",$B28,,,Q27)&amp;"/"&amp;$M28)&amp;IF(_xlfn.TEXTAFTER($D28,"..",,,,1)&lt;&gt;"1","[0]","")</f>
        <v>*/Representative/identificationNumber</v>
      </c>
    </row>
    <row r="29" spans="1:17" ht="12" customHeight="1" outlineLevel="2" x14ac:dyDescent="0.35">
      <c r="A29" s="2" t="str">
        <f>$E$2</f>
        <v>CC447B</v>
      </c>
      <c r="B29" s="1">
        <v>2</v>
      </c>
      <c r="C29" s="1" t="s">
        <v>19</v>
      </c>
      <c r="D29" s="2" t="s">
        <v>25</v>
      </c>
      <c r="E29" s="6" t="s">
        <v>6</v>
      </c>
      <c r="F29" s="7" t="s">
        <v>123</v>
      </c>
      <c r="G29" s="2" t="s">
        <v>27</v>
      </c>
      <c r="H29" s="2" t="s">
        <v>407</v>
      </c>
      <c r="J29" s="2" t="s">
        <v>408</v>
      </c>
      <c r="M29" s="2" t="s">
        <v>124</v>
      </c>
      <c r="P29" s="2" t="s">
        <v>125</v>
      </c>
      <c r="Q29" s="1" t="str">
        <f>IF($B29=0,$M29,_xlfn.TEXTBEFORE(Q28,"/",$B29,,,Q28)&amp;"/"&amp;$M29)&amp;IF(_xlfn.TEXTAFTER($D29,"..",,,,1)&lt;&gt;"1","[0]","")</f>
        <v>*/Representative/status</v>
      </c>
    </row>
    <row r="30" spans="1:17" ht="12" customHeight="1" outlineLevel="2" x14ac:dyDescent="0.35">
      <c r="A30" s="3" t="str">
        <f>$E$2</f>
        <v>CC447B</v>
      </c>
      <c r="B30" s="4">
        <v>2</v>
      </c>
      <c r="C30" s="3" t="s">
        <v>24</v>
      </c>
      <c r="D30" s="3" t="s">
        <v>30</v>
      </c>
      <c r="E30" s="8" t="s">
        <v>105</v>
      </c>
      <c r="F30" s="4"/>
      <c r="G30" s="3" t="s">
        <v>22</v>
      </c>
      <c r="H30" s="3" t="s">
        <v>409</v>
      </c>
      <c r="I30" s="4"/>
      <c r="J30" s="4"/>
      <c r="K30" s="4"/>
      <c r="L30" s="4"/>
      <c r="M30" s="3" t="s">
        <v>106</v>
      </c>
      <c r="N30" s="4"/>
      <c r="O30" s="4"/>
      <c r="P30" s="3" t="s">
        <v>107</v>
      </c>
      <c r="Q30" s="1" t="str">
        <f>IF($B30=0,$M30,_xlfn.TEXTBEFORE(Q29,"/",$B30,,,Q29)&amp;"/"&amp;$M30)&amp;IF(_xlfn.TEXTAFTER($D30,"..",,,,1)&lt;&gt;"1","[0]","")</f>
        <v>*/Representative/ContactPerson</v>
      </c>
    </row>
    <row r="31" spans="1:17" ht="12" customHeight="1" outlineLevel="3" x14ac:dyDescent="0.35">
      <c r="A31" s="2" t="str">
        <f>$E$2</f>
        <v>CC447B</v>
      </c>
      <c r="B31" s="1">
        <v>3</v>
      </c>
      <c r="C31" s="1" t="s">
        <v>19</v>
      </c>
      <c r="D31" s="2" t="s">
        <v>25</v>
      </c>
      <c r="E31" s="9" t="s">
        <v>4</v>
      </c>
      <c r="F31" s="7" t="s">
        <v>83</v>
      </c>
      <c r="G31" s="2" t="s">
        <v>27</v>
      </c>
      <c r="M31" s="2" t="s">
        <v>84</v>
      </c>
      <c r="P31" s="2" t="s">
        <v>85</v>
      </c>
      <c r="Q31" s="1" t="str">
        <f>IF($B31=0,$M31,_xlfn.TEXTBEFORE(Q30,"/",$B31,,,Q30)&amp;"/"&amp;$M31)&amp;IF(_xlfn.TEXTAFTER($D31,"..",,,,1)&lt;&gt;"1","[0]","")</f>
        <v>*/Representative/ContactPerson/name</v>
      </c>
    </row>
    <row r="32" spans="1:17" ht="12" customHeight="1" outlineLevel="3" x14ac:dyDescent="0.35">
      <c r="A32" s="2" t="str">
        <f>$E$2</f>
        <v>CC447B</v>
      </c>
      <c r="B32" s="1">
        <v>3</v>
      </c>
      <c r="C32" s="1" t="s">
        <v>19</v>
      </c>
      <c r="D32" s="2" t="s">
        <v>25</v>
      </c>
      <c r="E32" s="9" t="s">
        <v>108</v>
      </c>
      <c r="F32" s="7" t="s">
        <v>96</v>
      </c>
      <c r="G32" s="2" t="s">
        <v>27</v>
      </c>
      <c r="M32" s="2" t="s">
        <v>109</v>
      </c>
      <c r="P32" s="2" t="s">
        <v>110</v>
      </c>
      <c r="Q32" s="1" t="str">
        <f>IF($B32=0,$M32,_xlfn.TEXTBEFORE(Q31,"/",$B32,,,Q31)&amp;"/"&amp;$M32)&amp;IF(_xlfn.TEXTAFTER($D32,"..",,,,1)&lt;&gt;"1","[0]","")</f>
        <v>*/Representative/ContactPerson/phoneNumber</v>
      </c>
    </row>
    <row r="33" spans="1:17" ht="12" customHeight="1" outlineLevel="3" x14ac:dyDescent="0.35">
      <c r="A33" s="2" t="str">
        <f>$E$2</f>
        <v>CC447B</v>
      </c>
      <c r="B33" s="1">
        <v>3</v>
      </c>
      <c r="C33" s="1" t="s">
        <v>19</v>
      </c>
      <c r="D33" s="2" t="s">
        <v>25</v>
      </c>
      <c r="E33" s="9" t="s">
        <v>111</v>
      </c>
      <c r="F33" s="7" t="s">
        <v>112</v>
      </c>
      <c r="G33" s="2" t="s">
        <v>27</v>
      </c>
      <c r="M33" s="2" t="s">
        <v>113</v>
      </c>
      <c r="P33" s="2" t="s">
        <v>114</v>
      </c>
      <c r="Q33" s="1" t="str">
        <f>IF($B33=0,$M33,_xlfn.TEXTBEFORE(Q32,"/",$B33,,,Q32)&amp;"/"&amp;$M33)&amp;IF(_xlfn.TEXTAFTER($D33,"..",,,,1)&lt;&gt;"1","[0]","")</f>
        <v>*/Representative/ContactPerson/eMailAddress</v>
      </c>
    </row>
    <row r="34" spans="1:17" ht="12" customHeight="1" outlineLevel="1" x14ac:dyDescent="0.35">
      <c r="A34" s="3" t="str">
        <f>$E$2</f>
        <v>CC447B</v>
      </c>
      <c r="B34" s="4">
        <v>1</v>
      </c>
      <c r="C34" s="3" t="s">
        <v>24</v>
      </c>
      <c r="D34" s="3" t="s">
        <v>25</v>
      </c>
      <c r="E34" s="5" t="s">
        <v>1315</v>
      </c>
      <c r="F34" s="4"/>
      <c r="G34" s="3" t="s">
        <v>27</v>
      </c>
      <c r="H34" s="4"/>
      <c r="I34" s="4"/>
      <c r="J34" s="4"/>
      <c r="K34" s="4"/>
      <c r="L34" s="4"/>
      <c r="M34" s="3" t="s">
        <v>1316</v>
      </c>
      <c r="N34" s="4"/>
      <c r="O34" s="4"/>
      <c r="P34" s="3" t="s">
        <v>1395</v>
      </c>
      <c r="Q34" s="1" t="str">
        <f>IF($B34=0,$M34,_xlfn.TEXTBEFORE(Q33,"/",$B34,,,Q33)&amp;"/"&amp;$M34)&amp;IF(_xlfn.TEXTAFTER($D34,"..",,,,1)&lt;&gt;"1","[0]","")</f>
        <v>*/ControlResult</v>
      </c>
    </row>
    <row r="35" spans="1:17" ht="12" customHeight="1" outlineLevel="2" x14ac:dyDescent="0.35">
      <c r="A35" s="2" t="str">
        <f>$E$2</f>
        <v>CC447B</v>
      </c>
      <c r="B35" s="1">
        <v>2</v>
      </c>
      <c r="C35" s="1" t="s">
        <v>19</v>
      </c>
      <c r="D35" s="2" t="s">
        <v>25</v>
      </c>
      <c r="E35" s="6" t="s">
        <v>222</v>
      </c>
      <c r="F35" s="7" t="s">
        <v>325</v>
      </c>
      <c r="G35" s="2" t="s">
        <v>27</v>
      </c>
      <c r="H35" s="2" t="s">
        <v>1318</v>
      </c>
      <c r="J35" s="2" t="s">
        <v>1319</v>
      </c>
      <c r="M35" s="2" t="s">
        <v>224</v>
      </c>
      <c r="P35" s="2" t="s">
        <v>1320</v>
      </c>
      <c r="Q35" s="1" t="str">
        <f>IF($B35=0,$M35,_xlfn.TEXTBEFORE(Q34,"/",$B35,,,Q34)&amp;"/"&amp;$M35)&amp;IF(_xlfn.TEXTAFTER($D35,"..",,,,1)&lt;&gt;"1","[0]","")</f>
        <v>*/ControlResult/code</v>
      </c>
    </row>
    <row r="36" spans="1:17" ht="12" customHeight="1" outlineLevel="2" x14ac:dyDescent="0.35">
      <c r="A36" s="2" t="str">
        <f>$E$2</f>
        <v>CC447B</v>
      </c>
      <c r="B36" s="1">
        <v>2</v>
      </c>
      <c r="C36" s="1" t="s">
        <v>19</v>
      </c>
      <c r="D36" s="2" t="s">
        <v>25</v>
      </c>
      <c r="E36" s="6" t="s">
        <v>1321</v>
      </c>
      <c r="F36" s="2" t="s">
        <v>505</v>
      </c>
      <c r="G36" s="2" t="s">
        <v>27</v>
      </c>
      <c r="H36" s="2" t="s">
        <v>786</v>
      </c>
      <c r="M36" s="2" t="s">
        <v>1322</v>
      </c>
      <c r="P36" s="2" t="s">
        <v>507</v>
      </c>
      <c r="Q36" s="1" t="str">
        <f>IF($B36=0,$M36,_xlfn.TEXTBEFORE(Q35,"/",$B36,,,Q35)&amp;"/"&amp;$M36)&amp;IF(_xlfn.TEXTAFTER($D36,"..",,,,1)&lt;&gt;"1","[0]","")</f>
        <v>*/ControlResult/date</v>
      </c>
    </row>
    <row r="37" spans="1:17" ht="12" customHeight="1" outlineLevel="2" x14ac:dyDescent="0.35">
      <c r="A37" s="2" t="str">
        <f>$E$2</f>
        <v>CC447B</v>
      </c>
      <c r="B37" s="1">
        <v>2</v>
      </c>
      <c r="C37" s="1" t="s">
        <v>19</v>
      </c>
      <c r="D37" s="2" t="s">
        <v>30</v>
      </c>
      <c r="E37" s="6" t="s">
        <v>1323</v>
      </c>
      <c r="F37" s="7" t="s">
        <v>216</v>
      </c>
      <c r="G37" s="2" t="s">
        <v>22</v>
      </c>
      <c r="M37" s="2" t="s">
        <v>1324</v>
      </c>
      <c r="P37" s="2" t="s">
        <v>218</v>
      </c>
      <c r="Q37" s="1" t="str">
        <f>IF($B37=0,$M37,_xlfn.TEXTBEFORE(Q36,"/",$B37,,,Q36)&amp;"/"&amp;$M37)&amp;IF(_xlfn.TEXTAFTER($D37,"..",,,,1)&lt;&gt;"1","[0]","")</f>
        <v>*/ControlResult/remarks</v>
      </c>
    </row>
    <row r="38" spans="1:17" ht="12" customHeight="1" outlineLevel="2" x14ac:dyDescent="0.35">
      <c r="A38" s="2" t="str">
        <f>$E$2</f>
        <v>CC447B</v>
      </c>
      <c r="B38" s="1">
        <v>2</v>
      </c>
      <c r="C38" s="1" t="s">
        <v>19</v>
      </c>
      <c r="D38" s="2" t="s">
        <v>25</v>
      </c>
      <c r="E38" s="6" t="s">
        <v>1396</v>
      </c>
      <c r="F38" s="7" t="s">
        <v>123</v>
      </c>
      <c r="G38" s="2" t="s">
        <v>27</v>
      </c>
      <c r="J38" s="2" t="s">
        <v>539</v>
      </c>
      <c r="M38" s="2" t="s">
        <v>1397</v>
      </c>
      <c r="P38" s="2" t="s">
        <v>367</v>
      </c>
      <c r="Q38" s="1" t="str">
        <f>IF($B38=0,$M38,_xlfn.TEXTBEFORE(Q37,"/",$B38,,,Q37)&amp;"/"&amp;$M38)&amp;IF(_xlfn.TEXTAFTER($D38,"..",,,,1)&lt;&gt;"1","[0]","")</f>
        <v>*/ControlResult/supportingDocumentsProvided</v>
      </c>
    </row>
    <row r="39" spans="1:17" ht="12" customHeight="1" outlineLevel="1" x14ac:dyDescent="0.35">
      <c r="A39" s="3" t="str">
        <f>$E$2</f>
        <v>CC447B</v>
      </c>
      <c r="B39" s="4">
        <v>1</v>
      </c>
      <c r="C39" s="3" t="s">
        <v>24</v>
      </c>
      <c r="D39" s="3" t="s">
        <v>314</v>
      </c>
      <c r="E39" s="5" t="s">
        <v>1327</v>
      </c>
      <c r="F39" s="4"/>
      <c r="G39" s="3" t="s">
        <v>396</v>
      </c>
      <c r="H39" s="4"/>
      <c r="I39" s="3" t="s">
        <v>1328</v>
      </c>
      <c r="J39" s="4"/>
      <c r="K39" s="4"/>
      <c r="L39" s="4"/>
      <c r="M39" s="3" t="s">
        <v>1329</v>
      </c>
      <c r="N39" s="4"/>
      <c r="O39" s="4"/>
      <c r="P39" s="3" t="s">
        <v>1398</v>
      </c>
      <c r="Q39" s="1" t="str">
        <f>IF($B39=0,$M39,_xlfn.TEXTBEFORE(Q38,"/",$B39,,,Q38)&amp;"/"&amp;$M39)&amp;IF(_xlfn.TEXTAFTER($D39,"..",,,,1)&lt;&gt;"1","[0]","")</f>
        <v>*/ControlResults[0]</v>
      </c>
    </row>
    <row r="40" spans="1:17" ht="12" customHeight="1" outlineLevel="2" x14ac:dyDescent="0.35">
      <c r="A40" s="2" t="str">
        <f>$E$2</f>
        <v>CC447B</v>
      </c>
      <c r="B40" s="1">
        <v>2</v>
      </c>
      <c r="C40" s="1" t="s">
        <v>19</v>
      </c>
      <c r="D40" s="2" t="s">
        <v>25</v>
      </c>
      <c r="E40" s="6" t="s">
        <v>56</v>
      </c>
      <c r="F40" s="7" t="s">
        <v>57</v>
      </c>
      <c r="G40" s="2" t="s">
        <v>27</v>
      </c>
      <c r="H40" s="2" t="s">
        <v>393</v>
      </c>
      <c r="M40" s="2" t="s">
        <v>58</v>
      </c>
      <c r="P40" s="2" t="s">
        <v>59</v>
      </c>
      <c r="Q40" s="1" t="str">
        <f>IF($B40=0,$M40,_xlfn.TEXTBEFORE(Q39,"/",$B40,,,Q39)&amp;"/"&amp;$M40)&amp;IF(_xlfn.TEXTAFTER($D40,"..",,,,1)&lt;&gt;"1","[0]","")</f>
        <v>*/ControlResults[0]/sequenceNumber</v>
      </c>
    </row>
    <row r="41" spans="1:17" ht="12" customHeight="1" outlineLevel="2" x14ac:dyDescent="0.35">
      <c r="A41" s="2" t="str">
        <f>$E$2</f>
        <v>CC447B</v>
      </c>
      <c r="B41" s="1">
        <v>2</v>
      </c>
      <c r="C41" s="1" t="s">
        <v>19</v>
      </c>
      <c r="D41" s="2" t="s">
        <v>30</v>
      </c>
      <c r="E41" s="6" t="s">
        <v>1331</v>
      </c>
      <c r="F41" s="7" t="s">
        <v>1490</v>
      </c>
      <c r="G41" s="2" t="s">
        <v>22</v>
      </c>
      <c r="H41" s="2" t="s">
        <v>1332</v>
      </c>
      <c r="M41" s="2" t="s">
        <v>1333</v>
      </c>
      <c r="P41" s="2" t="s">
        <v>1334</v>
      </c>
      <c r="Q41" s="1" t="str">
        <f>IF($B41=0,$M41,_xlfn.TEXTBEFORE(Q40,"/",$B41,,,Q40)&amp;"/"&amp;$M41)&amp;IF(_xlfn.TEXTAFTER($D41,"..",,,,1)&lt;&gt;"1","[0]","")</f>
        <v>*/ControlResults[0]/goodsShipmentSequenceNumber</v>
      </c>
    </row>
    <row r="42" spans="1:17" ht="12" customHeight="1" outlineLevel="2" x14ac:dyDescent="0.35">
      <c r="A42" s="2" t="str">
        <f>$E$2</f>
        <v>CC447B</v>
      </c>
      <c r="B42" s="1">
        <v>2</v>
      </c>
      <c r="C42" s="1" t="s">
        <v>19</v>
      </c>
      <c r="D42" s="2" t="s">
        <v>30</v>
      </c>
      <c r="E42" s="6" t="s">
        <v>253</v>
      </c>
      <c r="F42" s="7" t="s">
        <v>1490</v>
      </c>
      <c r="G42" s="2" t="s">
        <v>22</v>
      </c>
      <c r="H42" s="2" t="s">
        <v>419</v>
      </c>
      <c r="M42" s="2" t="s">
        <v>254</v>
      </c>
      <c r="P42" s="2" t="s">
        <v>1334</v>
      </c>
      <c r="Q42" s="1" t="str">
        <f>IF($B42=0,$M42,_xlfn.TEXTBEFORE(Q41,"/",$B42,,,Q41)&amp;"/"&amp;$M42)&amp;IF(_xlfn.TEXTAFTER($D42,"..",,,,1)&lt;&gt;"1","[0]","")</f>
        <v>*/ControlResults[0]/declarationGoodsItemNumber</v>
      </c>
    </row>
    <row r="43" spans="1:17" ht="12" customHeight="1" outlineLevel="2" x14ac:dyDescent="0.35">
      <c r="A43" s="2" t="str">
        <f>$E$2</f>
        <v>CC447B</v>
      </c>
      <c r="B43" s="1">
        <v>2</v>
      </c>
      <c r="C43" s="1" t="s">
        <v>19</v>
      </c>
      <c r="D43" s="2" t="s">
        <v>25</v>
      </c>
      <c r="E43" s="6" t="s">
        <v>1335</v>
      </c>
      <c r="F43" s="7" t="s">
        <v>325</v>
      </c>
      <c r="G43" s="2" t="s">
        <v>27</v>
      </c>
      <c r="J43" s="2" t="s">
        <v>1319</v>
      </c>
      <c r="M43" s="2" t="s">
        <v>1336</v>
      </c>
      <c r="P43" s="2" t="s">
        <v>1320</v>
      </c>
      <c r="Q43" s="1" t="str">
        <f>IF($B43=0,$M43,_xlfn.TEXTBEFORE(Q42,"/",$B43,,,Q42)&amp;"/"&amp;$M43)&amp;IF(_xlfn.TEXTAFTER($D43,"..",,,,1)&lt;&gt;"1","[0]","")</f>
        <v>*/ControlResults[0]/controlResultCode</v>
      </c>
    </row>
    <row r="44" spans="1:17" ht="12" customHeight="1" outlineLevel="2" x14ac:dyDescent="0.35">
      <c r="A44" s="3" t="str">
        <f>$E$2</f>
        <v>CC447B</v>
      </c>
      <c r="B44" s="4">
        <v>2</v>
      </c>
      <c r="C44" s="3" t="s">
        <v>24</v>
      </c>
      <c r="D44" s="3" t="s">
        <v>193</v>
      </c>
      <c r="E44" s="8" t="s">
        <v>1337</v>
      </c>
      <c r="F44" s="4"/>
      <c r="G44" s="3" t="s">
        <v>22</v>
      </c>
      <c r="H44" s="4"/>
      <c r="I44" s="4"/>
      <c r="J44" s="4"/>
      <c r="K44" s="4"/>
      <c r="L44" s="4"/>
      <c r="M44" s="3" t="s">
        <v>1339</v>
      </c>
      <c r="N44" s="4"/>
      <c r="O44" s="4"/>
      <c r="P44" s="3" t="s">
        <v>1399</v>
      </c>
      <c r="Q44" s="1" t="str">
        <f>IF($B44=0,$M44,_xlfn.TEXTBEFORE(Q43,"/",$B44,,,Q43)&amp;"/"&amp;$M44)&amp;IF(_xlfn.TEXTAFTER($D44,"..",,,,1)&lt;&gt;"1","[0]","")</f>
        <v>*/ControlResults[0]/ResultsOfControl[0]</v>
      </c>
    </row>
    <row r="45" spans="1:17" ht="12" customHeight="1" outlineLevel="3" x14ac:dyDescent="0.35">
      <c r="A45" s="2" t="str">
        <f>$E$2</f>
        <v>CC447B</v>
      </c>
      <c r="B45" s="1">
        <v>3</v>
      </c>
      <c r="C45" s="1" t="s">
        <v>19</v>
      </c>
      <c r="D45" s="2" t="s">
        <v>25</v>
      </c>
      <c r="E45" s="9" t="s">
        <v>56</v>
      </c>
      <c r="F45" s="7" t="s">
        <v>57</v>
      </c>
      <c r="G45" s="2" t="s">
        <v>27</v>
      </c>
      <c r="H45" s="2" t="s">
        <v>393</v>
      </c>
      <c r="M45" s="2" t="s">
        <v>58</v>
      </c>
      <c r="P45" s="2" t="s">
        <v>59</v>
      </c>
      <c r="Q45" s="1" t="str">
        <f>IF($B45=0,$M45,_xlfn.TEXTBEFORE(Q44,"/",$B45,,,Q44)&amp;"/"&amp;$M45)&amp;IF(_xlfn.TEXTAFTER($D45,"..",,,,1)&lt;&gt;"1","[0]","")</f>
        <v>*/ControlResults[0]/ResultsOfControl[0]/sequenceNumber</v>
      </c>
    </row>
    <row r="46" spans="1:17" ht="12" customHeight="1" outlineLevel="3" x14ac:dyDescent="0.35">
      <c r="A46" s="2" t="str">
        <f>$E$2</f>
        <v>CC447B</v>
      </c>
      <c r="B46" s="1">
        <v>3</v>
      </c>
      <c r="C46" s="1" t="s">
        <v>19</v>
      </c>
      <c r="D46" s="2" t="s">
        <v>25</v>
      </c>
      <c r="E46" s="9" t="s">
        <v>1341</v>
      </c>
      <c r="F46" s="7" t="s">
        <v>1491</v>
      </c>
      <c r="G46" s="2" t="s">
        <v>27</v>
      </c>
      <c r="J46" s="2" t="s">
        <v>1342</v>
      </c>
      <c r="M46" s="2" t="s">
        <v>1343</v>
      </c>
      <c r="P46" s="2" t="s">
        <v>1344</v>
      </c>
      <c r="Q46" s="1" t="str">
        <f>IF($B46=0,$M46,_xlfn.TEXTBEFORE(Q45,"/",$B46,,,Q45)&amp;"/"&amp;$M46)&amp;IF(_xlfn.TEXTAFTER($D46,"..",,,,1)&lt;&gt;"1","[0]","")</f>
        <v>*/ControlResults[0]/ResultsOfControl[0]/riskAreaCode</v>
      </c>
    </row>
    <row r="47" spans="1:17" ht="12" customHeight="1" outlineLevel="3" x14ac:dyDescent="0.35">
      <c r="A47" s="2" t="str">
        <f>$E$2</f>
        <v>CC447B</v>
      </c>
      <c r="B47" s="1">
        <v>3</v>
      </c>
      <c r="C47" s="1" t="s">
        <v>19</v>
      </c>
      <c r="D47" s="2" t="s">
        <v>25</v>
      </c>
      <c r="E47" s="9" t="s">
        <v>1345</v>
      </c>
      <c r="F47" s="7" t="s">
        <v>1492</v>
      </c>
      <c r="G47" s="2" t="s">
        <v>27</v>
      </c>
      <c r="J47" s="2" t="s">
        <v>1347</v>
      </c>
      <c r="M47" s="2" t="s">
        <v>1348</v>
      </c>
      <c r="P47" s="2" t="s">
        <v>1349</v>
      </c>
      <c r="Q47" s="1" t="str">
        <f>IF($B47=0,$M47,_xlfn.TEXTBEFORE(Q46,"/",$B47,,,Q46)&amp;"/"&amp;$M47)&amp;IF(_xlfn.TEXTAFTER($D47,"..",,,,1)&lt;&gt;"1","[0]","")</f>
        <v>*/ControlResults[0]/ResultsOfControl[0]/controlType</v>
      </c>
    </row>
    <row r="48" spans="1:17" ht="12" customHeight="1" outlineLevel="3" x14ac:dyDescent="0.35">
      <c r="A48" s="2" t="str">
        <f>$E$2</f>
        <v>CC447B</v>
      </c>
      <c r="B48" s="1">
        <v>3</v>
      </c>
      <c r="C48" s="1" t="s">
        <v>19</v>
      </c>
      <c r="D48" s="2" t="s">
        <v>25</v>
      </c>
      <c r="E48" s="9" t="s">
        <v>1350</v>
      </c>
      <c r="F48" s="2" t="s">
        <v>505</v>
      </c>
      <c r="G48" s="2" t="s">
        <v>27</v>
      </c>
      <c r="H48" s="2" t="s">
        <v>786</v>
      </c>
      <c r="M48" s="2" t="s">
        <v>1351</v>
      </c>
      <c r="P48" s="2" t="s">
        <v>507</v>
      </c>
      <c r="Q48" s="1" t="str">
        <f>IF($B48=0,$M48,_xlfn.TEXTBEFORE(Q47,"/",$B48,,,Q47)&amp;"/"&amp;$M48)&amp;IF(_xlfn.TEXTAFTER($D48,"..",,,,1)&lt;&gt;"1","[0]","")</f>
        <v>*/ControlResults[0]/ResultsOfControl[0]/controlDate</v>
      </c>
    </row>
    <row r="49" spans="1:17" ht="12" customHeight="1" outlineLevel="3" x14ac:dyDescent="0.35">
      <c r="A49" s="2" t="str">
        <f>$E$2</f>
        <v>CC447B</v>
      </c>
      <c r="B49" s="1">
        <v>3</v>
      </c>
      <c r="C49" s="1" t="s">
        <v>19</v>
      </c>
      <c r="D49" s="2" t="s">
        <v>30</v>
      </c>
      <c r="E49" s="9" t="s">
        <v>1323</v>
      </c>
      <c r="F49" s="7" t="s">
        <v>216</v>
      </c>
      <c r="G49" s="2" t="s">
        <v>22</v>
      </c>
      <c r="M49" s="2" t="s">
        <v>1324</v>
      </c>
      <c r="P49" s="2" t="s">
        <v>218</v>
      </c>
      <c r="Q49" s="1" t="str">
        <f>IF($B49=0,$M49,_xlfn.TEXTBEFORE(Q48,"/",$B49,,,Q48)&amp;"/"&amp;$M49)&amp;IF(_xlfn.TEXTAFTER($D49,"..",,,,1)&lt;&gt;"1","[0]","")</f>
        <v>*/ControlResults[0]/ResultsOfControl[0]/remarks</v>
      </c>
    </row>
    <row r="50" spans="1:17" ht="12" customHeight="1" outlineLevel="3" x14ac:dyDescent="0.35">
      <c r="A50" s="3" t="str">
        <f>$E$2</f>
        <v>CC447B</v>
      </c>
      <c r="B50" s="4">
        <v>3</v>
      </c>
      <c r="C50" s="3" t="s">
        <v>24</v>
      </c>
      <c r="D50" s="3" t="s">
        <v>53</v>
      </c>
      <c r="E50" s="10" t="s">
        <v>1352</v>
      </c>
      <c r="F50" s="4"/>
      <c r="G50" s="3" t="s">
        <v>396</v>
      </c>
      <c r="H50" s="3" t="s">
        <v>1353</v>
      </c>
      <c r="I50" s="3" t="s">
        <v>1354</v>
      </c>
      <c r="J50" s="4"/>
      <c r="K50" s="4"/>
      <c r="L50" s="4"/>
      <c r="M50" s="3" t="s">
        <v>1355</v>
      </c>
      <c r="N50" s="4"/>
      <c r="O50" s="4"/>
      <c r="P50" s="3" t="s">
        <v>1356</v>
      </c>
      <c r="Q50" s="1" t="str">
        <f>IF($B50=0,$M50,_xlfn.TEXTBEFORE(Q49,"/",$B50,,,Q49)&amp;"/"&amp;$M50)&amp;IF(_xlfn.TEXTAFTER($D50,"..",,,,1)&lt;&gt;"1","[0]","")</f>
        <v>*/ControlResults[0]/ResultsOfControl[0]/ControlDetails[0]</v>
      </c>
    </row>
    <row r="51" spans="1:17" ht="12" customHeight="1" outlineLevel="4" x14ac:dyDescent="0.35">
      <c r="A51" s="2" t="str">
        <f>$E$2</f>
        <v>CC447B</v>
      </c>
      <c r="B51" s="1">
        <v>4</v>
      </c>
      <c r="C51" s="1" t="s">
        <v>19</v>
      </c>
      <c r="D51" s="2" t="s">
        <v>25</v>
      </c>
      <c r="E51" s="11" t="s">
        <v>56</v>
      </c>
      <c r="F51" s="7" t="s">
        <v>57</v>
      </c>
      <c r="G51" s="2" t="s">
        <v>27</v>
      </c>
      <c r="H51" s="2" t="s">
        <v>393</v>
      </c>
      <c r="M51" s="2" t="s">
        <v>58</v>
      </c>
      <c r="P51" s="2" t="s">
        <v>59</v>
      </c>
      <c r="Q51" s="1" t="str">
        <f>IF($B51=0,$M51,_xlfn.TEXTBEFORE(Q50,"/",$B51,,,Q50)&amp;"/"&amp;$M51)&amp;IF(_xlfn.TEXTAFTER($D51,"..",,,,1)&lt;&gt;"1","[0]","")</f>
        <v>*/ControlResults[0]/ResultsOfControl[0]/ControlDetails[0]/sequenceNumber</v>
      </c>
    </row>
    <row r="52" spans="1:17" ht="12" customHeight="1" outlineLevel="4" x14ac:dyDescent="0.35">
      <c r="A52" s="2" t="str">
        <f>$E$2</f>
        <v>CC447B</v>
      </c>
      <c r="B52" s="1">
        <v>4</v>
      </c>
      <c r="C52" s="1" t="s">
        <v>19</v>
      </c>
      <c r="D52" s="2" t="s">
        <v>25</v>
      </c>
      <c r="E52" s="11" t="s">
        <v>1357</v>
      </c>
      <c r="F52" s="7" t="s">
        <v>1493</v>
      </c>
      <c r="G52" s="2" t="s">
        <v>27</v>
      </c>
      <c r="J52" s="2" t="s">
        <v>1358</v>
      </c>
      <c r="M52" s="2" t="s">
        <v>1359</v>
      </c>
      <c r="P52" s="2" t="s">
        <v>1360</v>
      </c>
      <c r="Q52" s="1" t="str">
        <f>IF($B52=0,$M52,_xlfn.TEXTBEFORE(Q51,"/",$B52,,,Q51)&amp;"/"&amp;$M52)&amp;IF(_xlfn.TEXTAFTER($D52,"..",,,,1)&lt;&gt;"1","[0]","")</f>
        <v>*/ControlResults[0]/ResultsOfControl[0]/ControlDetails[0]/typeOfDiscrepancies</v>
      </c>
    </row>
    <row r="53" spans="1:17" ht="12" customHeight="1" outlineLevel="4" x14ac:dyDescent="0.35">
      <c r="A53" s="2" t="str">
        <f>$E$2</f>
        <v>CC447B</v>
      </c>
      <c r="B53" s="1">
        <v>4</v>
      </c>
      <c r="C53" s="1" t="s">
        <v>19</v>
      </c>
      <c r="D53" s="2" t="s">
        <v>25</v>
      </c>
      <c r="E53" s="11" t="s">
        <v>1361</v>
      </c>
      <c r="F53" s="7" t="s">
        <v>216</v>
      </c>
      <c r="G53" s="2" t="s">
        <v>27</v>
      </c>
      <c r="H53" s="2" t="s">
        <v>1362</v>
      </c>
      <c r="M53" s="2" t="s">
        <v>1363</v>
      </c>
      <c r="P53" s="2" t="s">
        <v>218</v>
      </c>
      <c r="Q53" s="1" t="str">
        <f>IF($B53=0,$M53,_xlfn.TEXTBEFORE(Q52,"/",$B53,,,Q52)&amp;"/"&amp;$M53)&amp;IF(_xlfn.TEXTAFTER($D53,"..",,,,1)&lt;&gt;"1","[0]","")</f>
        <v>*/ControlResults[0]/ResultsOfControl[0]/ControlDetails[0]/attributePointer</v>
      </c>
    </row>
    <row r="54" spans="1:17" ht="12" customHeight="1" outlineLevel="4" x14ac:dyDescent="0.35">
      <c r="A54" s="2" t="str">
        <f>$E$2</f>
        <v>CC447B</v>
      </c>
      <c r="B54" s="1">
        <v>4</v>
      </c>
      <c r="C54" s="1" t="s">
        <v>19</v>
      </c>
      <c r="D54" s="2" t="s">
        <v>30</v>
      </c>
      <c r="E54" s="11" t="s">
        <v>1364</v>
      </c>
      <c r="F54" s="7" t="s">
        <v>216</v>
      </c>
      <c r="G54" s="2" t="s">
        <v>22</v>
      </c>
      <c r="H54" s="2" t="s">
        <v>1365</v>
      </c>
      <c r="M54" s="2" t="s">
        <v>1366</v>
      </c>
      <c r="P54" s="2" t="s">
        <v>218</v>
      </c>
      <c r="Q54" s="1" t="str">
        <f>IF($B54=0,$M54,_xlfn.TEXTBEFORE(Q53,"/",$B54,,,Q53)&amp;"/"&amp;$M54)&amp;IF(_xlfn.TEXTAFTER($D54,"..",,,,1)&lt;&gt;"1","[0]","")</f>
        <v>*/ControlResults[0]/ResultsOfControl[0]/ControlDetails[0]/correctedValue</v>
      </c>
    </row>
    <row r="55" spans="1:17" ht="12" customHeight="1" outlineLevel="4" x14ac:dyDescent="0.35">
      <c r="A55" s="2" t="str">
        <f>$E$2</f>
        <v>CC447B</v>
      </c>
      <c r="B55" s="1">
        <v>4</v>
      </c>
      <c r="C55" s="1" t="s">
        <v>19</v>
      </c>
      <c r="D55" s="2" t="s">
        <v>30</v>
      </c>
      <c r="E55" s="11" t="s">
        <v>1323</v>
      </c>
      <c r="F55" s="7" t="s">
        <v>216</v>
      </c>
      <c r="G55" s="2" t="s">
        <v>396</v>
      </c>
      <c r="I55" s="2" t="s">
        <v>1367</v>
      </c>
      <c r="M55" s="2" t="s">
        <v>1324</v>
      </c>
      <c r="P55" s="2" t="s">
        <v>218</v>
      </c>
      <c r="Q55" s="1" t="str">
        <f>IF($B55=0,$M55,_xlfn.TEXTBEFORE(Q54,"/",$B55,,,Q54)&amp;"/"&amp;$M55)&amp;IF(_xlfn.TEXTAFTER($D55,"..",,,,1)&lt;&gt;"1","[0]","")</f>
        <v>*/ControlResults[0]/ResultsOfControl[0]/ControlDetails[0]/remarks</v>
      </c>
    </row>
    <row r="56" spans="1:17" ht="12" customHeight="1" x14ac:dyDescent="0.35"/>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B3A50-75D8-45C7-95B1-976AF351EEE2}">
  <sheetPr codeName="Ark32">
    <tabColor rgb="FFC00000"/>
    <outlinePr summaryBelow="0" summaryRight="0"/>
  </sheetPr>
  <dimension ref="A1:R369"/>
  <sheetViews>
    <sheetView zoomScaleNormal="100" workbookViewId="0">
      <pane xSplit="1" ySplit="1" topLeftCell="D2" activePane="bottomRight" state="frozen"/>
      <selection activeCell="D2" sqref="D2"/>
      <selection pane="topRight" activeCell="D2" sqref="D2"/>
      <selection pane="bottomLeft" activeCell="D2" sqref="D2"/>
      <selection pane="bottomRight" activeCell="D2" sqref="D2"/>
    </sheetView>
  </sheetViews>
  <sheetFormatPr defaultColWidth="11.54296875" defaultRowHeight="12" outlineLevelRow="7" x14ac:dyDescent="0.35"/>
  <cols>
    <col min="1" max="3" width="0" style="1" hidden="1" customWidth="1"/>
    <col min="4" max="4" width="6.6328125" style="1" customWidth="1"/>
    <col min="5" max="5" width="70.6328125" style="1" customWidth="1"/>
    <col min="6" max="11" width="8.6328125" style="1" customWidth="1"/>
    <col min="12" max="14" width="24.6328125" style="1" customWidth="1"/>
    <col min="15" max="15" width="24.6328125" style="1" hidden="1" customWidth="1"/>
    <col min="16" max="17" width="24.6328125" style="1" customWidth="1"/>
    <col min="18" max="16384" width="11.54296875" style="1"/>
  </cols>
  <sheetData>
    <row r="1" spans="1:18" ht="12"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P1" s="1" t="s">
        <v>14</v>
      </c>
      <c r="Q1" s="1" t="s">
        <v>208</v>
      </c>
      <c r="R1" s="1" t="s">
        <v>209</v>
      </c>
    </row>
    <row r="2" spans="1:18" ht="12" customHeight="1" x14ac:dyDescent="0.35">
      <c r="A2" s="2" t="str">
        <f>$E$2</f>
        <v>CC451B</v>
      </c>
      <c r="B2" s="1">
        <v>0</v>
      </c>
      <c r="C2" s="2" t="s">
        <v>16</v>
      </c>
      <c r="E2" s="2" t="s">
        <v>1400</v>
      </c>
      <c r="M2" s="2" t="s">
        <v>17</v>
      </c>
      <c r="P2" s="2" t="s">
        <v>1401</v>
      </c>
      <c r="Q2" s="1" t="str">
        <f>IF($B2=0,$M2,_xlfn.TEXTBEFORE(Q1,"/",$B2,,,Q1)&amp;"/"&amp;$M2)&amp;IF(_xlfn.TEXTAFTER($D2,"..",,,,1)&lt;&gt;"1","[0]","")</f>
        <v>*</v>
      </c>
    </row>
    <row r="3" spans="1:18" ht="12" customHeight="1" outlineLevel="1" x14ac:dyDescent="0.35">
      <c r="A3" s="3" t="str">
        <f>$E$2</f>
        <v>CC451B</v>
      </c>
      <c r="B3" s="4">
        <v>1</v>
      </c>
      <c r="C3" s="3" t="s">
        <v>24</v>
      </c>
      <c r="D3" s="3" t="s">
        <v>20</v>
      </c>
      <c r="E3" s="5" t="s">
        <v>21</v>
      </c>
      <c r="F3" s="4"/>
      <c r="G3" s="3" t="s">
        <v>22</v>
      </c>
      <c r="H3" s="4"/>
      <c r="I3" s="4"/>
      <c r="J3" s="4"/>
      <c r="K3" s="4"/>
      <c r="L3" s="4"/>
      <c r="M3" s="3" t="s">
        <v>21</v>
      </c>
      <c r="N3" s="4"/>
      <c r="O3" s="4"/>
      <c r="P3" s="3" t="s">
        <v>23</v>
      </c>
      <c r="Q3" s="1" t="str">
        <f>IF($B3=0,$M3,_xlfn.TEXTBEFORE(Q2,"/",$B3,,,Q2)&amp;"/"&amp;$M3)&amp;IF(_xlfn.TEXTAFTER($D3,"..",,,,1)&lt;&gt;"1","[0]","")</f>
        <v>*/Extensions[0]</v>
      </c>
    </row>
    <row r="4" spans="1:18" ht="12" customHeight="1" outlineLevel="2" x14ac:dyDescent="0.35">
      <c r="A4" s="2" t="str">
        <f>$E$2</f>
        <v>CC451B</v>
      </c>
      <c r="B4" s="1">
        <v>2</v>
      </c>
      <c r="C4" s="1" t="s">
        <v>19</v>
      </c>
      <c r="D4" s="2" t="s">
        <v>25</v>
      </c>
      <c r="E4" s="6" t="s">
        <v>774</v>
      </c>
      <c r="F4" s="1" t="s">
        <v>775</v>
      </c>
      <c r="G4" s="2" t="s">
        <v>27</v>
      </c>
      <c r="M4" s="2" t="s">
        <v>776</v>
      </c>
      <c r="Q4" s="1" t="str">
        <f>IF($B4=0,$M4,_xlfn.TEXTBEFORE(Q3,"/",$B4,,,Q3)&amp;"/"&amp;$M4)&amp;IF(_xlfn.TEXTAFTER($D4,"..",,,,1)&lt;&gt;"1","[0]","")</f>
        <v>*/Extensions[0]/SequenceNumeric</v>
      </c>
    </row>
    <row r="5" spans="1:18" ht="12" customHeight="1" outlineLevel="2" x14ac:dyDescent="0.35">
      <c r="A5" s="2" t="str">
        <f>$E$2</f>
        <v>CC451B</v>
      </c>
      <c r="B5" s="1">
        <v>2</v>
      </c>
      <c r="C5" s="1" t="s">
        <v>19</v>
      </c>
      <c r="D5" s="2" t="s">
        <v>30</v>
      </c>
      <c r="E5" s="6" t="s">
        <v>777</v>
      </c>
      <c r="F5" s="1" t="s">
        <v>778</v>
      </c>
      <c r="G5" s="2" t="s">
        <v>22</v>
      </c>
      <c r="M5" s="2" t="s">
        <v>779</v>
      </c>
      <c r="Q5" s="1" t="str">
        <f>IF($B5=0,$M5,_xlfn.TEXTBEFORE(Q4,"/",$B5,,,Q4)&amp;"/"&amp;$M5)&amp;IF(_xlfn.TEXTAFTER($D5,"..",,,,1)&lt;&gt;"1","[0]","")</f>
        <v>*/Extensions[0]/ID</v>
      </c>
    </row>
    <row r="6" spans="1:18" ht="12" customHeight="1" outlineLevel="2" x14ac:dyDescent="0.35">
      <c r="A6" s="2" t="str">
        <f>$E$2</f>
        <v>CC451B</v>
      </c>
      <c r="B6" s="1">
        <v>2</v>
      </c>
      <c r="C6" s="1" t="s">
        <v>19</v>
      </c>
      <c r="D6" s="2" t="s">
        <v>25</v>
      </c>
      <c r="E6" s="6" t="s">
        <v>780</v>
      </c>
      <c r="F6" s="1" t="s">
        <v>778</v>
      </c>
      <c r="G6" s="2" t="s">
        <v>27</v>
      </c>
      <c r="M6" s="2" t="s">
        <v>780</v>
      </c>
      <c r="Q6" s="1" t="str">
        <f>IF($B6=0,$M6,_xlfn.TEXTBEFORE(Q5,"/",$B6,,,Q5)&amp;"/"&amp;$M6)&amp;IF(_xlfn.TEXTAFTER($D6,"..",,,,1)&lt;&gt;"1","[0]","")</f>
        <v>*/Extensions[0]/Key</v>
      </c>
    </row>
    <row r="7" spans="1:18" ht="12" customHeight="1" outlineLevel="2" x14ac:dyDescent="0.35">
      <c r="A7" s="2" t="str">
        <f>$E$2</f>
        <v>CC451B</v>
      </c>
      <c r="B7" s="1">
        <v>2</v>
      </c>
      <c r="C7" s="1" t="s">
        <v>19</v>
      </c>
      <c r="D7" s="2" t="s">
        <v>25</v>
      </c>
      <c r="E7" s="6" t="s">
        <v>781</v>
      </c>
      <c r="F7" s="1" t="s">
        <v>778</v>
      </c>
      <c r="G7" s="2" t="s">
        <v>27</v>
      </c>
      <c r="M7" s="2" t="s">
        <v>781</v>
      </c>
      <c r="Q7" s="1" t="str">
        <f>IF($B7=0,$M7,_xlfn.TEXTBEFORE(Q6,"/",$B7,,,Q6)&amp;"/"&amp;$M7)&amp;IF(_xlfn.TEXTAFTER($D7,"..",,,,1)&lt;&gt;"1","[0]","")</f>
        <v>*/Extensions[0]/Value</v>
      </c>
    </row>
    <row r="8" spans="1:18" ht="12" customHeight="1" outlineLevel="2" x14ac:dyDescent="0.35">
      <c r="A8" s="2" t="str">
        <f>$E$2</f>
        <v>CC451B</v>
      </c>
      <c r="B8" s="1">
        <v>2</v>
      </c>
      <c r="C8" s="1" t="s">
        <v>19</v>
      </c>
      <c r="D8" s="2" t="s">
        <v>25</v>
      </c>
      <c r="E8" s="6" t="s">
        <v>782</v>
      </c>
      <c r="F8" s="7" t="s">
        <v>783</v>
      </c>
      <c r="G8" s="2" t="s">
        <v>27</v>
      </c>
      <c r="M8" s="2" t="s">
        <v>784</v>
      </c>
      <c r="Q8" s="1" t="str">
        <f>IF($B8=0,$M8,_xlfn.TEXTBEFORE(Q7,"/",$B8,,,Q7)&amp;"/"&amp;$M8)&amp;IF(_xlfn.TEXTAFTER($D8,"..",,,,1)&lt;&gt;"1","[0]","")</f>
        <v>*/Extensions[0]/DataType</v>
      </c>
    </row>
    <row r="9" spans="1:18" ht="12" customHeight="1" outlineLevel="2" x14ac:dyDescent="0.35">
      <c r="A9" s="21" t="str">
        <f>$E$2</f>
        <v>CC451B</v>
      </c>
      <c r="B9" s="22">
        <v>2</v>
      </c>
      <c r="C9" s="22" t="s">
        <v>19</v>
      </c>
      <c r="D9" s="21" t="s">
        <v>20</v>
      </c>
      <c r="E9" s="23" t="s">
        <v>21</v>
      </c>
      <c r="F9" s="22"/>
      <c r="G9" s="21" t="s">
        <v>22</v>
      </c>
      <c r="H9" s="22"/>
      <c r="I9" s="22"/>
      <c r="J9" s="22"/>
      <c r="K9" s="22"/>
      <c r="L9" s="22"/>
      <c r="M9" s="21" t="s">
        <v>21</v>
      </c>
      <c r="N9" s="22"/>
      <c r="O9" s="22"/>
      <c r="P9" s="21" t="s">
        <v>785</v>
      </c>
      <c r="Q9" s="1" t="str">
        <f>IF($B9=0,$M9,_xlfn.TEXTBEFORE(Q8,"/",$B9,,,Q8)&amp;"/"&amp;$M9)&amp;IF(_xlfn.TEXTAFTER($D9,"..",,,,1)&lt;&gt;"1","[0]","")</f>
        <v>*/Extensions[0]/Extensions[0]</v>
      </c>
    </row>
    <row r="10" spans="1:18" ht="12" customHeight="1" outlineLevel="1" x14ac:dyDescent="0.35">
      <c r="A10" s="3" t="str">
        <f>$E$2</f>
        <v>CC451B</v>
      </c>
      <c r="B10" s="4">
        <v>1</v>
      </c>
      <c r="C10" s="3" t="s">
        <v>24</v>
      </c>
      <c r="D10" s="3" t="s">
        <v>25</v>
      </c>
      <c r="E10" s="5" t="s">
        <v>26</v>
      </c>
      <c r="F10" s="4"/>
      <c r="G10" s="3" t="s">
        <v>27</v>
      </c>
      <c r="H10" s="4"/>
      <c r="I10" s="4"/>
      <c r="J10" s="4"/>
      <c r="K10" s="4"/>
      <c r="L10" s="4"/>
      <c r="M10" s="3" t="s">
        <v>28</v>
      </c>
      <c r="N10" s="4"/>
      <c r="O10" s="4"/>
      <c r="P10" s="3" t="s">
        <v>1402</v>
      </c>
      <c r="Q10" s="1" t="str">
        <f>IF($B10=0,$M10,_xlfn.TEXTBEFORE(Q9,"/",$B10,,,Q9)&amp;"/"&amp;$M10)&amp;IF(_xlfn.TEXTAFTER($D10,"..",,,,1)&lt;&gt;"1","[0]","")</f>
        <v>*/ImportOperation</v>
      </c>
    </row>
    <row r="11" spans="1:18" ht="12" customHeight="1" outlineLevel="2" x14ac:dyDescent="0.35">
      <c r="A11" s="2" t="str">
        <f>$E$2</f>
        <v>CC451B</v>
      </c>
      <c r="B11" s="1">
        <v>2</v>
      </c>
      <c r="C11" s="1" t="s">
        <v>19</v>
      </c>
      <c r="D11" s="2" t="s">
        <v>25</v>
      </c>
      <c r="E11" s="6" t="s">
        <v>35</v>
      </c>
      <c r="F11" s="7" t="s">
        <v>36</v>
      </c>
      <c r="G11" s="2" t="s">
        <v>27</v>
      </c>
      <c r="M11" s="2" t="s">
        <v>37</v>
      </c>
      <c r="P11" s="2" t="s">
        <v>38</v>
      </c>
      <c r="Q11" s="1" t="str">
        <f>IF($B11=0,$M11,_xlfn.TEXTBEFORE(Q10,"/",$B11,,,Q10)&amp;"/"&amp;$M11)&amp;IF(_xlfn.TEXTAFTER($D11,"..",,,,1)&lt;&gt;"1","[0]","")</f>
        <v>*/ImportOperation/MRN</v>
      </c>
    </row>
    <row r="12" spans="1:18" ht="12" customHeight="1" outlineLevel="2" x14ac:dyDescent="0.35">
      <c r="A12" s="2" t="str">
        <f>$E$2</f>
        <v>CC451B</v>
      </c>
      <c r="B12" s="1">
        <v>2</v>
      </c>
      <c r="C12" s="1" t="s">
        <v>19</v>
      </c>
      <c r="D12" s="2" t="s">
        <v>30</v>
      </c>
      <c r="E12" s="6" t="s">
        <v>39</v>
      </c>
      <c r="F12" s="7" t="s">
        <v>40</v>
      </c>
      <c r="G12" s="2" t="s">
        <v>396</v>
      </c>
      <c r="I12" s="2" t="s">
        <v>1264</v>
      </c>
      <c r="J12" s="2" t="s">
        <v>389</v>
      </c>
      <c r="M12" s="2" t="s">
        <v>41</v>
      </c>
      <c r="P12" s="2" t="s">
        <v>42</v>
      </c>
      <c r="Q12" s="1" t="str">
        <f>IF($B12=0,$M12,_xlfn.TEXTBEFORE(Q11,"/",$B12,,,Q11)&amp;"/"&amp;$M12)&amp;IF(_xlfn.TEXTAFTER($D12,"..",,,,1)&lt;&gt;"1","[0]","")</f>
        <v>*/ImportOperation/declarationType</v>
      </c>
    </row>
    <row r="13" spans="1:18" ht="12" customHeight="1" outlineLevel="2" x14ac:dyDescent="0.35">
      <c r="A13" s="2" t="str">
        <f>$E$2</f>
        <v>CC451B</v>
      </c>
      <c r="B13" s="1">
        <v>2</v>
      </c>
      <c r="C13" s="1" t="s">
        <v>19</v>
      </c>
      <c r="D13" s="2" t="s">
        <v>30</v>
      </c>
      <c r="E13" s="6" t="s">
        <v>43</v>
      </c>
      <c r="F13" s="7" t="s">
        <v>44</v>
      </c>
      <c r="G13" s="2" t="s">
        <v>396</v>
      </c>
      <c r="I13" s="2" t="s">
        <v>1264</v>
      </c>
      <c r="J13" s="2" t="s">
        <v>390</v>
      </c>
      <c r="M13" s="2" t="s">
        <v>45</v>
      </c>
      <c r="P13" s="2" t="s">
        <v>46</v>
      </c>
      <c r="Q13" s="1" t="str">
        <f>IF($B13=0,$M13,_xlfn.TEXTBEFORE(Q12,"/",$B13,,,Q12)&amp;"/"&amp;$M13)&amp;IF(_xlfn.TEXTAFTER($D13,"..",,,,1)&lt;&gt;"1","[0]","")</f>
        <v>*/ImportOperation/additionalDeclarationType</v>
      </c>
    </row>
    <row r="14" spans="1:18" ht="12" customHeight="1" outlineLevel="2" x14ac:dyDescent="0.35">
      <c r="A14" s="2" t="str">
        <f>$E$2</f>
        <v>CC451B</v>
      </c>
      <c r="B14" s="1">
        <v>2</v>
      </c>
      <c r="C14" s="1" t="s">
        <v>19</v>
      </c>
      <c r="D14" s="2" t="s">
        <v>25</v>
      </c>
      <c r="E14" s="6" t="s">
        <v>1403</v>
      </c>
      <c r="F14" s="2" t="s">
        <v>505</v>
      </c>
      <c r="G14" s="2" t="s">
        <v>27</v>
      </c>
      <c r="M14" s="2" t="s">
        <v>1404</v>
      </c>
      <c r="P14" s="2" t="s">
        <v>507</v>
      </c>
      <c r="Q14" s="1" t="str">
        <f>IF($B14=0,$M14,_xlfn.TEXTBEFORE(Q13,"/",$B14,,,Q13)&amp;"/"&amp;$M14)&amp;IF(_xlfn.TEXTAFTER($D14,"..",,,,1)&lt;&gt;"1","[0]","")</f>
        <v>*/ImportOperation/decisionDate</v>
      </c>
    </row>
    <row r="15" spans="1:18" ht="12" customHeight="1" outlineLevel="2" x14ac:dyDescent="0.35">
      <c r="A15" s="2" t="str">
        <f>$E$2</f>
        <v>CC451B</v>
      </c>
      <c r="B15" s="1">
        <v>2</v>
      </c>
      <c r="C15" s="1" t="s">
        <v>19</v>
      </c>
      <c r="D15" s="2" t="s">
        <v>25</v>
      </c>
      <c r="E15" s="6" t="s">
        <v>1405</v>
      </c>
      <c r="F15" s="7" t="s">
        <v>216</v>
      </c>
      <c r="G15" s="2" t="s">
        <v>27</v>
      </c>
      <c r="M15" s="2" t="s">
        <v>1406</v>
      </c>
      <c r="P15" s="2" t="s">
        <v>218</v>
      </c>
      <c r="Q15" s="1" t="str">
        <f>IF($B15=0,$M15,_xlfn.TEXTBEFORE(Q14,"/",$B15,,,Q14)&amp;"/"&amp;$M15)&amp;IF(_xlfn.TEXTAFTER($D15,"..",,,,1)&lt;&gt;"1","[0]","")</f>
        <v>*/ImportOperation/decisionReason</v>
      </c>
    </row>
    <row r="16" spans="1:18" ht="12" customHeight="1" outlineLevel="1" x14ac:dyDescent="0.35">
      <c r="A16" s="3" t="str">
        <f>$E$2</f>
        <v>CC451B</v>
      </c>
      <c r="B16" s="4">
        <v>1</v>
      </c>
      <c r="C16" s="3" t="s">
        <v>24</v>
      </c>
      <c r="D16" s="3" t="s">
        <v>53</v>
      </c>
      <c r="E16" s="5" t="s">
        <v>54</v>
      </c>
      <c r="F16" s="4"/>
      <c r="G16" s="3" t="s">
        <v>22</v>
      </c>
      <c r="H16" s="3" t="s">
        <v>442</v>
      </c>
      <c r="I16" s="4"/>
      <c r="J16" s="4"/>
      <c r="K16" s="4"/>
      <c r="L16" s="4"/>
      <c r="M16" s="3" t="s">
        <v>54</v>
      </c>
      <c r="N16" s="4"/>
      <c r="O16" s="4"/>
      <c r="P16" s="3" t="s">
        <v>55</v>
      </c>
      <c r="Q16" s="1" t="str">
        <f>IF($B16=0,$M16,_xlfn.TEXTBEFORE(Q15,"/",$B16,,,Q15)&amp;"/"&amp;$M16)&amp;IF(_xlfn.TEXTAFTER($D16,"..",,,,1)&lt;&gt;"1","[0]","")</f>
        <v>*/Authorisation[0]</v>
      </c>
    </row>
    <row r="17" spans="1:17" ht="12" customHeight="1" outlineLevel="2" x14ac:dyDescent="0.35">
      <c r="A17" s="2" t="str">
        <f>$E$2</f>
        <v>CC451B</v>
      </c>
      <c r="B17" s="1">
        <v>2</v>
      </c>
      <c r="C17" s="1" t="s">
        <v>19</v>
      </c>
      <c r="D17" s="2" t="s">
        <v>25</v>
      </c>
      <c r="E17" s="6" t="s">
        <v>56</v>
      </c>
      <c r="F17" s="7" t="s">
        <v>57</v>
      </c>
      <c r="G17" s="2" t="s">
        <v>27</v>
      </c>
      <c r="H17" s="2" t="s">
        <v>393</v>
      </c>
      <c r="M17" s="2" t="s">
        <v>58</v>
      </c>
      <c r="P17" s="2" t="s">
        <v>59</v>
      </c>
      <c r="Q17" s="1" t="str">
        <f>IF($B17=0,$M17,_xlfn.TEXTBEFORE(Q16,"/",$B17,,,Q16)&amp;"/"&amp;$M17)&amp;IF(_xlfn.TEXTAFTER($D17,"..",,,,1)&lt;&gt;"1","[0]","")</f>
        <v>*/Authorisation[0]/sequenceNumber</v>
      </c>
    </row>
    <row r="18" spans="1:17" ht="12" customHeight="1" outlineLevel="2" x14ac:dyDescent="0.35">
      <c r="A18" s="2" t="str">
        <f>$E$2</f>
        <v>CC451B</v>
      </c>
      <c r="B18" s="1">
        <v>2</v>
      </c>
      <c r="C18" s="1" t="s">
        <v>19</v>
      </c>
      <c r="D18" s="2" t="s">
        <v>30</v>
      </c>
      <c r="E18" s="6" t="s">
        <v>2</v>
      </c>
      <c r="F18" s="7" t="s">
        <v>60</v>
      </c>
      <c r="G18" s="2" t="s">
        <v>396</v>
      </c>
      <c r="I18" s="2" t="s">
        <v>395</v>
      </c>
      <c r="J18" s="2" t="s">
        <v>394</v>
      </c>
      <c r="M18" s="2" t="s">
        <v>61</v>
      </c>
      <c r="P18" s="2" t="s">
        <v>62</v>
      </c>
      <c r="Q18" s="1" t="str">
        <f>IF($B18=0,$M18,_xlfn.TEXTBEFORE(Q17,"/",$B18,,,Q17)&amp;"/"&amp;$M18)&amp;IF(_xlfn.TEXTAFTER($D18,"..",,,,1)&lt;&gt;"1","[0]","")</f>
        <v>*/Authorisation[0]/type</v>
      </c>
    </row>
    <row r="19" spans="1:17" ht="12" customHeight="1" outlineLevel="2" x14ac:dyDescent="0.35">
      <c r="A19" s="2" t="str">
        <f>$E$2</f>
        <v>CC451B</v>
      </c>
      <c r="B19" s="1">
        <v>2</v>
      </c>
      <c r="C19" s="1" t="s">
        <v>19</v>
      </c>
      <c r="D19" s="2" t="s">
        <v>25</v>
      </c>
      <c r="E19" s="6" t="s">
        <v>63</v>
      </c>
      <c r="F19" s="7" t="s">
        <v>834</v>
      </c>
      <c r="G19" s="2" t="s">
        <v>27</v>
      </c>
      <c r="M19" s="2" t="s">
        <v>65</v>
      </c>
      <c r="P19" s="2" t="s">
        <v>66</v>
      </c>
      <c r="Q19" s="1" t="str">
        <f>IF($B19=0,$M19,_xlfn.TEXTBEFORE(Q18,"/",$B19,,,Q18)&amp;"/"&amp;$M19)&amp;IF(_xlfn.TEXTAFTER($D19,"..",,,,1)&lt;&gt;"1","[0]","")</f>
        <v>*/Authorisation[0]/referenceNumber</v>
      </c>
    </row>
    <row r="20" spans="1:17" ht="12" customHeight="1" outlineLevel="2" x14ac:dyDescent="0.35">
      <c r="A20" s="2" t="str">
        <f>$E$2</f>
        <v>CC451B</v>
      </c>
      <c r="B20" s="1">
        <v>2</v>
      </c>
      <c r="C20" s="1" t="s">
        <v>19</v>
      </c>
      <c r="D20" s="2" t="s">
        <v>30</v>
      </c>
      <c r="E20" s="6" t="s">
        <v>67</v>
      </c>
      <c r="F20" s="7" t="s">
        <v>68</v>
      </c>
      <c r="G20" s="2" t="s">
        <v>396</v>
      </c>
      <c r="H20" s="2" t="s">
        <v>397</v>
      </c>
      <c r="I20" s="2" t="s">
        <v>398</v>
      </c>
      <c r="M20" s="2" t="s">
        <v>69</v>
      </c>
      <c r="P20" s="2" t="s">
        <v>70</v>
      </c>
      <c r="Q20" s="1" t="str">
        <f>IF($B20=0,$M20,_xlfn.TEXTBEFORE(Q19,"/",$B20,,,Q19)&amp;"/"&amp;$M20)&amp;IF(_xlfn.TEXTAFTER($D20,"..",,,,1)&lt;&gt;"1","[0]","")</f>
        <v>*/Authorisation[0]/holderOfTheAuthorisation</v>
      </c>
    </row>
    <row r="21" spans="1:17" ht="12" customHeight="1" outlineLevel="1" x14ac:dyDescent="0.35">
      <c r="A21" s="3" t="str">
        <f>$E$2</f>
        <v>CC451B</v>
      </c>
      <c r="B21" s="4">
        <v>1</v>
      </c>
      <c r="C21" s="3" t="s">
        <v>24</v>
      </c>
      <c r="D21" s="3" t="s">
        <v>30</v>
      </c>
      <c r="E21" s="5" t="s">
        <v>71</v>
      </c>
      <c r="F21" s="4"/>
      <c r="G21" s="3" t="s">
        <v>22</v>
      </c>
      <c r="H21" s="4"/>
      <c r="I21" s="4"/>
      <c r="J21" s="4"/>
      <c r="K21" s="4"/>
      <c r="L21" s="4"/>
      <c r="M21" s="3" t="s">
        <v>72</v>
      </c>
      <c r="N21" s="4"/>
      <c r="O21" s="4"/>
      <c r="P21" s="3" t="s">
        <v>73</v>
      </c>
      <c r="Q21" s="1" t="str">
        <f>IF($B21=0,$M21,_xlfn.TEXTBEFORE(Q20,"/",$B21,,,Q20)&amp;"/"&amp;$M21)&amp;IF(_xlfn.TEXTAFTER($D21,"..",,,,1)&lt;&gt;"1","[0]","")</f>
        <v>*/CustomsOfficeOfPresentation</v>
      </c>
    </row>
    <row r="22" spans="1:17" ht="12" customHeight="1" outlineLevel="2" x14ac:dyDescent="0.35">
      <c r="A22" s="2" t="str">
        <f>$E$2</f>
        <v>CC451B</v>
      </c>
      <c r="B22" s="1">
        <v>2</v>
      </c>
      <c r="C22" s="1" t="s">
        <v>19</v>
      </c>
      <c r="D22" s="2" t="s">
        <v>25</v>
      </c>
      <c r="E22" s="6" t="s">
        <v>63</v>
      </c>
      <c r="F22" s="7" t="s">
        <v>74</v>
      </c>
      <c r="G22" s="2" t="s">
        <v>27</v>
      </c>
      <c r="J22" s="2" t="s">
        <v>399</v>
      </c>
      <c r="M22" s="2" t="s">
        <v>65</v>
      </c>
      <c r="P22" s="2" t="s">
        <v>75</v>
      </c>
      <c r="Q22" s="1" t="str">
        <f>IF($B22=0,$M22,_xlfn.TEXTBEFORE(Q21,"/",$B22,,,Q21)&amp;"/"&amp;$M22)&amp;IF(_xlfn.TEXTAFTER($D22,"..",,,,1)&lt;&gt;"1","[0]","")</f>
        <v>*/CustomsOfficeOfPresentation/referenceNumber</v>
      </c>
    </row>
    <row r="23" spans="1:17" ht="12" customHeight="1" outlineLevel="1" x14ac:dyDescent="0.35">
      <c r="A23" s="3" t="str">
        <f>$E$2</f>
        <v>CC451B</v>
      </c>
      <c r="B23" s="4">
        <v>1</v>
      </c>
      <c r="C23" s="3" t="s">
        <v>24</v>
      </c>
      <c r="D23" s="3" t="s">
        <v>30</v>
      </c>
      <c r="E23" s="5" t="s">
        <v>76</v>
      </c>
      <c r="F23" s="4"/>
      <c r="G23" s="3" t="s">
        <v>22</v>
      </c>
      <c r="H23" s="3" t="s">
        <v>400</v>
      </c>
      <c r="I23" s="4"/>
      <c r="J23" s="4"/>
      <c r="K23" s="4"/>
      <c r="L23" s="4"/>
      <c r="M23" s="3" t="s">
        <v>77</v>
      </c>
      <c r="N23" s="4"/>
      <c r="O23" s="4"/>
      <c r="P23" s="3" t="s">
        <v>78</v>
      </c>
      <c r="Q23" s="1" t="str">
        <f>IF($B23=0,$M23,_xlfn.TEXTBEFORE(Q22,"/",$B23,,,Q22)&amp;"/"&amp;$M23)&amp;IF(_xlfn.TEXTAFTER($D23,"..",,,,1)&lt;&gt;"1","[0]","")</f>
        <v>*/SupervisingCustomsOffice</v>
      </c>
    </row>
    <row r="24" spans="1:17" ht="12" customHeight="1" outlineLevel="2" x14ac:dyDescent="0.35">
      <c r="A24" s="2" t="str">
        <f>$E$2</f>
        <v>CC451B</v>
      </c>
      <c r="B24" s="1">
        <v>2</v>
      </c>
      <c r="C24" s="1" t="s">
        <v>19</v>
      </c>
      <c r="D24" s="2" t="s">
        <v>25</v>
      </c>
      <c r="E24" s="6" t="s">
        <v>63</v>
      </c>
      <c r="F24" s="7" t="s">
        <v>74</v>
      </c>
      <c r="G24" s="2" t="s">
        <v>27</v>
      </c>
      <c r="J24" s="2" t="s">
        <v>399</v>
      </c>
      <c r="M24" s="2" t="s">
        <v>65</v>
      </c>
      <c r="P24" s="2" t="s">
        <v>75</v>
      </c>
      <c r="Q24" s="1" t="str">
        <f>IF($B24=0,$M24,_xlfn.TEXTBEFORE(Q23,"/",$B24,,,Q23)&amp;"/"&amp;$M24)&amp;IF(_xlfn.TEXTAFTER($D24,"..",,,,1)&lt;&gt;"1","[0]","")</f>
        <v>*/SupervisingCustomsOffice/referenceNumber</v>
      </c>
    </row>
    <row r="25" spans="1:17" ht="12" customHeight="1" outlineLevel="1" x14ac:dyDescent="0.35">
      <c r="A25" s="3" t="str">
        <f>$E$2</f>
        <v>CC451B</v>
      </c>
      <c r="B25" s="4">
        <v>1</v>
      </c>
      <c r="C25" s="3" t="s">
        <v>24</v>
      </c>
      <c r="D25" s="3" t="s">
        <v>30</v>
      </c>
      <c r="E25" s="5" t="s">
        <v>79</v>
      </c>
      <c r="F25" s="4"/>
      <c r="G25" s="3" t="s">
        <v>396</v>
      </c>
      <c r="H25" s="4"/>
      <c r="I25" s="3" t="s">
        <v>1264</v>
      </c>
      <c r="J25" s="4"/>
      <c r="K25" s="4"/>
      <c r="L25" s="4"/>
      <c r="M25" s="3" t="s">
        <v>79</v>
      </c>
      <c r="N25" s="4"/>
      <c r="O25" s="4"/>
      <c r="P25" s="3" t="s">
        <v>80</v>
      </c>
      <c r="Q25" s="1" t="str">
        <f>IF($B25=0,$M25,_xlfn.TEXTBEFORE(Q24,"/",$B25,,,Q24)&amp;"/"&amp;$M25)&amp;IF(_xlfn.TEXTAFTER($D25,"..",,,,1)&lt;&gt;"1","[0]","")</f>
        <v>*/Importer</v>
      </c>
    </row>
    <row r="26" spans="1:17" ht="12" customHeight="1" outlineLevel="2" x14ac:dyDescent="0.35">
      <c r="A26" s="2" t="str">
        <f>$E$2</f>
        <v>CC451B</v>
      </c>
      <c r="B26" s="1">
        <v>2</v>
      </c>
      <c r="C26" s="1" t="s">
        <v>19</v>
      </c>
      <c r="D26" s="2" t="s">
        <v>30</v>
      </c>
      <c r="E26" s="6" t="s">
        <v>81</v>
      </c>
      <c r="F26" s="7" t="s">
        <v>68</v>
      </c>
      <c r="G26" s="2" t="s">
        <v>22</v>
      </c>
      <c r="H26" s="2" t="s">
        <v>397</v>
      </c>
      <c r="M26" s="2" t="s">
        <v>82</v>
      </c>
      <c r="P26" s="2" t="s">
        <v>70</v>
      </c>
      <c r="Q26" s="1" t="str">
        <f>IF($B26=0,$M26,_xlfn.TEXTBEFORE(Q25,"/",$B26,,,Q25)&amp;"/"&amp;$M26)&amp;IF(_xlfn.TEXTAFTER($D26,"..",,,,1)&lt;&gt;"1","[0]","")</f>
        <v>*/Importer/identificationNumber</v>
      </c>
    </row>
    <row r="27" spans="1:17" ht="12" customHeight="1" outlineLevel="2" x14ac:dyDescent="0.35">
      <c r="A27" s="2" t="str">
        <f>$E$2</f>
        <v>CC451B</v>
      </c>
      <c r="B27" s="1">
        <v>2</v>
      </c>
      <c r="C27" s="1" t="s">
        <v>19</v>
      </c>
      <c r="D27" s="2" t="s">
        <v>30</v>
      </c>
      <c r="E27" s="6" t="s">
        <v>4</v>
      </c>
      <c r="F27" s="7" t="s">
        <v>83</v>
      </c>
      <c r="G27" s="2" t="s">
        <v>396</v>
      </c>
      <c r="I27" s="2" t="s">
        <v>401</v>
      </c>
      <c r="M27" s="2" t="s">
        <v>84</v>
      </c>
      <c r="P27" s="2" t="s">
        <v>85</v>
      </c>
      <c r="Q27" s="1" t="str">
        <f>IF($B27=0,$M27,_xlfn.TEXTBEFORE(Q26,"/",$B27,,,Q26)&amp;"/"&amp;$M27)&amp;IF(_xlfn.TEXTAFTER($D27,"..",,,,1)&lt;&gt;"1","[0]","")</f>
        <v>*/Importer/name</v>
      </c>
    </row>
    <row r="28" spans="1:17" ht="12" customHeight="1" outlineLevel="2" x14ac:dyDescent="0.35">
      <c r="A28" s="3" t="str">
        <f>$E$2</f>
        <v>CC451B</v>
      </c>
      <c r="B28" s="4">
        <v>2</v>
      </c>
      <c r="C28" s="3" t="s">
        <v>24</v>
      </c>
      <c r="D28" s="3" t="s">
        <v>30</v>
      </c>
      <c r="E28" s="8" t="s">
        <v>86</v>
      </c>
      <c r="F28" s="4"/>
      <c r="G28" s="3" t="s">
        <v>396</v>
      </c>
      <c r="H28" s="4"/>
      <c r="I28" s="3" t="s">
        <v>401</v>
      </c>
      <c r="J28" s="4"/>
      <c r="K28" s="4"/>
      <c r="L28" s="4"/>
      <c r="M28" s="3" t="s">
        <v>86</v>
      </c>
      <c r="N28" s="4"/>
      <c r="O28" s="4"/>
      <c r="P28" s="3" t="s">
        <v>87</v>
      </c>
      <c r="Q28" s="1" t="str">
        <f>IF($B28=0,$M28,_xlfn.TEXTBEFORE(Q27,"/",$B28,,,Q27)&amp;"/"&amp;$M28)&amp;IF(_xlfn.TEXTAFTER($D28,"..",,,,1)&lt;&gt;"1","[0]","")</f>
        <v>*/Importer/Address</v>
      </c>
    </row>
    <row r="29" spans="1:17" ht="12" customHeight="1" outlineLevel="3" x14ac:dyDescent="0.35">
      <c r="A29" s="2" t="str">
        <f>$E$2</f>
        <v>CC451B</v>
      </c>
      <c r="B29" s="1">
        <v>3</v>
      </c>
      <c r="C29" s="1" t="s">
        <v>19</v>
      </c>
      <c r="D29" s="2" t="s">
        <v>25</v>
      </c>
      <c r="E29" s="9" t="s">
        <v>88</v>
      </c>
      <c r="F29" s="7" t="s">
        <v>83</v>
      </c>
      <c r="G29" s="2" t="s">
        <v>27</v>
      </c>
      <c r="M29" s="2" t="s">
        <v>89</v>
      </c>
      <c r="P29" s="2" t="s">
        <v>90</v>
      </c>
      <c r="Q29" s="1" t="str">
        <f>IF($B29=0,$M29,_xlfn.TEXTBEFORE(Q28,"/",$B29,,,Q28)&amp;"/"&amp;$M29)&amp;IF(_xlfn.TEXTAFTER($D29,"..",,,,1)&lt;&gt;"1","[0]","")</f>
        <v>*/Importer/Address/streetAndNumber</v>
      </c>
    </row>
    <row r="30" spans="1:17" ht="12" customHeight="1" outlineLevel="3" x14ac:dyDescent="0.35">
      <c r="A30" s="2" t="str">
        <f>$E$2</f>
        <v>CC451B</v>
      </c>
      <c r="B30" s="1">
        <v>3</v>
      </c>
      <c r="C30" s="1" t="s">
        <v>19</v>
      </c>
      <c r="D30" s="2" t="s">
        <v>30</v>
      </c>
      <c r="E30" s="9" t="s">
        <v>91</v>
      </c>
      <c r="F30" s="7" t="s">
        <v>92</v>
      </c>
      <c r="G30" s="2" t="s">
        <v>396</v>
      </c>
      <c r="I30" s="2" t="s">
        <v>402</v>
      </c>
      <c r="M30" s="2" t="s">
        <v>93</v>
      </c>
      <c r="P30" s="2" t="s">
        <v>94</v>
      </c>
      <c r="Q30" s="1" t="str">
        <f>IF($B30=0,$M30,_xlfn.TEXTBEFORE(Q29,"/",$B30,,,Q29)&amp;"/"&amp;$M30)&amp;IF(_xlfn.TEXTAFTER($D30,"..",,,,1)&lt;&gt;"1","[0]","")</f>
        <v>*/Importer/Address/postcode</v>
      </c>
    </row>
    <row r="31" spans="1:17" ht="12" customHeight="1" outlineLevel="3" x14ac:dyDescent="0.35">
      <c r="A31" s="2" t="str">
        <f>$E$2</f>
        <v>CC451B</v>
      </c>
      <c r="B31" s="1">
        <v>3</v>
      </c>
      <c r="C31" s="1" t="s">
        <v>19</v>
      </c>
      <c r="D31" s="2" t="s">
        <v>25</v>
      </c>
      <c r="E31" s="9" t="s">
        <v>95</v>
      </c>
      <c r="F31" s="7" t="s">
        <v>96</v>
      </c>
      <c r="G31" s="2" t="s">
        <v>27</v>
      </c>
      <c r="M31" s="2" t="s">
        <v>97</v>
      </c>
      <c r="P31" s="2" t="s">
        <v>98</v>
      </c>
      <c r="Q31" s="1" t="str">
        <f>IF($B31=0,$M31,_xlfn.TEXTBEFORE(Q30,"/",$B31,,,Q30)&amp;"/"&amp;$M31)&amp;IF(_xlfn.TEXTAFTER($D31,"..",,,,1)&lt;&gt;"1","[0]","")</f>
        <v>*/Importer/Address/city</v>
      </c>
    </row>
    <row r="32" spans="1:17" ht="12" customHeight="1" outlineLevel="3" x14ac:dyDescent="0.35">
      <c r="A32" s="2" t="str">
        <f>$E$2</f>
        <v>CC451B</v>
      </c>
      <c r="B32" s="1">
        <v>3</v>
      </c>
      <c r="C32" s="1" t="s">
        <v>19</v>
      </c>
      <c r="D32" s="2" t="s">
        <v>25</v>
      </c>
      <c r="E32" s="9" t="s">
        <v>99</v>
      </c>
      <c r="F32" s="7" t="s">
        <v>50</v>
      </c>
      <c r="G32" s="2" t="s">
        <v>27</v>
      </c>
      <c r="J32" s="2" t="s">
        <v>403</v>
      </c>
      <c r="M32" s="2" t="s">
        <v>100</v>
      </c>
      <c r="P32" s="2" t="s">
        <v>52</v>
      </c>
      <c r="Q32" s="1" t="str">
        <f>IF($B32=0,$M32,_xlfn.TEXTBEFORE(Q31,"/",$B32,,,Q31)&amp;"/"&amp;$M32)&amp;IF(_xlfn.TEXTAFTER($D32,"..",,,,1)&lt;&gt;"1","[0]","")</f>
        <v>*/Importer/Address/country</v>
      </c>
    </row>
    <row r="33" spans="1:17" ht="12" customHeight="1" outlineLevel="1" x14ac:dyDescent="0.35">
      <c r="A33" s="3" t="str">
        <f>$E$2</f>
        <v>CC451B</v>
      </c>
      <c r="B33" s="4">
        <v>1</v>
      </c>
      <c r="C33" s="3" t="s">
        <v>24</v>
      </c>
      <c r="D33" s="3" t="s">
        <v>25</v>
      </c>
      <c r="E33" s="5" t="s">
        <v>101</v>
      </c>
      <c r="F33" s="4"/>
      <c r="G33" s="3" t="s">
        <v>27</v>
      </c>
      <c r="H33" s="4"/>
      <c r="I33" s="4"/>
      <c r="J33" s="4"/>
      <c r="K33" s="4"/>
      <c r="L33" s="4"/>
      <c r="M33" s="3" t="s">
        <v>101</v>
      </c>
      <c r="N33" s="4"/>
      <c r="O33" s="4"/>
      <c r="P33" s="3" t="s">
        <v>1496</v>
      </c>
      <c r="Q33" s="1" t="str">
        <f>IF($B33=0,$M33,_xlfn.TEXTBEFORE(Q32,"/",$B33,,,Q32)&amp;"/"&amp;$M33)&amp;IF(_xlfn.TEXTAFTER($D33,"..",,,,1)&lt;&gt;"1","[0]","")</f>
        <v>*/Declarant</v>
      </c>
    </row>
    <row r="34" spans="1:17" ht="12" customHeight="1" outlineLevel="2" x14ac:dyDescent="0.35">
      <c r="A34" s="2" t="str">
        <f>$E$2</f>
        <v>CC451B</v>
      </c>
      <c r="B34" s="1">
        <v>2</v>
      </c>
      <c r="C34" s="1" t="s">
        <v>19</v>
      </c>
      <c r="D34" s="2" t="s">
        <v>25</v>
      </c>
      <c r="E34" s="6" t="s">
        <v>81</v>
      </c>
      <c r="F34" s="7" t="s">
        <v>68</v>
      </c>
      <c r="G34" s="2" t="s">
        <v>27</v>
      </c>
      <c r="H34" s="2" t="s">
        <v>397</v>
      </c>
      <c r="M34" s="2" t="s">
        <v>82</v>
      </c>
      <c r="P34" s="2" t="s">
        <v>70</v>
      </c>
      <c r="Q34" s="1" t="str">
        <f>IF($B34=0,$M34,_xlfn.TEXTBEFORE(Q33,"/",$B34,,,Q33)&amp;"/"&amp;$M34)&amp;IF(_xlfn.TEXTAFTER($D34,"..",,,,1)&lt;&gt;"1","[0]","")</f>
        <v>*/Declarant/identificationNumber</v>
      </c>
    </row>
    <row r="35" spans="1:17" ht="12" customHeight="1" outlineLevel="2" x14ac:dyDescent="0.35">
      <c r="A35" s="2" t="str">
        <f>$E$2</f>
        <v>CC451B</v>
      </c>
      <c r="B35" s="1">
        <v>2</v>
      </c>
      <c r="C35" s="1" t="s">
        <v>19</v>
      </c>
      <c r="D35" s="2" t="s">
        <v>30</v>
      </c>
      <c r="E35" s="6" t="s">
        <v>4</v>
      </c>
      <c r="F35" s="7" t="s">
        <v>83</v>
      </c>
      <c r="G35" s="2" t="s">
        <v>396</v>
      </c>
      <c r="I35" s="2" t="s">
        <v>401</v>
      </c>
      <c r="M35" s="2" t="s">
        <v>84</v>
      </c>
      <c r="P35" s="2" t="s">
        <v>85</v>
      </c>
      <c r="Q35" s="1" t="str">
        <f>IF($B35=0,$M35,_xlfn.TEXTBEFORE(Q34,"/",$B35,,,Q34)&amp;"/"&amp;$M35)&amp;IF(_xlfn.TEXTAFTER($D35,"..",,,,1)&lt;&gt;"1","[0]","")</f>
        <v>*/Declarant/name</v>
      </c>
    </row>
    <row r="36" spans="1:17" ht="12" customHeight="1" outlineLevel="2" x14ac:dyDescent="0.35">
      <c r="A36" s="3" t="str">
        <f>$E$2</f>
        <v>CC451B</v>
      </c>
      <c r="B36" s="4">
        <v>2</v>
      </c>
      <c r="C36" s="3" t="s">
        <v>24</v>
      </c>
      <c r="D36" s="3" t="s">
        <v>30</v>
      </c>
      <c r="E36" s="8" t="s">
        <v>86</v>
      </c>
      <c r="F36" s="4"/>
      <c r="G36" s="3" t="s">
        <v>396</v>
      </c>
      <c r="H36" s="4"/>
      <c r="I36" s="3" t="s">
        <v>401</v>
      </c>
      <c r="J36" s="4"/>
      <c r="K36" s="4"/>
      <c r="L36" s="4"/>
      <c r="M36" s="3" t="s">
        <v>86</v>
      </c>
      <c r="N36" s="4"/>
      <c r="O36" s="4"/>
      <c r="P36" s="3" t="s">
        <v>87</v>
      </c>
      <c r="Q36" s="1" t="str">
        <f>IF($B36=0,$M36,_xlfn.TEXTBEFORE(Q35,"/",$B36,,,Q35)&amp;"/"&amp;$M36)&amp;IF(_xlfn.TEXTAFTER($D36,"..",,,,1)&lt;&gt;"1","[0]","")</f>
        <v>*/Declarant/Address</v>
      </c>
    </row>
    <row r="37" spans="1:17" ht="12" customHeight="1" outlineLevel="3" x14ac:dyDescent="0.35">
      <c r="A37" s="2" t="str">
        <f>$E$2</f>
        <v>CC451B</v>
      </c>
      <c r="B37" s="1">
        <v>3</v>
      </c>
      <c r="C37" s="1" t="s">
        <v>19</v>
      </c>
      <c r="D37" s="2" t="s">
        <v>25</v>
      </c>
      <c r="E37" s="9" t="s">
        <v>88</v>
      </c>
      <c r="F37" s="7" t="s">
        <v>83</v>
      </c>
      <c r="G37" s="2" t="s">
        <v>27</v>
      </c>
      <c r="M37" s="2" t="s">
        <v>89</v>
      </c>
      <c r="P37" s="2" t="s">
        <v>90</v>
      </c>
      <c r="Q37" s="1" t="str">
        <f>IF($B37=0,$M37,_xlfn.TEXTBEFORE(Q36,"/",$B37,,,Q36)&amp;"/"&amp;$M37)&amp;IF(_xlfn.TEXTAFTER($D37,"..",,,,1)&lt;&gt;"1","[0]","")</f>
        <v>*/Declarant/Address/streetAndNumber</v>
      </c>
    </row>
    <row r="38" spans="1:17" ht="12" customHeight="1" outlineLevel="3" x14ac:dyDescent="0.35">
      <c r="A38" s="2" t="str">
        <f>$E$2</f>
        <v>CC451B</v>
      </c>
      <c r="B38" s="1">
        <v>3</v>
      </c>
      <c r="C38" s="1" t="s">
        <v>19</v>
      </c>
      <c r="D38" s="2" t="s">
        <v>30</v>
      </c>
      <c r="E38" s="9" t="s">
        <v>91</v>
      </c>
      <c r="F38" s="7" t="s">
        <v>92</v>
      </c>
      <c r="G38" s="2" t="s">
        <v>396</v>
      </c>
      <c r="I38" s="2" t="s">
        <v>402</v>
      </c>
      <c r="M38" s="2" t="s">
        <v>93</v>
      </c>
      <c r="P38" s="2" t="s">
        <v>94</v>
      </c>
      <c r="Q38" s="1" t="str">
        <f>IF($B38=0,$M38,_xlfn.TEXTBEFORE(Q37,"/",$B38,,,Q37)&amp;"/"&amp;$M38)&amp;IF(_xlfn.TEXTAFTER($D38,"..",,,,1)&lt;&gt;"1","[0]","")</f>
        <v>*/Declarant/Address/postcode</v>
      </c>
    </row>
    <row r="39" spans="1:17" ht="12" customHeight="1" outlineLevel="3" x14ac:dyDescent="0.35">
      <c r="A39" s="2" t="str">
        <f>$E$2</f>
        <v>CC451B</v>
      </c>
      <c r="B39" s="1">
        <v>3</v>
      </c>
      <c r="C39" s="1" t="s">
        <v>19</v>
      </c>
      <c r="D39" s="2" t="s">
        <v>25</v>
      </c>
      <c r="E39" s="9" t="s">
        <v>95</v>
      </c>
      <c r="F39" s="7" t="s">
        <v>96</v>
      </c>
      <c r="G39" s="2" t="s">
        <v>27</v>
      </c>
      <c r="M39" s="2" t="s">
        <v>97</v>
      </c>
      <c r="P39" s="2" t="s">
        <v>98</v>
      </c>
      <c r="Q39" s="1" t="str">
        <f>IF($B39=0,$M39,_xlfn.TEXTBEFORE(Q38,"/",$B39,,,Q38)&amp;"/"&amp;$M39)&amp;IF(_xlfn.TEXTAFTER($D39,"..",,,,1)&lt;&gt;"1","[0]","")</f>
        <v>*/Declarant/Address/city</v>
      </c>
    </row>
    <row r="40" spans="1:17" ht="12" customHeight="1" outlineLevel="3" x14ac:dyDescent="0.35">
      <c r="A40" s="2" t="str">
        <f>$E$2</f>
        <v>CC451B</v>
      </c>
      <c r="B40" s="1">
        <v>3</v>
      </c>
      <c r="C40" s="1" t="s">
        <v>19</v>
      </c>
      <c r="D40" s="2" t="s">
        <v>25</v>
      </c>
      <c r="E40" s="9" t="s">
        <v>99</v>
      </c>
      <c r="F40" s="7" t="s">
        <v>50</v>
      </c>
      <c r="G40" s="2" t="s">
        <v>27</v>
      </c>
      <c r="J40" s="2" t="s">
        <v>403</v>
      </c>
      <c r="M40" s="2" t="s">
        <v>100</v>
      </c>
      <c r="P40" s="2" t="s">
        <v>52</v>
      </c>
      <c r="Q40" s="1" t="str">
        <f>IF($B40=0,$M40,_xlfn.TEXTBEFORE(Q39,"/",$B40,,,Q39)&amp;"/"&amp;$M40)&amp;IF(_xlfn.TEXTAFTER($D40,"..",,,,1)&lt;&gt;"1","[0]","")</f>
        <v>*/Declarant/Address/country</v>
      </c>
    </row>
    <row r="41" spans="1:17" ht="12" customHeight="1" outlineLevel="2" x14ac:dyDescent="0.35">
      <c r="A41" s="3" t="str">
        <f>$E$2</f>
        <v>CC451B</v>
      </c>
      <c r="B41" s="4">
        <v>2</v>
      </c>
      <c r="C41" s="3" t="s">
        <v>24</v>
      </c>
      <c r="D41" s="3" t="s">
        <v>30</v>
      </c>
      <c r="E41" s="8" t="s">
        <v>105</v>
      </c>
      <c r="F41" s="4"/>
      <c r="G41" s="3" t="s">
        <v>22</v>
      </c>
      <c r="H41" s="3" t="s">
        <v>409</v>
      </c>
      <c r="I41" s="4"/>
      <c r="J41" s="4"/>
      <c r="K41" s="4"/>
      <c r="L41" s="4"/>
      <c r="M41" s="3" t="s">
        <v>106</v>
      </c>
      <c r="N41" s="4"/>
      <c r="O41" s="4"/>
      <c r="P41" s="3" t="s">
        <v>107</v>
      </c>
      <c r="Q41" s="1" t="str">
        <f>IF($B41=0,$M41,_xlfn.TEXTBEFORE(Q40,"/",$B41,,,Q40)&amp;"/"&amp;$M41)&amp;IF(_xlfn.TEXTAFTER($D41,"..",,,,1)&lt;&gt;"1","[0]","")</f>
        <v>*/Declarant/ContactPerson</v>
      </c>
    </row>
    <row r="42" spans="1:17" ht="12" customHeight="1" outlineLevel="3" x14ac:dyDescent="0.35">
      <c r="A42" s="2" t="str">
        <f>$E$2</f>
        <v>CC451B</v>
      </c>
      <c r="B42" s="1">
        <v>3</v>
      </c>
      <c r="C42" s="1" t="s">
        <v>19</v>
      </c>
      <c r="D42" s="2" t="s">
        <v>25</v>
      </c>
      <c r="E42" s="9" t="s">
        <v>4</v>
      </c>
      <c r="F42" s="7" t="s">
        <v>83</v>
      </c>
      <c r="G42" s="2" t="s">
        <v>27</v>
      </c>
      <c r="M42" s="2" t="s">
        <v>84</v>
      </c>
      <c r="P42" s="2" t="s">
        <v>85</v>
      </c>
      <c r="Q42" s="1" t="str">
        <f>IF($B42=0,$M42,_xlfn.TEXTBEFORE(Q41,"/",$B42,,,Q41)&amp;"/"&amp;$M42)&amp;IF(_xlfn.TEXTAFTER($D42,"..",,,,1)&lt;&gt;"1","[0]","")</f>
        <v>*/Declarant/ContactPerson/name</v>
      </c>
    </row>
    <row r="43" spans="1:17" ht="12" customHeight="1" outlineLevel="3" x14ac:dyDescent="0.35">
      <c r="A43" s="2" t="str">
        <f>$E$2</f>
        <v>CC451B</v>
      </c>
      <c r="B43" s="1">
        <v>3</v>
      </c>
      <c r="C43" s="1" t="s">
        <v>19</v>
      </c>
      <c r="D43" s="2" t="s">
        <v>25</v>
      </c>
      <c r="E43" s="9" t="s">
        <v>108</v>
      </c>
      <c r="F43" s="7" t="s">
        <v>96</v>
      </c>
      <c r="G43" s="2" t="s">
        <v>27</v>
      </c>
      <c r="M43" s="2" t="s">
        <v>109</v>
      </c>
      <c r="P43" s="2" t="s">
        <v>110</v>
      </c>
      <c r="Q43" s="1" t="str">
        <f>IF($B43=0,$M43,_xlfn.TEXTBEFORE(Q42,"/",$B43,,,Q42)&amp;"/"&amp;$M43)&amp;IF(_xlfn.TEXTAFTER($D43,"..",,,,1)&lt;&gt;"1","[0]","")</f>
        <v>*/Declarant/ContactPerson/phoneNumber</v>
      </c>
    </row>
    <row r="44" spans="1:17" ht="12" customHeight="1" outlineLevel="3" x14ac:dyDescent="0.35">
      <c r="A44" s="2" t="str">
        <f>$E$2</f>
        <v>CC451B</v>
      </c>
      <c r="B44" s="1">
        <v>3</v>
      </c>
      <c r="C44" s="1" t="s">
        <v>19</v>
      </c>
      <c r="D44" s="2" t="s">
        <v>25</v>
      </c>
      <c r="E44" s="9" t="s">
        <v>111</v>
      </c>
      <c r="F44" s="7" t="s">
        <v>112</v>
      </c>
      <c r="G44" s="2" t="s">
        <v>27</v>
      </c>
      <c r="M44" s="2" t="s">
        <v>113</v>
      </c>
      <c r="P44" s="2" t="s">
        <v>114</v>
      </c>
      <c r="Q44" s="1" t="str">
        <f>IF($B44=0,$M44,_xlfn.TEXTBEFORE(Q43,"/",$B44,,,Q43)&amp;"/"&amp;$M44)&amp;IF(_xlfn.TEXTAFTER($D44,"..",,,,1)&lt;&gt;"1","[0]","")</f>
        <v>*/Declarant/ContactPerson/eMailAddress</v>
      </c>
    </row>
    <row r="45" spans="1:17" ht="12" customHeight="1" outlineLevel="1" x14ac:dyDescent="0.35">
      <c r="A45" s="3" t="str">
        <f>$E$2</f>
        <v>CC451B</v>
      </c>
      <c r="B45" s="4">
        <v>1</v>
      </c>
      <c r="C45" s="3" t="s">
        <v>24</v>
      </c>
      <c r="D45" s="3" t="s">
        <v>30</v>
      </c>
      <c r="E45" s="5" t="s">
        <v>115</v>
      </c>
      <c r="F45" s="4"/>
      <c r="G45" s="3" t="s">
        <v>396</v>
      </c>
      <c r="H45" s="3" t="s">
        <v>397</v>
      </c>
      <c r="I45" s="3" t="s">
        <v>404</v>
      </c>
      <c r="J45" s="4"/>
      <c r="K45" s="4"/>
      <c r="L45" s="4"/>
      <c r="M45" s="3" t="s">
        <v>116</v>
      </c>
      <c r="N45" s="4"/>
      <c r="O45" s="4"/>
      <c r="P45" s="3" t="s">
        <v>117</v>
      </c>
      <c r="Q45" s="1" t="str">
        <f>IF($B45=0,$M45,_xlfn.TEXTBEFORE(Q44,"/",$B45,,,Q44)&amp;"/"&amp;$M45)&amp;IF(_xlfn.TEXTAFTER($D45,"..",,,,1)&lt;&gt;"1","[0]","")</f>
        <v>*/PersonProvidingAGuarantee</v>
      </c>
    </row>
    <row r="46" spans="1:17" ht="12" customHeight="1" outlineLevel="2" x14ac:dyDescent="0.35">
      <c r="A46" s="2" t="str">
        <f>$E$2</f>
        <v>CC451B</v>
      </c>
      <c r="B46" s="1">
        <v>2</v>
      </c>
      <c r="C46" s="1" t="s">
        <v>19</v>
      </c>
      <c r="D46" s="2" t="s">
        <v>25</v>
      </c>
      <c r="E46" s="6" t="s">
        <v>81</v>
      </c>
      <c r="F46" s="7" t="s">
        <v>68</v>
      </c>
      <c r="G46" s="2" t="s">
        <v>27</v>
      </c>
      <c r="M46" s="2" t="s">
        <v>82</v>
      </c>
      <c r="P46" s="2" t="s">
        <v>70</v>
      </c>
      <c r="Q46" s="1" t="str">
        <f>IF($B46=0,$M46,_xlfn.TEXTBEFORE(Q45,"/",$B46,,,Q45)&amp;"/"&amp;$M46)&amp;IF(_xlfn.TEXTAFTER($D46,"..",,,,1)&lt;&gt;"1","[0]","")</f>
        <v>*/PersonProvidingAGuarantee/identificationNumber</v>
      </c>
    </row>
    <row r="47" spans="1:17" ht="12" customHeight="1" outlineLevel="1" x14ac:dyDescent="0.35">
      <c r="A47" s="3" t="str">
        <f>$E$2</f>
        <v>CC451B</v>
      </c>
      <c r="B47" s="4">
        <v>1</v>
      </c>
      <c r="C47" s="3" t="s">
        <v>24</v>
      </c>
      <c r="D47" s="3" t="s">
        <v>30</v>
      </c>
      <c r="E47" s="5" t="s">
        <v>118</v>
      </c>
      <c r="F47" s="4"/>
      <c r="G47" s="3" t="s">
        <v>396</v>
      </c>
      <c r="H47" s="3" t="s">
        <v>397</v>
      </c>
      <c r="I47" s="3" t="s">
        <v>405</v>
      </c>
      <c r="J47" s="4"/>
      <c r="K47" s="4"/>
      <c r="L47" s="4"/>
      <c r="M47" s="3" t="s">
        <v>119</v>
      </c>
      <c r="N47" s="4"/>
      <c r="O47" s="4"/>
      <c r="P47" s="3" t="s">
        <v>120</v>
      </c>
      <c r="Q47" s="1" t="str">
        <f>IF($B47=0,$M47,_xlfn.TEXTBEFORE(Q46,"/",$B47,,,Q46)&amp;"/"&amp;$M47)&amp;IF(_xlfn.TEXTAFTER($D47,"..",,,,1)&lt;&gt;"1","[0]","")</f>
        <v>*/PersonPayingCustomsDuty</v>
      </c>
    </row>
    <row r="48" spans="1:17" ht="12" customHeight="1" outlineLevel="2" x14ac:dyDescent="0.35">
      <c r="A48" s="2" t="str">
        <f>$E$2</f>
        <v>CC451B</v>
      </c>
      <c r="B48" s="1">
        <v>2</v>
      </c>
      <c r="C48" s="1" t="s">
        <v>19</v>
      </c>
      <c r="D48" s="2" t="s">
        <v>25</v>
      </c>
      <c r="E48" s="6" t="s">
        <v>81</v>
      </c>
      <c r="F48" s="7" t="s">
        <v>68</v>
      </c>
      <c r="G48" s="2" t="s">
        <v>27</v>
      </c>
      <c r="M48" s="2" t="s">
        <v>82</v>
      </c>
      <c r="P48" s="2" t="s">
        <v>70</v>
      </c>
      <c r="Q48" s="1" t="str">
        <f>IF($B48=0,$M48,_xlfn.TEXTBEFORE(Q47,"/",$B48,,,Q47)&amp;"/"&amp;$M48)&amp;IF(_xlfn.TEXTAFTER($D48,"..",,,,1)&lt;&gt;"1","[0]","")</f>
        <v>*/PersonPayingCustomsDuty/identificationNumber</v>
      </c>
    </row>
    <row r="49" spans="1:17" ht="12" customHeight="1" outlineLevel="1" x14ac:dyDescent="0.35">
      <c r="A49" s="3" t="str">
        <f>$E$2</f>
        <v>CC451B</v>
      </c>
      <c r="B49" s="4">
        <v>1</v>
      </c>
      <c r="C49" s="3" t="s">
        <v>24</v>
      </c>
      <c r="D49" s="3" t="s">
        <v>30</v>
      </c>
      <c r="E49" s="5" t="s">
        <v>121</v>
      </c>
      <c r="F49" s="4"/>
      <c r="G49" s="3" t="s">
        <v>22</v>
      </c>
      <c r="H49" s="4"/>
      <c r="I49" s="4"/>
      <c r="J49" s="4"/>
      <c r="K49" s="4"/>
      <c r="L49" s="4"/>
      <c r="M49" s="3" t="s">
        <v>121</v>
      </c>
      <c r="N49" s="4"/>
      <c r="O49" s="4"/>
      <c r="P49" s="3" t="s">
        <v>1240</v>
      </c>
      <c r="Q49" s="1" t="str">
        <f>IF($B49=0,$M49,_xlfn.TEXTBEFORE(Q48,"/",$B49,,,Q48)&amp;"/"&amp;$M49)&amp;IF(_xlfn.TEXTAFTER($D49,"..",,,,1)&lt;&gt;"1","[0]","")</f>
        <v>*/Representative</v>
      </c>
    </row>
    <row r="50" spans="1:17" ht="12" customHeight="1" outlineLevel="2" x14ac:dyDescent="0.35">
      <c r="A50" s="2" t="str">
        <f>$E$2</f>
        <v>CC451B</v>
      </c>
      <c r="B50" s="1">
        <v>2</v>
      </c>
      <c r="C50" s="1" t="s">
        <v>19</v>
      </c>
      <c r="D50" s="2" t="s">
        <v>25</v>
      </c>
      <c r="E50" s="6" t="s">
        <v>81</v>
      </c>
      <c r="F50" s="7" t="s">
        <v>68</v>
      </c>
      <c r="G50" s="2" t="s">
        <v>27</v>
      </c>
      <c r="H50" s="2" t="s">
        <v>788</v>
      </c>
      <c r="M50" s="2" t="s">
        <v>82</v>
      </c>
      <c r="P50" s="2" t="s">
        <v>70</v>
      </c>
      <c r="Q50" s="1" t="str">
        <f>IF($B50=0,$M50,_xlfn.TEXTBEFORE(Q49,"/",$B50,,,Q49)&amp;"/"&amp;$M50)&amp;IF(_xlfn.TEXTAFTER($D50,"..",,,,1)&lt;&gt;"1","[0]","")</f>
        <v>*/Representative/identificationNumber</v>
      </c>
    </row>
    <row r="51" spans="1:17" ht="12" customHeight="1" outlineLevel="2" x14ac:dyDescent="0.35">
      <c r="A51" s="2" t="str">
        <f>$E$2</f>
        <v>CC451B</v>
      </c>
      <c r="B51" s="1">
        <v>2</v>
      </c>
      <c r="C51" s="1" t="s">
        <v>19</v>
      </c>
      <c r="D51" s="2" t="s">
        <v>25</v>
      </c>
      <c r="E51" s="6" t="s">
        <v>6</v>
      </c>
      <c r="F51" s="7" t="s">
        <v>123</v>
      </c>
      <c r="G51" s="2" t="s">
        <v>27</v>
      </c>
      <c r="H51" s="2" t="s">
        <v>407</v>
      </c>
      <c r="J51" s="2" t="s">
        <v>408</v>
      </c>
      <c r="M51" s="2" t="s">
        <v>124</v>
      </c>
      <c r="P51" s="2" t="s">
        <v>125</v>
      </c>
      <c r="Q51" s="1" t="str">
        <f>IF($B51=0,$M51,_xlfn.TEXTBEFORE(Q50,"/",$B51,,,Q50)&amp;"/"&amp;$M51)&amp;IF(_xlfn.TEXTAFTER($D51,"..",,,,1)&lt;&gt;"1","[0]","")</f>
        <v>*/Representative/status</v>
      </c>
    </row>
    <row r="52" spans="1:17" ht="12" customHeight="1" outlineLevel="2" x14ac:dyDescent="0.35">
      <c r="A52" s="3" t="str">
        <f>$E$2</f>
        <v>CC451B</v>
      </c>
      <c r="B52" s="4">
        <v>2</v>
      </c>
      <c r="C52" s="3" t="s">
        <v>24</v>
      </c>
      <c r="D52" s="3" t="s">
        <v>30</v>
      </c>
      <c r="E52" s="8" t="s">
        <v>105</v>
      </c>
      <c r="F52" s="4"/>
      <c r="G52" s="3" t="s">
        <v>22</v>
      </c>
      <c r="H52" s="3" t="s">
        <v>409</v>
      </c>
      <c r="I52" s="4"/>
      <c r="J52" s="4"/>
      <c r="K52" s="4"/>
      <c r="L52" s="4"/>
      <c r="M52" s="3" t="s">
        <v>106</v>
      </c>
      <c r="N52" s="4"/>
      <c r="O52" s="4"/>
      <c r="P52" s="3" t="s">
        <v>107</v>
      </c>
      <c r="Q52" s="1" t="str">
        <f>IF($B52=0,$M52,_xlfn.TEXTBEFORE(Q51,"/",$B52,,,Q51)&amp;"/"&amp;$M52)&amp;IF(_xlfn.TEXTAFTER($D52,"..",,,,1)&lt;&gt;"1","[0]","")</f>
        <v>*/Representative/ContactPerson</v>
      </c>
    </row>
    <row r="53" spans="1:17" ht="12" customHeight="1" outlineLevel="3" x14ac:dyDescent="0.35">
      <c r="A53" s="2" t="str">
        <f>$E$2</f>
        <v>CC451B</v>
      </c>
      <c r="B53" s="1">
        <v>3</v>
      </c>
      <c r="C53" s="1" t="s">
        <v>19</v>
      </c>
      <c r="D53" s="2" t="s">
        <v>25</v>
      </c>
      <c r="E53" s="9" t="s">
        <v>4</v>
      </c>
      <c r="F53" s="7" t="s">
        <v>83</v>
      </c>
      <c r="G53" s="2" t="s">
        <v>27</v>
      </c>
      <c r="M53" s="2" t="s">
        <v>84</v>
      </c>
      <c r="P53" s="2" t="s">
        <v>85</v>
      </c>
      <c r="Q53" s="1" t="str">
        <f>IF($B53=0,$M53,_xlfn.TEXTBEFORE(Q52,"/",$B53,,,Q52)&amp;"/"&amp;$M53)&amp;IF(_xlfn.TEXTAFTER($D53,"..",,,,1)&lt;&gt;"1","[0]","")</f>
        <v>*/Representative/ContactPerson/name</v>
      </c>
    </row>
    <row r="54" spans="1:17" ht="12" customHeight="1" outlineLevel="3" x14ac:dyDescent="0.35">
      <c r="A54" s="2" t="str">
        <f>$E$2</f>
        <v>CC451B</v>
      </c>
      <c r="B54" s="1">
        <v>3</v>
      </c>
      <c r="C54" s="1" t="s">
        <v>19</v>
      </c>
      <c r="D54" s="2" t="s">
        <v>25</v>
      </c>
      <c r="E54" s="9" t="s">
        <v>108</v>
      </c>
      <c r="F54" s="7" t="s">
        <v>96</v>
      </c>
      <c r="G54" s="2" t="s">
        <v>27</v>
      </c>
      <c r="M54" s="2" t="s">
        <v>109</v>
      </c>
      <c r="P54" s="2" t="s">
        <v>110</v>
      </c>
      <c r="Q54" s="1" t="str">
        <f>IF($B54=0,$M54,_xlfn.TEXTBEFORE(Q53,"/",$B54,,,Q53)&amp;"/"&amp;$M54)&amp;IF(_xlfn.TEXTAFTER($D54,"..",,,,1)&lt;&gt;"1","[0]","")</f>
        <v>*/Representative/ContactPerson/phoneNumber</v>
      </c>
    </row>
    <row r="55" spans="1:17" ht="12" customHeight="1" outlineLevel="3" x14ac:dyDescent="0.35">
      <c r="A55" s="2" t="str">
        <f>$E$2</f>
        <v>CC451B</v>
      </c>
      <c r="B55" s="1">
        <v>3</v>
      </c>
      <c r="C55" s="1" t="s">
        <v>19</v>
      </c>
      <c r="D55" s="2" t="s">
        <v>25</v>
      </c>
      <c r="E55" s="9" t="s">
        <v>111</v>
      </c>
      <c r="F55" s="7" t="s">
        <v>112</v>
      </c>
      <c r="G55" s="2" t="s">
        <v>27</v>
      </c>
      <c r="M55" s="2" t="s">
        <v>113</v>
      </c>
      <c r="P55" s="2" t="s">
        <v>114</v>
      </c>
      <c r="Q55" s="1" t="str">
        <f>IF($B55=0,$M55,_xlfn.TEXTBEFORE(Q54,"/",$B55,,,Q54)&amp;"/"&amp;$M55)&amp;IF(_xlfn.TEXTAFTER($D55,"..",,,,1)&lt;&gt;"1","[0]","")</f>
        <v>*/Representative/ContactPerson/eMailAddress</v>
      </c>
    </row>
    <row r="56" spans="1:17" ht="12" customHeight="1" outlineLevel="1" x14ac:dyDescent="0.35">
      <c r="A56" s="3" t="str">
        <f>$E$2</f>
        <v>CC451B</v>
      </c>
      <c r="B56" s="4">
        <v>1</v>
      </c>
      <c r="C56" s="3" t="s">
        <v>24</v>
      </c>
      <c r="D56" s="3" t="s">
        <v>53</v>
      </c>
      <c r="E56" s="5" t="s">
        <v>126</v>
      </c>
      <c r="F56" s="4"/>
      <c r="G56" s="3" t="s">
        <v>396</v>
      </c>
      <c r="H56" s="3" t="s">
        <v>1269</v>
      </c>
      <c r="I56" s="16" t="s">
        <v>1407</v>
      </c>
      <c r="J56" s="4"/>
      <c r="K56" s="4"/>
      <c r="L56" s="4"/>
      <c r="M56" s="3" t="s">
        <v>126</v>
      </c>
      <c r="N56" s="4"/>
      <c r="O56" s="4"/>
      <c r="P56" s="3" t="s">
        <v>1497</v>
      </c>
      <c r="Q56" s="1" t="str">
        <f>IF($B56=0,$M56,_xlfn.TEXTBEFORE(Q55,"/",$B56,,,Q55)&amp;"/"&amp;$M56)&amp;IF(_xlfn.TEXTAFTER($D56,"..",,,,1)&lt;&gt;"1","[0]","")</f>
        <v>*/Guarantee[0]</v>
      </c>
    </row>
    <row r="57" spans="1:17" ht="12" customHeight="1" outlineLevel="2" x14ac:dyDescent="0.35">
      <c r="A57" s="2" t="str">
        <f>$E$2</f>
        <v>CC451B</v>
      </c>
      <c r="B57" s="1">
        <v>2</v>
      </c>
      <c r="C57" s="1" t="s">
        <v>19</v>
      </c>
      <c r="D57" s="2" t="s">
        <v>25</v>
      </c>
      <c r="E57" s="6" t="s">
        <v>56</v>
      </c>
      <c r="F57" s="7" t="s">
        <v>57</v>
      </c>
      <c r="G57" s="2" t="s">
        <v>27</v>
      </c>
      <c r="H57" s="2" t="s">
        <v>393</v>
      </c>
      <c r="M57" s="2" t="s">
        <v>58</v>
      </c>
      <c r="P57" s="2" t="s">
        <v>59</v>
      </c>
      <c r="Q57" s="1" t="str">
        <f>IF($B57=0,$M57,_xlfn.TEXTBEFORE(Q56,"/",$B57,,,Q56)&amp;"/"&amp;$M57)&amp;IF(_xlfn.TEXTAFTER($D57,"..",,,,1)&lt;&gt;"1","[0]","")</f>
        <v>*/Guarantee[0]/sequenceNumber</v>
      </c>
    </row>
    <row r="58" spans="1:17" ht="12" customHeight="1" outlineLevel="2" x14ac:dyDescent="0.35">
      <c r="A58" s="2" t="str">
        <f>$E$2</f>
        <v>CC451B</v>
      </c>
      <c r="B58" s="1">
        <v>2</v>
      </c>
      <c r="C58" s="1" t="s">
        <v>19</v>
      </c>
      <c r="D58" s="2" t="s">
        <v>25</v>
      </c>
      <c r="E58" s="6" t="s">
        <v>128</v>
      </c>
      <c r="F58" s="7" t="s">
        <v>129</v>
      </c>
      <c r="G58" s="2" t="s">
        <v>27</v>
      </c>
      <c r="J58" s="2" t="s">
        <v>412</v>
      </c>
      <c r="M58" s="2" t="s">
        <v>130</v>
      </c>
      <c r="P58" s="2" t="s">
        <v>131</v>
      </c>
      <c r="Q58" s="1" t="str">
        <f>IF($B58=0,$M58,_xlfn.TEXTBEFORE(Q57,"/",$B58,,,Q57)&amp;"/"&amp;$M58)&amp;IF(_xlfn.TEXTAFTER($D58,"..",,,,1)&lt;&gt;"1","[0]","")</f>
        <v>*/Guarantee[0]/guaranteeType</v>
      </c>
    </row>
    <row r="59" spans="1:17" ht="12" customHeight="1" outlineLevel="2" x14ac:dyDescent="0.35">
      <c r="A59" s="3" t="str">
        <f>$E$2</f>
        <v>CC451B</v>
      </c>
      <c r="B59" s="4">
        <v>2</v>
      </c>
      <c r="C59" s="3" t="s">
        <v>24</v>
      </c>
      <c r="D59" s="3" t="s">
        <v>134</v>
      </c>
      <c r="E59" s="8" t="s">
        <v>135</v>
      </c>
      <c r="F59" s="4"/>
      <c r="G59" s="3" t="s">
        <v>27</v>
      </c>
      <c r="H59" s="4"/>
      <c r="I59" s="4"/>
      <c r="J59" s="4"/>
      <c r="K59" s="4"/>
      <c r="L59" s="4"/>
      <c r="M59" s="3" t="s">
        <v>136</v>
      </c>
      <c r="N59" s="4"/>
      <c r="O59" s="4"/>
      <c r="P59" s="3" t="s">
        <v>137</v>
      </c>
      <c r="Q59" s="1" t="str">
        <f>IF($B59=0,$M59,_xlfn.TEXTBEFORE(Q58,"/",$B59,,,Q58)&amp;"/"&amp;$M59)&amp;IF(_xlfn.TEXTAFTER($D59,"..",,,,1)&lt;&gt;"1","[0]","")</f>
        <v>*/Guarantee[0]/GuaranteeReference[0]</v>
      </c>
    </row>
    <row r="60" spans="1:17" ht="12" customHeight="1" outlineLevel="3" x14ac:dyDescent="0.35">
      <c r="A60" s="2" t="str">
        <f>$E$2</f>
        <v>CC451B</v>
      </c>
      <c r="B60" s="1">
        <v>3</v>
      </c>
      <c r="C60" s="1" t="s">
        <v>19</v>
      </c>
      <c r="D60" s="2" t="s">
        <v>25</v>
      </c>
      <c r="E60" s="9" t="s">
        <v>56</v>
      </c>
      <c r="F60" s="7" t="s">
        <v>57</v>
      </c>
      <c r="G60" s="2" t="s">
        <v>27</v>
      </c>
      <c r="H60" s="2" t="s">
        <v>393</v>
      </c>
      <c r="M60" s="2" t="s">
        <v>58</v>
      </c>
      <c r="P60" s="2" t="s">
        <v>59</v>
      </c>
      <c r="Q60" s="1" t="str">
        <f>IF($B60=0,$M60,_xlfn.TEXTBEFORE(Q59,"/",$B60,,,Q59)&amp;"/"&amp;$M60)&amp;IF(_xlfn.TEXTAFTER($D60,"..",,,,1)&lt;&gt;"1","[0]","")</f>
        <v>*/Guarantee[0]/GuaranteeReference[0]/sequenceNumber</v>
      </c>
    </row>
    <row r="61" spans="1:17" ht="12" customHeight="1" outlineLevel="3" x14ac:dyDescent="0.35">
      <c r="A61" s="2" t="str">
        <f>$E$2</f>
        <v>CC451B</v>
      </c>
      <c r="B61" s="1">
        <v>3</v>
      </c>
      <c r="C61" s="1" t="s">
        <v>19</v>
      </c>
      <c r="D61" s="2" t="s">
        <v>30</v>
      </c>
      <c r="E61" s="9" t="s">
        <v>138</v>
      </c>
      <c r="F61" s="7" t="s">
        <v>139</v>
      </c>
      <c r="G61" s="2" t="s">
        <v>396</v>
      </c>
      <c r="I61" s="2" t="s">
        <v>413</v>
      </c>
      <c r="M61" s="2" t="s">
        <v>140</v>
      </c>
      <c r="P61" s="2" t="s">
        <v>141</v>
      </c>
      <c r="Q61" s="1" t="str">
        <f>IF($B61=0,$M61,_xlfn.TEXTBEFORE(Q60,"/",$B61,,,Q60)&amp;"/"&amp;$M61)&amp;IF(_xlfn.TEXTAFTER($D61,"..",,,,1)&lt;&gt;"1","[0]","")</f>
        <v>*/Guarantee[0]/GuaranteeReference[0]/GRN</v>
      </c>
    </row>
    <row r="62" spans="1:17" ht="12" customHeight="1" outlineLevel="3" x14ac:dyDescent="0.35">
      <c r="A62" s="2" t="str">
        <f>$E$2</f>
        <v>CC451B</v>
      </c>
      <c r="B62" s="1">
        <v>3</v>
      </c>
      <c r="C62" s="1" t="s">
        <v>19</v>
      </c>
      <c r="D62" s="2" t="s">
        <v>30</v>
      </c>
      <c r="E62" s="9" t="s">
        <v>142</v>
      </c>
      <c r="F62" s="7" t="s">
        <v>50</v>
      </c>
      <c r="G62" s="2" t="s">
        <v>396</v>
      </c>
      <c r="H62" s="2" t="s">
        <v>1271</v>
      </c>
      <c r="I62" s="2" t="s">
        <v>415</v>
      </c>
      <c r="J62" s="2" t="s">
        <v>416</v>
      </c>
      <c r="M62" s="2" t="s">
        <v>143</v>
      </c>
      <c r="P62" s="2" t="s">
        <v>52</v>
      </c>
      <c r="Q62" s="1" t="str">
        <f>IF($B62=0,$M62,_xlfn.TEXTBEFORE(Q61,"/",$B62,,,Q61)&amp;"/"&amp;$M62)&amp;IF(_xlfn.TEXTAFTER($D62,"..",,,,1)&lt;&gt;"1","[0]","")</f>
        <v>*/Guarantee[0]/GuaranteeReference[0]/ccQualifier</v>
      </c>
    </row>
    <row r="63" spans="1:17" ht="12" customHeight="1" outlineLevel="3" x14ac:dyDescent="0.35">
      <c r="A63" s="2" t="str">
        <f>$E$2</f>
        <v>CC451B</v>
      </c>
      <c r="B63" s="1">
        <v>3</v>
      </c>
      <c r="C63" s="1" t="s">
        <v>19</v>
      </c>
      <c r="D63" s="2" t="s">
        <v>30</v>
      </c>
      <c r="E63" s="9" t="s">
        <v>144</v>
      </c>
      <c r="F63" s="7" t="s">
        <v>60</v>
      </c>
      <c r="G63" s="2" t="s">
        <v>22</v>
      </c>
      <c r="H63" s="2" t="s">
        <v>417</v>
      </c>
      <c r="M63" s="2" t="s">
        <v>145</v>
      </c>
      <c r="P63" s="2" t="s">
        <v>146</v>
      </c>
      <c r="Q63" s="1" t="str">
        <f>IF($B63=0,$M63,_xlfn.TEXTBEFORE(Q62,"/",$B63,,,Q62)&amp;"/"&amp;$M63)&amp;IF(_xlfn.TEXTAFTER($D63,"..",,,,1)&lt;&gt;"1","[0]","")</f>
        <v>*/Guarantee[0]/GuaranteeReference[0]/accessCode</v>
      </c>
    </row>
    <row r="64" spans="1:17" ht="12" customHeight="1" outlineLevel="3" x14ac:dyDescent="0.35">
      <c r="A64" s="2" t="str">
        <f>$E$2</f>
        <v>CC451B</v>
      </c>
      <c r="B64" s="1">
        <v>3</v>
      </c>
      <c r="C64" s="1" t="s">
        <v>19</v>
      </c>
      <c r="D64" s="2" t="s">
        <v>25</v>
      </c>
      <c r="E64" s="9" t="s">
        <v>147</v>
      </c>
      <c r="F64" s="7" t="s">
        <v>148</v>
      </c>
      <c r="G64" s="2" t="s">
        <v>27</v>
      </c>
      <c r="J64" s="2" t="s">
        <v>418</v>
      </c>
      <c r="M64" s="2" t="s">
        <v>149</v>
      </c>
      <c r="P64" s="2" t="s">
        <v>150</v>
      </c>
      <c r="Q64" s="1" t="str">
        <f>IF($B64=0,$M64,_xlfn.TEXTBEFORE(Q63,"/",$B64,,,Q63)&amp;"/"&amp;$M64)&amp;IF(_xlfn.TEXTAFTER($D64,"..",,,,1)&lt;&gt;"1","[0]","")</f>
        <v>*/Guarantee[0]/GuaranteeReference[0]/currencyCode</v>
      </c>
    </row>
    <row r="65" spans="1:17" ht="12" customHeight="1" outlineLevel="3" x14ac:dyDescent="0.35">
      <c r="A65" s="2" t="str">
        <f>$E$2</f>
        <v>CC451B</v>
      </c>
      <c r="B65" s="1">
        <v>3</v>
      </c>
      <c r="C65" s="1" t="s">
        <v>19</v>
      </c>
      <c r="D65" s="2" t="s">
        <v>25</v>
      </c>
      <c r="E65" s="9" t="s">
        <v>151</v>
      </c>
      <c r="F65" s="7" t="s">
        <v>152</v>
      </c>
      <c r="G65" s="2" t="s">
        <v>27</v>
      </c>
      <c r="H65" s="2" t="s">
        <v>419</v>
      </c>
      <c r="M65" s="2" t="s">
        <v>153</v>
      </c>
      <c r="P65" s="2" t="s">
        <v>154</v>
      </c>
      <c r="Q65" s="1" t="str">
        <f>IF($B65=0,$M65,_xlfn.TEXTBEFORE(Q64,"/",$B65,,,Q64)&amp;"/"&amp;$M65)&amp;IF(_xlfn.TEXTAFTER($D65,"..",,,,1)&lt;&gt;"1","[0]","")</f>
        <v>*/Guarantee[0]/GuaranteeReference[0]/amountToBeCovered</v>
      </c>
    </row>
    <row r="66" spans="1:17" ht="12" customHeight="1" outlineLevel="3" x14ac:dyDescent="0.35">
      <c r="A66" s="2" t="str">
        <f>$E$2</f>
        <v>CC451B</v>
      </c>
      <c r="B66" s="1">
        <v>3</v>
      </c>
      <c r="C66" s="1" t="s">
        <v>19</v>
      </c>
      <c r="D66" s="2" t="s">
        <v>30</v>
      </c>
      <c r="E66" s="9" t="s">
        <v>155</v>
      </c>
      <c r="F66" s="7" t="s">
        <v>156</v>
      </c>
      <c r="G66" s="2" t="s">
        <v>396</v>
      </c>
      <c r="I66" s="2" t="s">
        <v>415</v>
      </c>
      <c r="M66" s="2" t="s">
        <v>157</v>
      </c>
      <c r="P66" s="2" t="s">
        <v>158</v>
      </c>
      <c r="Q66" s="1" t="str">
        <f>IF($B66=0,$M66,_xlfn.TEXTBEFORE(Q65,"/",$B66,,,Q65)&amp;"/"&amp;$M66)&amp;IF(_xlfn.TEXTAFTER($D66,"..",,,,1)&lt;&gt;"1","[0]","")</f>
        <v>*/Guarantee[0]/GuaranteeReference[0]/otherGuaranteeReference</v>
      </c>
    </row>
    <row r="67" spans="1:17" ht="12" customHeight="1" outlineLevel="3" x14ac:dyDescent="0.35">
      <c r="A67" s="3" t="str">
        <f>$E$2</f>
        <v>CC451B</v>
      </c>
      <c r="B67" s="4">
        <v>3</v>
      </c>
      <c r="C67" s="3" t="s">
        <v>24</v>
      </c>
      <c r="D67" s="3" t="s">
        <v>30</v>
      </c>
      <c r="E67" s="10" t="s">
        <v>159</v>
      </c>
      <c r="F67" s="4"/>
      <c r="G67" s="3" t="s">
        <v>396</v>
      </c>
      <c r="H67" s="4"/>
      <c r="I67" s="3" t="s">
        <v>420</v>
      </c>
      <c r="J67" s="4"/>
      <c r="K67" s="4"/>
      <c r="L67" s="4"/>
      <c r="M67" s="3" t="s">
        <v>160</v>
      </c>
      <c r="N67" s="4"/>
      <c r="O67" s="4"/>
      <c r="P67" s="3" t="s">
        <v>161</v>
      </c>
      <c r="Q67" s="1" t="str">
        <f>IF($B67=0,$M67,_xlfn.TEXTBEFORE(Q66,"/",$B67,,,Q66)&amp;"/"&amp;$M67)&amp;IF(_xlfn.TEXTAFTER($D67,"..",,,,1)&lt;&gt;"1","[0]","")</f>
        <v>*/Guarantee[0]/GuaranteeReference[0]/CustomsOfficeOfGuarantee</v>
      </c>
    </row>
    <row r="68" spans="1:17" ht="12" customHeight="1" outlineLevel="4" x14ac:dyDescent="0.35">
      <c r="A68" s="2" t="str">
        <f>$E$2</f>
        <v>CC451B</v>
      </c>
      <c r="B68" s="1">
        <v>4</v>
      </c>
      <c r="C68" s="1" t="s">
        <v>19</v>
      </c>
      <c r="D68" s="2" t="s">
        <v>25</v>
      </c>
      <c r="E68" s="11" t="s">
        <v>63</v>
      </c>
      <c r="F68" s="7" t="s">
        <v>74</v>
      </c>
      <c r="G68" s="2" t="s">
        <v>27</v>
      </c>
      <c r="J68" s="2" t="s">
        <v>399</v>
      </c>
      <c r="M68" s="2" t="s">
        <v>65</v>
      </c>
      <c r="P68" s="2" t="s">
        <v>75</v>
      </c>
      <c r="Q68" s="1" t="str">
        <f>IF($B68=0,$M68,_xlfn.TEXTBEFORE(Q67,"/",$B68,,,Q67)&amp;"/"&amp;$M68)&amp;IF(_xlfn.TEXTAFTER($D68,"..",,,,1)&lt;&gt;"1","[0]","")</f>
        <v>*/Guarantee[0]/GuaranteeReference[0]/CustomsOfficeOfGuarantee/referenceNumber</v>
      </c>
    </row>
    <row r="69" spans="1:17" ht="12" customHeight="1" outlineLevel="1" x14ac:dyDescent="0.35">
      <c r="A69" s="3" t="str">
        <f>$E$2</f>
        <v>CC451B</v>
      </c>
      <c r="B69" s="4">
        <v>1</v>
      </c>
      <c r="C69" s="3" t="s">
        <v>24</v>
      </c>
      <c r="D69" s="3" t="s">
        <v>30</v>
      </c>
      <c r="E69" s="5" t="s">
        <v>162</v>
      </c>
      <c r="F69" s="4"/>
      <c r="G69" s="3" t="s">
        <v>22</v>
      </c>
      <c r="H69" s="3" t="s">
        <v>444</v>
      </c>
      <c r="I69" s="4"/>
      <c r="J69" s="4"/>
      <c r="K69" s="4"/>
      <c r="L69" s="4"/>
      <c r="M69" s="3" t="s">
        <v>163</v>
      </c>
      <c r="N69" s="4"/>
      <c r="O69" s="4"/>
      <c r="P69" s="3" t="s">
        <v>164</v>
      </c>
      <c r="Q69" s="1" t="str">
        <f>IF($B69=0,$M69,_xlfn.TEXTBEFORE(Q68,"/",$B69,,,Q68)&amp;"/"&amp;$M69)&amp;IF(_xlfn.TEXTAFTER($D69,"..",,,,1)&lt;&gt;"1","[0]","")</f>
        <v>*/CurrencyExchange</v>
      </c>
    </row>
    <row r="70" spans="1:17" ht="12" customHeight="1" outlineLevel="2" x14ac:dyDescent="0.35">
      <c r="A70" s="2" t="str">
        <f>$E$2</f>
        <v>CC451B</v>
      </c>
      <c r="B70" s="1">
        <v>2</v>
      </c>
      <c r="C70" s="1" t="s">
        <v>19</v>
      </c>
      <c r="D70" s="2" t="s">
        <v>30</v>
      </c>
      <c r="E70" s="6" t="s">
        <v>165</v>
      </c>
      <c r="F70" s="7" t="s">
        <v>148</v>
      </c>
      <c r="G70" s="2" t="s">
        <v>396</v>
      </c>
      <c r="H70" s="2" t="s">
        <v>445</v>
      </c>
      <c r="I70" s="7" t="s">
        <v>446</v>
      </c>
      <c r="J70" s="2" t="s">
        <v>418</v>
      </c>
      <c r="M70" s="2" t="s">
        <v>166</v>
      </c>
      <c r="P70" s="2" t="s">
        <v>150</v>
      </c>
      <c r="Q70" s="1" t="str">
        <f>IF($B70=0,$M70,_xlfn.TEXTBEFORE(Q69,"/",$B70,,,Q69)&amp;"/"&amp;$M70)&amp;IF(_xlfn.TEXTAFTER($D70,"..",,,,1)&lt;&gt;"1","[0]","")</f>
        <v>*/CurrencyExchange/internalCurrencyUnit</v>
      </c>
    </row>
    <row r="71" spans="1:17" ht="12" customHeight="1" outlineLevel="1" x14ac:dyDescent="0.35">
      <c r="A71" s="3" t="str">
        <f>$E$2</f>
        <v>CC451B</v>
      </c>
      <c r="B71" s="4">
        <v>1</v>
      </c>
      <c r="C71" s="3" t="s">
        <v>24</v>
      </c>
      <c r="D71" s="3" t="s">
        <v>53</v>
      </c>
      <c r="E71" s="5" t="s">
        <v>167</v>
      </c>
      <c r="F71" s="4"/>
      <c r="G71" s="3" t="s">
        <v>396</v>
      </c>
      <c r="H71" s="4"/>
      <c r="I71" s="3" t="s">
        <v>421</v>
      </c>
      <c r="J71" s="4"/>
      <c r="K71" s="4"/>
      <c r="L71" s="4"/>
      <c r="M71" s="3" t="s">
        <v>168</v>
      </c>
      <c r="N71" s="4"/>
      <c r="O71" s="4"/>
      <c r="P71" s="3" t="s">
        <v>169</v>
      </c>
      <c r="Q71" s="1" t="str">
        <f>IF($B71=0,$M71,_xlfn.TEXTBEFORE(Q70,"/",$B71,,,Q70)&amp;"/"&amp;$M71)&amp;IF(_xlfn.TEXTAFTER($D71,"..",,,,1)&lt;&gt;"1","[0]","")</f>
        <v>*/DeferredPayment[0]</v>
      </c>
    </row>
    <row r="72" spans="1:17" ht="12" customHeight="1" outlineLevel="2" x14ac:dyDescent="0.35">
      <c r="A72" s="2" t="str">
        <f>$E$2</f>
        <v>CC451B</v>
      </c>
      <c r="B72" s="1">
        <v>2</v>
      </c>
      <c r="C72" s="1" t="s">
        <v>19</v>
      </c>
      <c r="D72" s="2" t="s">
        <v>25</v>
      </c>
      <c r="E72" s="6" t="s">
        <v>56</v>
      </c>
      <c r="F72" s="7" t="s">
        <v>57</v>
      </c>
      <c r="G72" s="2" t="s">
        <v>27</v>
      </c>
      <c r="H72" s="2" t="s">
        <v>393</v>
      </c>
      <c r="M72" s="2" t="s">
        <v>58</v>
      </c>
      <c r="P72" s="2" t="s">
        <v>59</v>
      </c>
      <c r="Q72" s="1" t="str">
        <f>IF($B72=0,$M72,_xlfn.TEXTBEFORE(Q71,"/",$B72,,,Q71)&amp;"/"&amp;$M72)&amp;IF(_xlfn.TEXTAFTER($D72,"..",,,,1)&lt;&gt;"1","[0]","")</f>
        <v>*/DeferredPayment[0]/sequenceNumber</v>
      </c>
    </row>
    <row r="73" spans="1:17" ht="12" customHeight="1" outlineLevel="2" x14ac:dyDescent="0.35">
      <c r="A73" s="2" t="str">
        <f>$E$2</f>
        <v>CC451B</v>
      </c>
      <c r="B73" s="1">
        <v>2</v>
      </c>
      <c r="C73" s="1" t="s">
        <v>19</v>
      </c>
      <c r="D73" s="2" t="s">
        <v>25</v>
      </c>
      <c r="E73" s="6" t="s">
        <v>167</v>
      </c>
      <c r="F73" s="7" t="s">
        <v>156</v>
      </c>
      <c r="G73" s="2" t="s">
        <v>27</v>
      </c>
      <c r="M73" s="2" t="s">
        <v>170</v>
      </c>
      <c r="P73" s="2" t="s">
        <v>171</v>
      </c>
      <c r="Q73" s="1" t="str">
        <f>IF($B73=0,$M73,_xlfn.TEXTBEFORE(Q72,"/",$B73,,,Q72)&amp;"/"&amp;$M73)&amp;IF(_xlfn.TEXTAFTER($D73,"..",,,,1)&lt;&gt;"1","[0]","")</f>
        <v>*/DeferredPayment[0]/deferredPayment</v>
      </c>
    </row>
    <row r="74" spans="1:17" ht="12" customHeight="1" outlineLevel="2" x14ac:dyDescent="0.35">
      <c r="A74" s="2" t="str">
        <f>$E$2</f>
        <v>CC451B</v>
      </c>
      <c r="B74" s="1">
        <v>2</v>
      </c>
      <c r="C74" s="1" t="s">
        <v>19</v>
      </c>
      <c r="D74" s="2" t="s">
        <v>30</v>
      </c>
      <c r="E74" s="6" t="s">
        <v>142</v>
      </c>
      <c r="F74" s="7" t="s">
        <v>50</v>
      </c>
      <c r="G74" s="2" t="s">
        <v>22</v>
      </c>
      <c r="H74" s="2" t="s">
        <v>512</v>
      </c>
      <c r="J74" s="2" t="s">
        <v>416</v>
      </c>
      <c r="M74" s="2" t="s">
        <v>143</v>
      </c>
      <c r="P74" s="2" t="s">
        <v>52</v>
      </c>
      <c r="Q74" s="1" t="str">
        <f>IF($B74=0,$M74,_xlfn.TEXTBEFORE(Q73,"/",$B74,,,Q73)&amp;"/"&amp;$M74)&amp;IF(_xlfn.TEXTAFTER($D74,"..",,,,1)&lt;&gt;"1","[0]","")</f>
        <v>*/DeferredPayment[0]/ccQualifier</v>
      </c>
    </row>
    <row r="75" spans="1:17" ht="12" customHeight="1" outlineLevel="1" x14ac:dyDescent="0.35">
      <c r="A75" s="3" t="str">
        <f>$E$2</f>
        <v>CC451B</v>
      </c>
      <c r="B75" s="4">
        <v>1</v>
      </c>
      <c r="C75" s="3" t="s">
        <v>24</v>
      </c>
      <c r="D75" s="3" t="s">
        <v>172</v>
      </c>
      <c r="E75" s="5" t="s">
        <v>173</v>
      </c>
      <c r="F75" s="4"/>
      <c r="G75" s="3" t="s">
        <v>27</v>
      </c>
      <c r="H75" s="3" t="s">
        <v>422</v>
      </c>
      <c r="I75" s="4"/>
      <c r="J75" s="4"/>
      <c r="K75" s="4"/>
      <c r="L75" s="4"/>
      <c r="M75" s="3" t="s">
        <v>174</v>
      </c>
      <c r="N75" s="4"/>
      <c r="O75" s="4"/>
      <c r="P75" s="3" t="s">
        <v>1498</v>
      </c>
      <c r="Q75" s="1" t="str">
        <f>IF($B75=0,$M75,_xlfn.TEXTBEFORE(Q74,"/",$B75,,,Q74)&amp;"/"&amp;$M75)&amp;IF(_xlfn.TEXTAFTER($D75,"..",,,,1)&lt;&gt;"1","[0]","")</f>
        <v>*/GoodsShipment[0]</v>
      </c>
    </row>
    <row r="76" spans="1:17" ht="12" customHeight="1" outlineLevel="2" x14ac:dyDescent="0.35">
      <c r="A76" s="2" t="str">
        <f>$E$2</f>
        <v>CC451B</v>
      </c>
      <c r="B76" s="1">
        <v>2</v>
      </c>
      <c r="C76" s="1" t="s">
        <v>19</v>
      </c>
      <c r="D76" s="2" t="s">
        <v>25</v>
      </c>
      <c r="E76" s="6" t="s">
        <v>56</v>
      </c>
      <c r="F76" s="7" t="s">
        <v>57</v>
      </c>
      <c r="G76" s="2" t="s">
        <v>27</v>
      </c>
      <c r="H76" s="2" t="s">
        <v>393</v>
      </c>
      <c r="M76" s="2" t="s">
        <v>58</v>
      </c>
      <c r="P76" s="2" t="s">
        <v>59</v>
      </c>
      <c r="Q76" s="1" t="str">
        <f>IF($B76=0,$M76,_xlfn.TEXTBEFORE(Q75,"/",$B76,,,Q75)&amp;"/"&amp;$M76)&amp;IF(_xlfn.TEXTAFTER($D76,"..",,,,1)&lt;&gt;"1","[0]","")</f>
        <v>*/GoodsShipment[0]/sequenceNumber</v>
      </c>
    </row>
    <row r="77" spans="1:17" ht="12" customHeight="1" outlineLevel="2" x14ac:dyDescent="0.35">
      <c r="A77" s="2" t="str">
        <f>$E$2</f>
        <v>CC451B</v>
      </c>
      <c r="B77" s="1">
        <v>2</v>
      </c>
      <c r="C77" s="1" t="s">
        <v>19</v>
      </c>
      <c r="D77" s="2" t="s">
        <v>30</v>
      </c>
      <c r="E77" s="6" t="s">
        <v>176</v>
      </c>
      <c r="F77" s="7" t="s">
        <v>177</v>
      </c>
      <c r="G77" s="2" t="s">
        <v>396</v>
      </c>
      <c r="H77" s="2" t="s">
        <v>1272</v>
      </c>
      <c r="I77" s="7" t="s">
        <v>1273</v>
      </c>
      <c r="J77" s="2" t="s">
        <v>425</v>
      </c>
      <c r="M77" s="2" t="s">
        <v>178</v>
      </c>
      <c r="P77" s="2" t="s">
        <v>179</v>
      </c>
      <c r="Q77" s="1" t="str">
        <f>IF($B77=0,$M77,_xlfn.TEXTBEFORE(Q76,"/",$B77,,,Q76)&amp;"/"&amp;$M77)&amp;IF(_xlfn.TEXTAFTER($D77,"..",,,,1)&lt;&gt;"1","[0]","")</f>
        <v>*/GoodsShipment[0]/natureOfTransaction</v>
      </c>
    </row>
    <row r="78" spans="1:17" ht="12" customHeight="1" outlineLevel="2" x14ac:dyDescent="0.35">
      <c r="A78" s="2" t="str">
        <f>$E$2</f>
        <v>CC451B</v>
      </c>
      <c r="B78" s="1">
        <v>2</v>
      </c>
      <c r="C78" s="1" t="s">
        <v>19</v>
      </c>
      <c r="D78" s="2" t="s">
        <v>30</v>
      </c>
      <c r="E78" s="6" t="s">
        <v>180</v>
      </c>
      <c r="F78" s="7" t="s">
        <v>181</v>
      </c>
      <c r="G78" s="2" t="s">
        <v>396</v>
      </c>
      <c r="I78" s="2" t="s">
        <v>426</v>
      </c>
      <c r="M78" s="2" t="s">
        <v>182</v>
      </c>
      <c r="P78" s="2" t="s">
        <v>183</v>
      </c>
      <c r="Q78" s="1" t="str">
        <f>IF($B78=0,$M78,_xlfn.TEXTBEFORE(Q77,"/",$B78,,,Q77)&amp;"/"&amp;$M78)&amp;IF(_xlfn.TEXTAFTER($D78,"..",,,,1)&lt;&gt;"1","[0]","")</f>
        <v>*/GoodsShipment[0]/totalAmountInvoiced</v>
      </c>
    </row>
    <row r="79" spans="1:17" ht="12" customHeight="1" outlineLevel="2" x14ac:dyDescent="0.35">
      <c r="A79" s="2" t="str">
        <f>$E$2</f>
        <v>CC451B</v>
      </c>
      <c r="B79" s="1">
        <v>2</v>
      </c>
      <c r="C79" s="1" t="s">
        <v>19</v>
      </c>
      <c r="D79" s="2" t="s">
        <v>30</v>
      </c>
      <c r="E79" s="6" t="s">
        <v>184</v>
      </c>
      <c r="F79" s="7" t="s">
        <v>148</v>
      </c>
      <c r="G79" s="2" t="s">
        <v>396</v>
      </c>
      <c r="H79" s="2" t="s">
        <v>427</v>
      </c>
      <c r="I79" s="7" t="s">
        <v>1274</v>
      </c>
      <c r="J79" s="2" t="s">
        <v>429</v>
      </c>
      <c r="M79" s="2" t="s">
        <v>185</v>
      </c>
      <c r="P79" s="2" t="s">
        <v>150</v>
      </c>
      <c r="Q79" s="1" t="str">
        <f>IF($B79=0,$M79,_xlfn.TEXTBEFORE(Q78,"/",$B79,,,Q78)&amp;"/"&amp;$M79)&amp;IF(_xlfn.TEXTAFTER($D79,"..",,,,1)&lt;&gt;"1","[0]","")</f>
        <v>*/GoodsShipment[0]/invoiceCurrency</v>
      </c>
    </row>
    <row r="80" spans="1:17" ht="12" customHeight="1" outlineLevel="2" x14ac:dyDescent="0.35">
      <c r="A80" s="2" t="str">
        <f>$E$2</f>
        <v>CC451B</v>
      </c>
      <c r="B80" s="1">
        <v>2</v>
      </c>
      <c r="C80" s="1" t="s">
        <v>19</v>
      </c>
      <c r="D80" s="2" t="s">
        <v>30</v>
      </c>
      <c r="E80" s="6" t="s">
        <v>186</v>
      </c>
      <c r="F80" s="2" t="s">
        <v>47</v>
      </c>
      <c r="G80" s="2" t="s">
        <v>396</v>
      </c>
      <c r="H80" s="2" t="s">
        <v>430</v>
      </c>
      <c r="I80" s="2" t="s">
        <v>431</v>
      </c>
      <c r="M80" s="2" t="s">
        <v>187</v>
      </c>
      <c r="P80" s="2" t="s">
        <v>188</v>
      </c>
      <c r="Q80" s="1" t="str">
        <f>IF($B80=0,$M80,_xlfn.TEXTBEFORE(Q79,"/",$B80,,,Q79)&amp;"/"&amp;$M80)&amp;IF(_xlfn.TEXTAFTER($D80,"..",,,,1)&lt;&gt;"1","[0]","")</f>
        <v>*/GoodsShipment[0]/dateOfAcceptance</v>
      </c>
    </row>
    <row r="81" spans="1:17" ht="12" customHeight="1" outlineLevel="2" x14ac:dyDescent="0.35">
      <c r="A81" s="2" t="str">
        <f>$E$2</f>
        <v>CC451B</v>
      </c>
      <c r="B81" s="1">
        <v>2</v>
      </c>
      <c r="C81" s="1" t="s">
        <v>19</v>
      </c>
      <c r="D81" s="2" t="s">
        <v>30</v>
      </c>
      <c r="E81" s="6" t="s">
        <v>189</v>
      </c>
      <c r="F81" s="7" t="s">
        <v>190</v>
      </c>
      <c r="G81" s="2" t="s">
        <v>22</v>
      </c>
      <c r="H81" s="2" t="s">
        <v>448</v>
      </c>
      <c r="M81" s="2" t="s">
        <v>191</v>
      </c>
      <c r="P81" s="2" t="s">
        <v>192</v>
      </c>
      <c r="Q81" s="1" t="str">
        <f>IF($B81=0,$M81,_xlfn.TEXTBEFORE(Q80,"/",$B81,,,Q80)&amp;"/"&amp;$M81)&amp;IF(_xlfn.TEXTAFTER($D81,"..",,,,1)&lt;&gt;"1","[0]","")</f>
        <v>*/GoodsShipment[0]/exchangeRate</v>
      </c>
    </row>
    <row r="82" spans="1:17" ht="12" customHeight="1" outlineLevel="2" x14ac:dyDescent="0.35">
      <c r="A82" s="3" t="str">
        <f>$E$2</f>
        <v>CC451B</v>
      </c>
      <c r="B82" s="4">
        <v>2</v>
      </c>
      <c r="C82" s="3" t="s">
        <v>24</v>
      </c>
      <c r="D82" s="3" t="s">
        <v>193</v>
      </c>
      <c r="E82" s="8" t="s">
        <v>194</v>
      </c>
      <c r="F82" s="4"/>
      <c r="G82" s="3" t="s">
        <v>22</v>
      </c>
      <c r="H82" s="3" t="s">
        <v>1275</v>
      </c>
      <c r="I82" s="4"/>
      <c r="J82" s="4"/>
      <c r="K82" s="4"/>
      <c r="L82" s="4"/>
      <c r="M82" s="3" t="s">
        <v>195</v>
      </c>
      <c r="N82" s="4"/>
      <c r="O82" s="4"/>
      <c r="P82" s="3" t="s">
        <v>196</v>
      </c>
      <c r="Q82" s="1" t="str">
        <f>IF($B82=0,$M82,_xlfn.TEXTBEFORE(Q81,"/",$B82,,,Q81)&amp;"/"&amp;$M82)&amp;IF(_xlfn.TEXTAFTER($D82,"..",,,,1)&lt;&gt;"1","[0]","")</f>
        <v>*/GoodsShipment[0]/AdditionalSupplyChainActor[0]</v>
      </c>
    </row>
    <row r="83" spans="1:17" ht="12" customHeight="1" outlineLevel="3" x14ac:dyDescent="0.35">
      <c r="A83" s="2" t="str">
        <f>$E$2</f>
        <v>CC451B</v>
      </c>
      <c r="B83" s="1">
        <v>3</v>
      </c>
      <c r="C83" s="1" t="s">
        <v>19</v>
      </c>
      <c r="D83" s="2" t="s">
        <v>25</v>
      </c>
      <c r="E83" s="9" t="s">
        <v>56</v>
      </c>
      <c r="F83" s="7" t="s">
        <v>57</v>
      </c>
      <c r="G83" s="2" t="s">
        <v>27</v>
      </c>
      <c r="H83" s="2" t="s">
        <v>393</v>
      </c>
      <c r="M83" s="2" t="s">
        <v>58</v>
      </c>
      <c r="P83" s="2" t="s">
        <v>59</v>
      </c>
      <c r="Q83" s="1" t="str">
        <f>IF($B83=0,$M83,_xlfn.TEXTBEFORE(Q82,"/",$B83,,,Q82)&amp;"/"&amp;$M83)&amp;IF(_xlfn.TEXTAFTER($D83,"..",,,,1)&lt;&gt;"1","[0]","")</f>
        <v>*/GoodsShipment[0]/AdditionalSupplyChainActor[0]/sequenceNumber</v>
      </c>
    </row>
    <row r="84" spans="1:17" ht="12" customHeight="1" outlineLevel="3" x14ac:dyDescent="0.35">
      <c r="A84" s="2" t="str">
        <f>$E$2</f>
        <v>CC451B</v>
      </c>
      <c r="B84" s="1">
        <v>3</v>
      </c>
      <c r="C84" s="1" t="s">
        <v>19</v>
      </c>
      <c r="D84" s="2" t="s">
        <v>25</v>
      </c>
      <c r="E84" s="9" t="s">
        <v>197</v>
      </c>
      <c r="F84" s="7" t="s">
        <v>198</v>
      </c>
      <c r="G84" s="2" t="s">
        <v>27</v>
      </c>
      <c r="J84" s="2" t="s">
        <v>433</v>
      </c>
      <c r="M84" s="2" t="s">
        <v>199</v>
      </c>
      <c r="P84" s="2" t="s">
        <v>200</v>
      </c>
      <c r="Q84" s="1" t="str">
        <f>IF($B84=0,$M84,_xlfn.TEXTBEFORE(Q83,"/",$B84,,,Q83)&amp;"/"&amp;$M84)&amp;IF(_xlfn.TEXTAFTER($D84,"..",,,,1)&lt;&gt;"1","[0]","")</f>
        <v>*/GoodsShipment[0]/AdditionalSupplyChainActor[0]/role</v>
      </c>
    </row>
    <row r="85" spans="1:17" ht="12" customHeight="1" outlineLevel="3" x14ac:dyDescent="0.35">
      <c r="A85" s="2" t="str">
        <f>$E$2</f>
        <v>CC451B</v>
      </c>
      <c r="B85" s="1">
        <v>3</v>
      </c>
      <c r="C85" s="1" t="s">
        <v>19</v>
      </c>
      <c r="D85" s="2" t="s">
        <v>25</v>
      </c>
      <c r="E85" s="9" t="s">
        <v>81</v>
      </c>
      <c r="F85" s="7" t="s">
        <v>68</v>
      </c>
      <c r="G85" s="2" t="s">
        <v>27</v>
      </c>
      <c r="H85" s="2" t="s">
        <v>434</v>
      </c>
      <c r="M85" s="2" t="s">
        <v>82</v>
      </c>
      <c r="P85" s="2" t="s">
        <v>70</v>
      </c>
      <c r="Q85" s="1" t="str">
        <f>IF($B85=0,$M85,_xlfn.TEXTBEFORE(Q84,"/",$B85,,,Q84)&amp;"/"&amp;$M85)&amp;IF(_xlfn.TEXTAFTER($D85,"..",,,,1)&lt;&gt;"1","[0]","")</f>
        <v>*/GoodsShipment[0]/AdditionalSupplyChainActor[0]/identificationNumber</v>
      </c>
    </row>
    <row r="86" spans="1:17" ht="12" customHeight="1" outlineLevel="2" x14ac:dyDescent="0.35">
      <c r="A86" s="3" t="str">
        <f>$E$2</f>
        <v>CC451B</v>
      </c>
      <c r="B86" s="4">
        <v>2</v>
      </c>
      <c r="C86" s="3" t="s">
        <v>24</v>
      </c>
      <c r="D86" s="3" t="s">
        <v>30</v>
      </c>
      <c r="E86" s="8" t="s">
        <v>201</v>
      </c>
      <c r="F86" s="4"/>
      <c r="G86" s="3" t="s">
        <v>396</v>
      </c>
      <c r="H86" s="3" t="s">
        <v>1272</v>
      </c>
      <c r="I86" s="3" t="s">
        <v>436</v>
      </c>
      <c r="J86" s="4"/>
      <c r="K86" s="4"/>
      <c r="L86" s="4"/>
      <c r="M86" s="3" t="s">
        <v>201</v>
      </c>
      <c r="N86" s="4"/>
      <c r="O86" s="4"/>
      <c r="P86" s="3" t="s">
        <v>202</v>
      </c>
      <c r="Q86" s="1" t="str">
        <f>IF($B86=0,$M86,_xlfn.TEXTBEFORE(Q85,"/",$B86,,,Q85)&amp;"/"&amp;$M86)&amp;IF(_xlfn.TEXTAFTER($D86,"..",,,,1)&lt;&gt;"1","[0]","")</f>
        <v>*/GoodsShipment[0]/Buyer</v>
      </c>
    </row>
    <row r="87" spans="1:17" ht="12" customHeight="1" outlineLevel="3" x14ac:dyDescent="0.35">
      <c r="A87" s="2" t="str">
        <f>$E$2</f>
        <v>CC451B</v>
      </c>
      <c r="B87" s="1">
        <v>3</v>
      </c>
      <c r="C87" s="1" t="s">
        <v>19</v>
      </c>
      <c r="D87" s="2" t="s">
        <v>30</v>
      </c>
      <c r="E87" s="9" t="s">
        <v>81</v>
      </c>
      <c r="F87" s="7" t="s">
        <v>68</v>
      </c>
      <c r="G87" s="2" t="s">
        <v>22</v>
      </c>
      <c r="H87" s="2" t="s">
        <v>434</v>
      </c>
      <c r="M87" s="2" t="s">
        <v>82</v>
      </c>
      <c r="P87" s="2" t="s">
        <v>70</v>
      </c>
      <c r="Q87" s="1" t="str">
        <f>IF($B87=0,$M87,_xlfn.TEXTBEFORE(Q86,"/",$B87,,,Q86)&amp;"/"&amp;$M87)&amp;IF(_xlfn.TEXTAFTER($D87,"..",,,,1)&lt;&gt;"1","[0]","")</f>
        <v>*/GoodsShipment[0]/Buyer/identificationNumber</v>
      </c>
    </row>
    <row r="88" spans="1:17" ht="12" customHeight="1" outlineLevel="3" x14ac:dyDescent="0.35">
      <c r="A88" s="2" t="str">
        <f>$E$2</f>
        <v>CC451B</v>
      </c>
      <c r="B88" s="1">
        <v>3</v>
      </c>
      <c r="C88" s="1" t="s">
        <v>19</v>
      </c>
      <c r="D88" s="2" t="s">
        <v>30</v>
      </c>
      <c r="E88" s="9" t="s">
        <v>4</v>
      </c>
      <c r="F88" s="7" t="s">
        <v>83</v>
      </c>
      <c r="G88" s="2" t="s">
        <v>396</v>
      </c>
      <c r="I88" s="2" t="s">
        <v>401</v>
      </c>
      <c r="M88" s="2" t="s">
        <v>84</v>
      </c>
      <c r="P88" s="2" t="s">
        <v>85</v>
      </c>
      <c r="Q88" s="1" t="str">
        <f>IF($B88=0,$M88,_xlfn.TEXTBEFORE(Q87,"/",$B88,,,Q87)&amp;"/"&amp;$M88)&amp;IF(_xlfn.TEXTAFTER($D88,"..",,,,1)&lt;&gt;"1","[0]","")</f>
        <v>*/GoodsShipment[0]/Buyer/name</v>
      </c>
    </row>
    <row r="89" spans="1:17" ht="12" customHeight="1" outlineLevel="3" x14ac:dyDescent="0.35">
      <c r="A89" s="3" t="str">
        <f>$E$2</f>
        <v>CC451B</v>
      </c>
      <c r="B89" s="4">
        <v>3</v>
      </c>
      <c r="C89" s="3" t="s">
        <v>24</v>
      </c>
      <c r="D89" s="3" t="s">
        <v>30</v>
      </c>
      <c r="E89" s="10" t="s">
        <v>86</v>
      </c>
      <c r="F89" s="4"/>
      <c r="G89" s="3" t="s">
        <v>396</v>
      </c>
      <c r="H89" s="4"/>
      <c r="I89" s="3" t="s">
        <v>401</v>
      </c>
      <c r="J89" s="4"/>
      <c r="K89" s="4"/>
      <c r="L89" s="4"/>
      <c r="M89" s="3" t="s">
        <v>86</v>
      </c>
      <c r="N89" s="4"/>
      <c r="O89" s="4"/>
      <c r="P89" s="3" t="s">
        <v>87</v>
      </c>
      <c r="Q89" s="1" t="str">
        <f>IF($B89=0,$M89,_xlfn.TEXTBEFORE(Q88,"/",$B89,,,Q88)&amp;"/"&amp;$M89)&amp;IF(_xlfn.TEXTAFTER($D89,"..",,,,1)&lt;&gt;"1","[0]","")</f>
        <v>*/GoodsShipment[0]/Buyer/Address</v>
      </c>
    </row>
    <row r="90" spans="1:17" ht="12" customHeight="1" outlineLevel="4" x14ac:dyDescent="0.35">
      <c r="A90" s="2" t="str">
        <f>$E$2</f>
        <v>CC451B</v>
      </c>
      <c r="B90" s="1">
        <v>4</v>
      </c>
      <c r="C90" s="1" t="s">
        <v>19</v>
      </c>
      <c r="D90" s="2" t="s">
        <v>25</v>
      </c>
      <c r="E90" s="11" t="s">
        <v>88</v>
      </c>
      <c r="F90" s="7" t="s">
        <v>83</v>
      </c>
      <c r="G90" s="2" t="s">
        <v>27</v>
      </c>
      <c r="M90" s="2" t="s">
        <v>89</v>
      </c>
      <c r="P90" s="2" t="s">
        <v>90</v>
      </c>
      <c r="Q90" s="1" t="str">
        <f>IF($B90=0,$M90,_xlfn.TEXTBEFORE(Q89,"/",$B90,,,Q89)&amp;"/"&amp;$M90)&amp;IF(_xlfn.TEXTAFTER($D90,"..",,,,1)&lt;&gt;"1","[0]","")</f>
        <v>*/GoodsShipment[0]/Buyer/Address/streetAndNumber</v>
      </c>
    </row>
    <row r="91" spans="1:17" ht="12" customHeight="1" outlineLevel="4" x14ac:dyDescent="0.35">
      <c r="A91" s="2" t="str">
        <f>$E$2</f>
        <v>CC451B</v>
      </c>
      <c r="B91" s="1">
        <v>4</v>
      </c>
      <c r="C91" s="1" t="s">
        <v>19</v>
      </c>
      <c r="D91" s="2" t="s">
        <v>30</v>
      </c>
      <c r="E91" s="11" t="s">
        <v>91</v>
      </c>
      <c r="F91" s="7" t="s">
        <v>92</v>
      </c>
      <c r="G91" s="2" t="s">
        <v>396</v>
      </c>
      <c r="I91" s="2" t="s">
        <v>402</v>
      </c>
      <c r="M91" s="2" t="s">
        <v>93</v>
      </c>
      <c r="P91" s="2" t="s">
        <v>94</v>
      </c>
      <c r="Q91" s="1" t="str">
        <f>IF($B91=0,$M91,_xlfn.TEXTBEFORE(Q90,"/",$B91,,,Q90)&amp;"/"&amp;$M91)&amp;IF(_xlfn.TEXTAFTER($D91,"..",,,,1)&lt;&gt;"1","[0]","")</f>
        <v>*/GoodsShipment[0]/Buyer/Address/postcode</v>
      </c>
    </row>
    <row r="92" spans="1:17" ht="12" customHeight="1" outlineLevel="4" x14ac:dyDescent="0.35">
      <c r="A92" s="2" t="str">
        <f>$E$2</f>
        <v>CC451B</v>
      </c>
      <c r="B92" s="1">
        <v>4</v>
      </c>
      <c r="C92" s="1" t="s">
        <v>19</v>
      </c>
      <c r="D92" s="2" t="s">
        <v>25</v>
      </c>
      <c r="E92" s="11" t="s">
        <v>95</v>
      </c>
      <c r="F92" s="7" t="s">
        <v>96</v>
      </c>
      <c r="G92" s="2" t="s">
        <v>27</v>
      </c>
      <c r="M92" s="2" t="s">
        <v>97</v>
      </c>
      <c r="P92" s="2" t="s">
        <v>98</v>
      </c>
      <c r="Q92" s="1" t="str">
        <f>IF($B92=0,$M92,_xlfn.TEXTBEFORE(Q91,"/",$B92,,,Q91)&amp;"/"&amp;$M92)&amp;IF(_xlfn.TEXTAFTER($D92,"..",,,,1)&lt;&gt;"1","[0]","")</f>
        <v>*/GoodsShipment[0]/Buyer/Address/city</v>
      </c>
    </row>
    <row r="93" spans="1:17" ht="12" customHeight="1" outlineLevel="4" x14ac:dyDescent="0.35">
      <c r="A93" s="2" t="str">
        <f>$E$2</f>
        <v>CC451B</v>
      </c>
      <c r="B93" s="1">
        <v>4</v>
      </c>
      <c r="C93" s="1" t="s">
        <v>19</v>
      </c>
      <c r="D93" s="2" t="s">
        <v>25</v>
      </c>
      <c r="E93" s="11" t="s">
        <v>99</v>
      </c>
      <c r="F93" s="7" t="s">
        <v>50</v>
      </c>
      <c r="G93" s="2" t="s">
        <v>27</v>
      </c>
      <c r="J93" s="2" t="s">
        <v>403</v>
      </c>
      <c r="M93" s="2" t="s">
        <v>100</v>
      </c>
      <c r="P93" s="2" t="s">
        <v>52</v>
      </c>
      <c r="Q93" s="1" t="str">
        <f>IF($B93=0,$M93,_xlfn.TEXTBEFORE(Q92,"/",$B93,,,Q92)&amp;"/"&amp;$M93)&amp;IF(_xlfn.TEXTAFTER($D93,"..",,,,1)&lt;&gt;"1","[0]","")</f>
        <v>*/GoodsShipment[0]/Buyer/Address/country</v>
      </c>
    </row>
    <row r="94" spans="1:17" ht="12" customHeight="1" outlineLevel="2" x14ac:dyDescent="0.35">
      <c r="A94" s="3" t="str">
        <f>$E$2</f>
        <v>CC451B</v>
      </c>
      <c r="B94" s="4">
        <v>2</v>
      </c>
      <c r="C94" s="3" t="s">
        <v>24</v>
      </c>
      <c r="D94" s="3" t="s">
        <v>30</v>
      </c>
      <c r="E94" s="8" t="s">
        <v>203</v>
      </c>
      <c r="F94" s="4"/>
      <c r="G94" s="3" t="s">
        <v>396</v>
      </c>
      <c r="H94" s="3" t="s">
        <v>1272</v>
      </c>
      <c r="I94" s="3" t="s">
        <v>436</v>
      </c>
      <c r="J94" s="4"/>
      <c r="K94" s="4"/>
      <c r="L94" s="4"/>
      <c r="M94" s="3" t="s">
        <v>203</v>
      </c>
      <c r="N94" s="4"/>
      <c r="O94" s="4"/>
      <c r="P94" s="3" t="s">
        <v>204</v>
      </c>
      <c r="Q94" s="1" t="str">
        <f>IF($B94=0,$M94,_xlfn.TEXTBEFORE(Q93,"/",$B94,,,Q93)&amp;"/"&amp;$M94)&amp;IF(_xlfn.TEXTAFTER($D94,"..",,,,1)&lt;&gt;"1","[0]","")</f>
        <v>*/GoodsShipment[0]/Seller</v>
      </c>
    </row>
    <row r="95" spans="1:17" ht="12" customHeight="1" outlineLevel="3" x14ac:dyDescent="0.35">
      <c r="A95" s="2" t="str">
        <f>$E$2</f>
        <v>CC451B</v>
      </c>
      <c r="B95" s="1">
        <v>3</v>
      </c>
      <c r="C95" s="1" t="s">
        <v>19</v>
      </c>
      <c r="D95" s="2" t="s">
        <v>30</v>
      </c>
      <c r="E95" s="9" t="s">
        <v>81</v>
      </c>
      <c r="F95" s="7" t="s">
        <v>68</v>
      </c>
      <c r="G95" s="2" t="s">
        <v>22</v>
      </c>
      <c r="H95" s="2" t="s">
        <v>434</v>
      </c>
      <c r="M95" s="2" t="s">
        <v>82</v>
      </c>
      <c r="P95" s="2" t="s">
        <v>70</v>
      </c>
      <c r="Q95" s="1" t="str">
        <f>IF($B95=0,$M95,_xlfn.TEXTBEFORE(Q94,"/",$B95,,,Q94)&amp;"/"&amp;$M95)&amp;IF(_xlfn.TEXTAFTER($D95,"..",,,,1)&lt;&gt;"1","[0]","")</f>
        <v>*/GoodsShipment[0]/Seller/identificationNumber</v>
      </c>
    </row>
    <row r="96" spans="1:17" ht="12" customHeight="1" outlineLevel="3" x14ac:dyDescent="0.35">
      <c r="A96" s="2" t="str">
        <f>$E$2</f>
        <v>CC451B</v>
      </c>
      <c r="B96" s="1">
        <v>3</v>
      </c>
      <c r="C96" s="1" t="s">
        <v>19</v>
      </c>
      <c r="D96" s="2" t="s">
        <v>30</v>
      </c>
      <c r="E96" s="9" t="s">
        <v>4</v>
      </c>
      <c r="F96" s="7" t="s">
        <v>83</v>
      </c>
      <c r="G96" s="2" t="s">
        <v>396</v>
      </c>
      <c r="I96" s="2" t="s">
        <v>401</v>
      </c>
      <c r="M96" s="2" t="s">
        <v>84</v>
      </c>
      <c r="P96" s="2" t="s">
        <v>85</v>
      </c>
      <c r="Q96" s="1" t="str">
        <f>IF($B96=0,$M96,_xlfn.TEXTBEFORE(Q95,"/",$B96,,,Q95)&amp;"/"&amp;$M96)&amp;IF(_xlfn.TEXTAFTER($D96,"..",,,,1)&lt;&gt;"1","[0]","")</f>
        <v>*/GoodsShipment[0]/Seller/name</v>
      </c>
    </row>
    <row r="97" spans="1:17" ht="12" customHeight="1" outlineLevel="3" x14ac:dyDescent="0.35">
      <c r="A97" s="3" t="str">
        <f>$E$2</f>
        <v>CC451B</v>
      </c>
      <c r="B97" s="4">
        <v>3</v>
      </c>
      <c r="C97" s="3" t="s">
        <v>24</v>
      </c>
      <c r="D97" s="3" t="s">
        <v>30</v>
      </c>
      <c r="E97" s="10" t="s">
        <v>86</v>
      </c>
      <c r="F97" s="4"/>
      <c r="G97" s="3" t="s">
        <v>396</v>
      </c>
      <c r="H97" s="4"/>
      <c r="I97" s="3" t="s">
        <v>401</v>
      </c>
      <c r="J97" s="4"/>
      <c r="K97" s="4"/>
      <c r="L97" s="4"/>
      <c r="M97" s="3" t="s">
        <v>86</v>
      </c>
      <c r="N97" s="4"/>
      <c r="O97" s="4"/>
      <c r="P97" s="3" t="s">
        <v>87</v>
      </c>
      <c r="Q97" s="1" t="str">
        <f>IF($B97=0,$M97,_xlfn.TEXTBEFORE(Q96,"/",$B97,,,Q96)&amp;"/"&amp;$M97)&amp;IF(_xlfn.TEXTAFTER($D97,"..",,,,1)&lt;&gt;"1","[0]","")</f>
        <v>*/GoodsShipment[0]/Seller/Address</v>
      </c>
    </row>
    <row r="98" spans="1:17" ht="12" customHeight="1" outlineLevel="4" x14ac:dyDescent="0.35">
      <c r="A98" s="2" t="str">
        <f>$E$2</f>
        <v>CC451B</v>
      </c>
      <c r="B98" s="1">
        <v>4</v>
      </c>
      <c r="C98" s="1" t="s">
        <v>19</v>
      </c>
      <c r="D98" s="2" t="s">
        <v>25</v>
      </c>
      <c r="E98" s="11" t="s">
        <v>88</v>
      </c>
      <c r="F98" s="7" t="s">
        <v>83</v>
      </c>
      <c r="G98" s="2" t="s">
        <v>27</v>
      </c>
      <c r="M98" s="2" t="s">
        <v>89</v>
      </c>
      <c r="P98" s="2" t="s">
        <v>90</v>
      </c>
      <c r="Q98" s="1" t="str">
        <f>IF($B98=0,$M98,_xlfn.TEXTBEFORE(Q97,"/",$B98,,,Q97)&amp;"/"&amp;$M98)&amp;IF(_xlfn.TEXTAFTER($D98,"..",,,,1)&lt;&gt;"1","[0]","")</f>
        <v>*/GoodsShipment[0]/Seller/Address/streetAndNumber</v>
      </c>
    </row>
    <row r="99" spans="1:17" ht="12" customHeight="1" outlineLevel="4" x14ac:dyDescent="0.35">
      <c r="A99" s="2" t="str">
        <f>$E$2</f>
        <v>CC451B</v>
      </c>
      <c r="B99" s="1">
        <v>4</v>
      </c>
      <c r="C99" s="1" t="s">
        <v>19</v>
      </c>
      <c r="D99" s="2" t="s">
        <v>30</v>
      </c>
      <c r="E99" s="11" t="s">
        <v>91</v>
      </c>
      <c r="F99" s="7" t="s">
        <v>92</v>
      </c>
      <c r="G99" s="2" t="s">
        <v>396</v>
      </c>
      <c r="I99" s="2" t="s">
        <v>402</v>
      </c>
      <c r="M99" s="2" t="s">
        <v>93</v>
      </c>
      <c r="P99" s="2" t="s">
        <v>94</v>
      </c>
      <c r="Q99" s="1" t="str">
        <f>IF($B99=0,$M99,_xlfn.TEXTBEFORE(Q98,"/",$B99,,,Q98)&amp;"/"&amp;$M99)&amp;IF(_xlfn.TEXTAFTER($D99,"..",,,,1)&lt;&gt;"1","[0]","")</f>
        <v>*/GoodsShipment[0]/Seller/Address/postcode</v>
      </c>
    </row>
    <row r="100" spans="1:17" ht="12" customHeight="1" outlineLevel="4" x14ac:dyDescent="0.35">
      <c r="A100" s="2" t="str">
        <f>$E$2</f>
        <v>CC451B</v>
      </c>
      <c r="B100" s="1">
        <v>4</v>
      </c>
      <c r="C100" s="1" t="s">
        <v>19</v>
      </c>
      <c r="D100" s="2" t="s">
        <v>25</v>
      </c>
      <c r="E100" s="11" t="s">
        <v>95</v>
      </c>
      <c r="F100" s="7" t="s">
        <v>96</v>
      </c>
      <c r="G100" s="2" t="s">
        <v>27</v>
      </c>
      <c r="M100" s="2" t="s">
        <v>97</v>
      </c>
      <c r="P100" s="2" t="s">
        <v>98</v>
      </c>
      <c r="Q100" s="1" t="str">
        <f>IF($B100=0,$M100,_xlfn.TEXTBEFORE(Q99,"/",$B100,,,Q99)&amp;"/"&amp;$M100)&amp;IF(_xlfn.TEXTAFTER($D100,"..",,,,1)&lt;&gt;"1","[0]","")</f>
        <v>*/GoodsShipment[0]/Seller/Address/city</v>
      </c>
    </row>
    <row r="101" spans="1:17" ht="12" customHeight="1" outlineLevel="4" x14ac:dyDescent="0.35">
      <c r="A101" s="2" t="str">
        <f>$E$2</f>
        <v>CC451B</v>
      </c>
      <c r="B101" s="1">
        <v>4</v>
      </c>
      <c r="C101" s="1" t="s">
        <v>19</v>
      </c>
      <c r="D101" s="2" t="s">
        <v>25</v>
      </c>
      <c r="E101" s="11" t="s">
        <v>99</v>
      </c>
      <c r="F101" s="7" t="s">
        <v>50</v>
      </c>
      <c r="G101" s="2" t="s">
        <v>27</v>
      </c>
      <c r="J101" s="2" t="s">
        <v>403</v>
      </c>
      <c r="M101" s="2" t="s">
        <v>100</v>
      </c>
      <c r="P101" s="2" t="s">
        <v>52</v>
      </c>
      <c r="Q101" s="1" t="str">
        <f>IF($B101=0,$M101,_xlfn.TEXTBEFORE(Q100,"/",$B101,,,Q100)&amp;"/"&amp;$M101)&amp;IF(_xlfn.TEXTAFTER($D101,"..",,,,1)&lt;&gt;"1","[0]","")</f>
        <v>*/GoodsShipment[0]/Seller/Address/country</v>
      </c>
    </row>
    <row r="102" spans="1:17" ht="12" customHeight="1" outlineLevel="2" x14ac:dyDescent="0.35">
      <c r="A102" s="3" t="str">
        <f>$E$2</f>
        <v>CC451B</v>
      </c>
      <c r="B102" s="4">
        <v>2</v>
      </c>
      <c r="C102" s="3" t="s">
        <v>24</v>
      </c>
      <c r="D102" s="3" t="s">
        <v>30</v>
      </c>
      <c r="E102" s="8" t="s">
        <v>205</v>
      </c>
      <c r="F102" s="4"/>
      <c r="G102" s="3" t="s">
        <v>396</v>
      </c>
      <c r="H102" s="3" t="s">
        <v>1276</v>
      </c>
      <c r="I102" s="16" t="s">
        <v>1277</v>
      </c>
      <c r="J102" s="4"/>
      <c r="K102" s="4"/>
      <c r="L102" s="4"/>
      <c r="M102" s="3" t="s">
        <v>205</v>
      </c>
      <c r="N102" s="4"/>
      <c r="O102" s="4"/>
      <c r="P102" s="3" t="s">
        <v>206</v>
      </c>
      <c r="Q102" s="1" t="str">
        <f>IF($B102=0,$M102,_xlfn.TEXTBEFORE(Q101,"/",$B102,,,Q101)&amp;"/"&amp;$M102)&amp;IF(_xlfn.TEXTAFTER($D102,"..",,,,1)&lt;&gt;"1","[0]","")</f>
        <v>*/GoodsShipment[0]/Exporter</v>
      </c>
    </row>
    <row r="103" spans="1:17" ht="12" customHeight="1" outlineLevel="3" x14ac:dyDescent="0.35">
      <c r="A103" s="2" t="str">
        <f>$E$2</f>
        <v>CC451B</v>
      </c>
      <c r="B103" s="1">
        <v>3</v>
      </c>
      <c r="C103" s="1" t="s">
        <v>19</v>
      </c>
      <c r="D103" s="2" t="s">
        <v>30</v>
      </c>
      <c r="E103" s="9" t="s">
        <v>81</v>
      </c>
      <c r="F103" s="7" t="s">
        <v>68</v>
      </c>
      <c r="G103" s="2" t="s">
        <v>22</v>
      </c>
      <c r="H103" s="2" t="s">
        <v>434</v>
      </c>
      <c r="M103" s="2" t="s">
        <v>82</v>
      </c>
      <c r="P103" s="2" t="s">
        <v>70</v>
      </c>
      <c r="Q103" s="1" t="str">
        <f>IF($B103=0,$M103,_xlfn.TEXTBEFORE(Q102,"/",$B103,,,Q102)&amp;"/"&amp;$M103)&amp;IF(_xlfn.TEXTAFTER($D103,"..",,,,1)&lt;&gt;"1","[0]","")</f>
        <v>*/GoodsShipment[0]/Exporter/identificationNumber</v>
      </c>
    </row>
    <row r="104" spans="1:17" ht="12" customHeight="1" outlineLevel="3" x14ac:dyDescent="0.35">
      <c r="A104" s="2" t="str">
        <f>$E$2</f>
        <v>CC451B</v>
      </c>
      <c r="B104" s="1">
        <v>3</v>
      </c>
      <c r="C104" s="1" t="s">
        <v>19</v>
      </c>
      <c r="D104" s="2" t="s">
        <v>30</v>
      </c>
      <c r="E104" s="9" t="s">
        <v>4</v>
      </c>
      <c r="F104" s="7" t="s">
        <v>83</v>
      </c>
      <c r="G104" s="2" t="s">
        <v>396</v>
      </c>
      <c r="I104" s="2" t="s">
        <v>401</v>
      </c>
      <c r="M104" s="2" t="s">
        <v>84</v>
      </c>
      <c r="P104" s="2" t="s">
        <v>85</v>
      </c>
      <c r="Q104" s="1" t="str">
        <f>IF($B104=0,$M104,_xlfn.TEXTBEFORE(Q103,"/",$B104,,,Q103)&amp;"/"&amp;$M104)&amp;IF(_xlfn.TEXTAFTER($D104,"..",,,,1)&lt;&gt;"1","[0]","")</f>
        <v>*/GoodsShipment[0]/Exporter/name</v>
      </c>
    </row>
    <row r="105" spans="1:17" ht="12" customHeight="1" outlineLevel="3" x14ac:dyDescent="0.35">
      <c r="A105" s="3" t="str">
        <f>$E$2</f>
        <v>CC451B</v>
      </c>
      <c r="B105" s="4">
        <v>3</v>
      </c>
      <c r="C105" s="3" t="s">
        <v>24</v>
      </c>
      <c r="D105" s="3" t="s">
        <v>30</v>
      </c>
      <c r="E105" s="10" t="s">
        <v>86</v>
      </c>
      <c r="F105" s="4"/>
      <c r="G105" s="3" t="s">
        <v>396</v>
      </c>
      <c r="H105" s="4"/>
      <c r="I105" s="3" t="s">
        <v>401</v>
      </c>
      <c r="J105" s="4"/>
      <c r="K105" s="4"/>
      <c r="L105" s="4"/>
      <c r="M105" s="3" t="s">
        <v>86</v>
      </c>
      <c r="N105" s="4"/>
      <c r="O105" s="4"/>
      <c r="P105" s="3" t="s">
        <v>87</v>
      </c>
      <c r="Q105" s="1" t="str">
        <f>IF($B105=0,$M105,_xlfn.TEXTBEFORE(Q104,"/",$B105,,,Q104)&amp;"/"&amp;$M105)&amp;IF(_xlfn.TEXTAFTER($D105,"..",,,,1)&lt;&gt;"1","[0]","")</f>
        <v>*/GoodsShipment[0]/Exporter/Address</v>
      </c>
    </row>
    <row r="106" spans="1:17" ht="12" customHeight="1" outlineLevel="4" x14ac:dyDescent="0.35">
      <c r="A106" s="2" t="str">
        <f>$E$2</f>
        <v>CC451B</v>
      </c>
      <c r="B106" s="1">
        <v>4</v>
      </c>
      <c r="C106" s="1" t="s">
        <v>19</v>
      </c>
      <c r="D106" s="2" t="s">
        <v>25</v>
      </c>
      <c r="E106" s="11" t="s">
        <v>88</v>
      </c>
      <c r="F106" s="7" t="s">
        <v>83</v>
      </c>
      <c r="G106" s="2" t="s">
        <v>27</v>
      </c>
      <c r="M106" s="2" t="s">
        <v>89</v>
      </c>
      <c r="P106" s="2" t="s">
        <v>90</v>
      </c>
      <c r="Q106" s="1" t="str">
        <f>IF($B106=0,$M106,_xlfn.TEXTBEFORE(Q105,"/",$B106,,,Q105)&amp;"/"&amp;$M106)&amp;IF(_xlfn.TEXTAFTER($D106,"..",,,,1)&lt;&gt;"1","[0]","")</f>
        <v>*/GoodsShipment[0]/Exporter/Address/streetAndNumber</v>
      </c>
    </row>
    <row r="107" spans="1:17" ht="12" customHeight="1" outlineLevel="4" x14ac:dyDescent="0.35">
      <c r="A107" s="2" t="str">
        <f>$E$2</f>
        <v>CC451B</v>
      </c>
      <c r="B107" s="1">
        <v>4</v>
      </c>
      <c r="C107" s="1" t="s">
        <v>19</v>
      </c>
      <c r="D107" s="2" t="s">
        <v>30</v>
      </c>
      <c r="E107" s="11" t="s">
        <v>91</v>
      </c>
      <c r="F107" s="7" t="s">
        <v>92</v>
      </c>
      <c r="G107" s="2" t="s">
        <v>396</v>
      </c>
      <c r="I107" s="2" t="s">
        <v>402</v>
      </c>
      <c r="M107" s="2" t="s">
        <v>93</v>
      </c>
      <c r="P107" s="2" t="s">
        <v>94</v>
      </c>
      <c r="Q107" s="1" t="str">
        <f>IF($B107=0,$M107,_xlfn.TEXTBEFORE(Q106,"/",$B107,,,Q106)&amp;"/"&amp;$M107)&amp;IF(_xlfn.TEXTAFTER($D107,"..",,,,1)&lt;&gt;"1","[0]","")</f>
        <v>*/GoodsShipment[0]/Exporter/Address/postcode</v>
      </c>
    </row>
    <row r="108" spans="1:17" ht="12" customHeight="1" outlineLevel="4" x14ac:dyDescent="0.35">
      <c r="A108" s="2" t="str">
        <f>$E$2</f>
        <v>CC451B</v>
      </c>
      <c r="B108" s="1">
        <v>4</v>
      </c>
      <c r="C108" s="1" t="s">
        <v>19</v>
      </c>
      <c r="D108" s="2" t="s">
        <v>25</v>
      </c>
      <c r="E108" s="11" t="s">
        <v>95</v>
      </c>
      <c r="F108" s="7" t="s">
        <v>96</v>
      </c>
      <c r="G108" s="2" t="s">
        <v>27</v>
      </c>
      <c r="M108" s="2" t="s">
        <v>97</v>
      </c>
      <c r="P108" s="2" t="s">
        <v>98</v>
      </c>
      <c r="Q108" s="1" t="str">
        <f>IF($B108=0,$M108,_xlfn.TEXTBEFORE(Q107,"/",$B108,,,Q107)&amp;"/"&amp;$M108)&amp;IF(_xlfn.TEXTAFTER($D108,"..",,,,1)&lt;&gt;"1","[0]","")</f>
        <v>*/GoodsShipment[0]/Exporter/Address/city</v>
      </c>
    </row>
    <row r="109" spans="1:17" ht="12" customHeight="1" outlineLevel="4" x14ac:dyDescent="0.35">
      <c r="A109" s="2" t="str">
        <f>$E$2</f>
        <v>CC451B</v>
      </c>
      <c r="B109" s="1">
        <v>4</v>
      </c>
      <c r="C109" s="1" t="s">
        <v>19</v>
      </c>
      <c r="D109" s="2" t="s">
        <v>25</v>
      </c>
      <c r="E109" s="11" t="s">
        <v>99</v>
      </c>
      <c r="F109" s="7" t="s">
        <v>50</v>
      </c>
      <c r="G109" s="2" t="s">
        <v>27</v>
      </c>
      <c r="J109" s="2" t="s">
        <v>403</v>
      </c>
      <c r="M109" s="2" t="s">
        <v>100</v>
      </c>
      <c r="P109" s="2" t="s">
        <v>52</v>
      </c>
      <c r="Q109" s="1" t="str">
        <f>IF($B109=0,$M109,_xlfn.TEXTBEFORE(Q108,"/",$B109,,,Q108)&amp;"/"&amp;$M109)&amp;IF(_xlfn.TEXTAFTER($D109,"..",,,,1)&lt;&gt;"1","[0]","")</f>
        <v>*/GoodsShipment[0]/Exporter/Address/country</v>
      </c>
    </row>
    <row r="110" spans="1:17" ht="12" customHeight="1" outlineLevel="2" x14ac:dyDescent="0.35">
      <c r="A110" s="3" t="str">
        <f>$E$2</f>
        <v>CC451B</v>
      </c>
      <c r="B110" s="4">
        <v>2</v>
      </c>
      <c r="C110" s="3" t="s">
        <v>24</v>
      </c>
      <c r="D110" s="3" t="s">
        <v>30</v>
      </c>
      <c r="E110" s="8" t="s">
        <v>449</v>
      </c>
      <c r="F110" s="4"/>
      <c r="G110" s="3" t="s">
        <v>396</v>
      </c>
      <c r="H110" s="3" t="s">
        <v>1278</v>
      </c>
      <c r="I110" s="16" t="s">
        <v>1279</v>
      </c>
      <c r="J110" s="4"/>
      <c r="K110" s="4"/>
      <c r="L110" s="4"/>
      <c r="M110" s="3" t="s">
        <v>452</v>
      </c>
      <c r="N110" s="4"/>
      <c r="O110" s="4"/>
      <c r="P110" s="3" t="s">
        <v>1499</v>
      </c>
      <c r="Q110" s="1" t="str">
        <f>IF($B110=0,$M110,_xlfn.TEXTBEFORE(Q109,"/",$B110,,,Q109)&amp;"/"&amp;$M110)&amp;IF(_xlfn.TEXTAFTER($D110,"..",,,,1)&lt;&gt;"1","[0]","")</f>
        <v>*/GoodsShipment[0]/DeliveryTerms</v>
      </c>
    </row>
    <row r="111" spans="1:17" ht="12" customHeight="1" outlineLevel="3" x14ac:dyDescent="0.35">
      <c r="A111" s="2" t="str">
        <f>$E$2</f>
        <v>CC451B</v>
      </c>
      <c r="B111" s="1">
        <v>3</v>
      </c>
      <c r="C111" s="1" t="s">
        <v>19</v>
      </c>
      <c r="D111" s="2" t="s">
        <v>25</v>
      </c>
      <c r="E111" s="9" t="s">
        <v>454</v>
      </c>
      <c r="F111" s="7" t="s">
        <v>148</v>
      </c>
      <c r="G111" s="2" t="s">
        <v>27</v>
      </c>
      <c r="J111" s="2" t="s">
        <v>455</v>
      </c>
      <c r="M111" s="2" t="s">
        <v>456</v>
      </c>
      <c r="P111" s="2" t="s">
        <v>457</v>
      </c>
      <c r="Q111" s="1" t="str">
        <f>IF($B111=0,$M111,_xlfn.TEXTBEFORE(Q110,"/",$B111,,,Q110)&amp;"/"&amp;$M111)&amp;IF(_xlfn.TEXTAFTER($D111,"..",,,,1)&lt;&gt;"1","[0]","")</f>
        <v>*/GoodsShipment[0]/DeliveryTerms/incotermCode</v>
      </c>
    </row>
    <row r="112" spans="1:17" ht="12" customHeight="1" outlineLevel="3" x14ac:dyDescent="0.35">
      <c r="A112" s="2" t="str">
        <f>$E$2</f>
        <v>CC451B</v>
      </c>
      <c r="B112" s="1">
        <v>3</v>
      </c>
      <c r="C112" s="1" t="s">
        <v>19</v>
      </c>
      <c r="D112" s="2" t="s">
        <v>30</v>
      </c>
      <c r="E112" s="9" t="s">
        <v>270</v>
      </c>
      <c r="F112" s="7" t="s">
        <v>103</v>
      </c>
      <c r="G112" s="2" t="s">
        <v>396</v>
      </c>
      <c r="I112" s="2" t="s">
        <v>458</v>
      </c>
      <c r="J112" s="2" t="s">
        <v>459</v>
      </c>
      <c r="M112" s="2" t="s">
        <v>271</v>
      </c>
      <c r="P112" s="2" t="s">
        <v>272</v>
      </c>
      <c r="Q112" s="1" t="str">
        <f>IF($B112=0,$M112,_xlfn.TEXTBEFORE(Q111,"/",$B112,,,Q111)&amp;"/"&amp;$M112)&amp;IF(_xlfn.TEXTAFTER($D112,"..",,,,1)&lt;&gt;"1","[0]","")</f>
        <v>*/GoodsShipment[0]/DeliveryTerms/UNLOCODE</v>
      </c>
    </row>
    <row r="113" spans="1:17" ht="12" customHeight="1" outlineLevel="3" x14ac:dyDescent="0.35">
      <c r="A113" s="2" t="str">
        <f>$E$2</f>
        <v>CC451B</v>
      </c>
      <c r="B113" s="1">
        <v>3</v>
      </c>
      <c r="C113" s="1" t="s">
        <v>19</v>
      </c>
      <c r="D113" s="2" t="s">
        <v>30</v>
      </c>
      <c r="E113" s="9" t="s">
        <v>460</v>
      </c>
      <c r="F113" s="7" t="s">
        <v>96</v>
      </c>
      <c r="G113" s="2" t="s">
        <v>396</v>
      </c>
      <c r="I113" s="2" t="s">
        <v>458</v>
      </c>
      <c r="M113" s="2" t="s">
        <v>461</v>
      </c>
      <c r="P113" s="2" t="s">
        <v>462</v>
      </c>
      <c r="Q113" s="1" t="str">
        <f>IF($B113=0,$M113,_xlfn.TEXTBEFORE(Q112,"/",$B113,,,Q112)&amp;"/"&amp;$M113)&amp;IF(_xlfn.TEXTAFTER($D113,"..",,,,1)&lt;&gt;"1","[0]","")</f>
        <v>*/GoodsShipment[0]/DeliveryTerms/location</v>
      </c>
    </row>
    <row r="114" spans="1:17" ht="12" customHeight="1" outlineLevel="3" x14ac:dyDescent="0.35">
      <c r="A114" s="2" t="str">
        <f>$E$2</f>
        <v>CC451B</v>
      </c>
      <c r="B114" s="1">
        <v>3</v>
      </c>
      <c r="C114" s="1" t="s">
        <v>19</v>
      </c>
      <c r="D114" s="2" t="s">
        <v>30</v>
      </c>
      <c r="E114" s="9" t="s">
        <v>99</v>
      </c>
      <c r="F114" s="7" t="s">
        <v>50</v>
      </c>
      <c r="G114" s="2" t="s">
        <v>396</v>
      </c>
      <c r="I114" s="2" t="s">
        <v>458</v>
      </c>
      <c r="J114" s="2" t="s">
        <v>403</v>
      </c>
      <c r="M114" s="2" t="s">
        <v>100</v>
      </c>
      <c r="P114" s="2" t="s">
        <v>52</v>
      </c>
      <c r="Q114" s="1" t="str">
        <f>IF($B114=0,$M114,_xlfn.TEXTBEFORE(Q113,"/",$B114,,,Q113)&amp;"/"&amp;$M114)&amp;IF(_xlfn.TEXTAFTER($D114,"..",,,,1)&lt;&gt;"1","[0]","")</f>
        <v>*/GoodsShipment[0]/DeliveryTerms/country</v>
      </c>
    </row>
    <row r="115" spans="1:17" ht="12" customHeight="1" outlineLevel="3" x14ac:dyDescent="0.35">
      <c r="A115" s="2" t="str">
        <f>$E$2</f>
        <v>CC451B</v>
      </c>
      <c r="B115" s="1">
        <v>3</v>
      </c>
      <c r="C115" s="1" t="s">
        <v>19</v>
      </c>
      <c r="D115" s="2" t="s">
        <v>30</v>
      </c>
      <c r="E115" s="9" t="s">
        <v>226</v>
      </c>
      <c r="F115" s="7" t="s">
        <v>216</v>
      </c>
      <c r="G115" s="2" t="s">
        <v>396</v>
      </c>
      <c r="I115" s="2" t="s">
        <v>458</v>
      </c>
      <c r="M115" s="2" t="s">
        <v>227</v>
      </c>
      <c r="P115" s="2" t="s">
        <v>218</v>
      </c>
      <c r="Q115" s="1" t="str">
        <f>IF($B115=0,$M115,_xlfn.TEXTBEFORE(Q114,"/",$B115,,,Q114)&amp;"/"&amp;$M115)&amp;IF(_xlfn.TEXTAFTER($D115,"..",,,,1)&lt;&gt;"1","[0]","")</f>
        <v>*/GoodsShipment[0]/DeliveryTerms/text</v>
      </c>
    </row>
    <row r="116" spans="1:17" ht="12" customHeight="1" outlineLevel="2" x14ac:dyDescent="0.35">
      <c r="A116" s="3" t="str">
        <f>$E$2</f>
        <v>CC451B</v>
      </c>
      <c r="B116" s="4">
        <v>2</v>
      </c>
      <c r="C116" s="3" t="s">
        <v>24</v>
      </c>
      <c r="D116" s="3" t="s">
        <v>30</v>
      </c>
      <c r="E116" s="8" t="s">
        <v>464</v>
      </c>
      <c r="F116" s="4"/>
      <c r="G116" s="3" t="s">
        <v>396</v>
      </c>
      <c r="H116" s="3" t="s">
        <v>1272</v>
      </c>
      <c r="I116" s="16" t="s">
        <v>1280</v>
      </c>
      <c r="J116" s="4"/>
      <c r="K116" s="4"/>
      <c r="L116" s="4"/>
      <c r="M116" s="3" t="s">
        <v>465</v>
      </c>
      <c r="N116" s="4"/>
      <c r="O116" s="4"/>
      <c r="P116" s="3" t="s">
        <v>466</v>
      </c>
      <c r="Q116" s="1" t="str">
        <f>IF($B116=0,$M116,_xlfn.TEXTBEFORE(Q115,"/",$B116,,,Q115)&amp;"/"&amp;$M116)&amp;IF(_xlfn.TEXTAFTER($D116,"..",,,,1)&lt;&gt;"1","[0]","")</f>
        <v>*/GoodsShipment[0]/CountryOfDispatch</v>
      </c>
    </row>
    <row r="117" spans="1:17" ht="12" customHeight="1" outlineLevel="3" x14ac:dyDescent="0.35">
      <c r="A117" s="2" t="str">
        <f>$E$2</f>
        <v>CC451B</v>
      </c>
      <c r="B117" s="1">
        <v>3</v>
      </c>
      <c r="C117" s="1" t="s">
        <v>19</v>
      </c>
      <c r="D117" s="2" t="s">
        <v>25</v>
      </c>
      <c r="E117" s="9" t="s">
        <v>464</v>
      </c>
      <c r="F117" s="7" t="s">
        <v>50</v>
      </c>
      <c r="G117" s="2" t="s">
        <v>27</v>
      </c>
      <c r="H117" s="2" t="s">
        <v>467</v>
      </c>
      <c r="J117" s="2" t="s">
        <v>468</v>
      </c>
      <c r="M117" s="2" t="s">
        <v>469</v>
      </c>
      <c r="P117" s="2" t="s">
        <v>52</v>
      </c>
      <c r="Q117" s="1" t="str">
        <f>IF($B117=0,$M117,_xlfn.TEXTBEFORE(Q116,"/",$B117,,,Q116)&amp;"/"&amp;$M117)&amp;IF(_xlfn.TEXTAFTER($D117,"..",,,,1)&lt;&gt;"1","[0]","")</f>
        <v>*/GoodsShipment[0]/CountryOfDispatch/countryOfDispatch</v>
      </c>
    </row>
    <row r="118" spans="1:17" ht="12" customHeight="1" outlineLevel="2" x14ac:dyDescent="0.35">
      <c r="A118" s="3" t="str">
        <f>$E$2</f>
        <v>CC451B</v>
      </c>
      <c r="B118" s="4">
        <v>2</v>
      </c>
      <c r="C118" s="3" t="s">
        <v>24</v>
      </c>
      <c r="D118" s="3" t="s">
        <v>30</v>
      </c>
      <c r="E118" s="8" t="s">
        <v>470</v>
      </c>
      <c r="F118" s="4"/>
      <c r="G118" s="3" t="s">
        <v>396</v>
      </c>
      <c r="H118" s="3" t="s">
        <v>1275</v>
      </c>
      <c r="I118" s="16" t="s">
        <v>1281</v>
      </c>
      <c r="J118" s="4"/>
      <c r="K118" s="4"/>
      <c r="L118" s="4"/>
      <c r="M118" s="3" t="s">
        <v>470</v>
      </c>
      <c r="N118" s="4"/>
      <c r="O118" s="4"/>
      <c r="P118" s="3" t="s">
        <v>471</v>
      </c>
      <c r="Q118" s="1" t="str">
        <f>IF($B118=0,$M118,_xlfn.TEXTBEFORE(Q117,"/",$B118,,,Q117)&amp;"/"&amp;$M118)&amp;IF(_xlfn.TEXTAFTER($D118,"..",,,,1)&lt;&gt;"1","[0]","")</f>
        <v>*/GoodsShipment[0]/Destination</v>
      </c>
    </row>
    <row r="119" spans="1:17" ht="12" customHeight="1" outlineLevel="3" x14ac:dyDescent="0.35">
      <c r="A119" s="2" t="str">
        <f>$E$2</f>
        <v>CC451B</v>
      </c>
      <c r="B119" s="1">
        <v>3</v>
      </c>
      <c r="C119" s="1" t="s">
        <v>19</v>
      </c>
      <c r="D119" s="2" t="s">
        <v>30</v>
      </c>
      <c r="E119" s="9" t="s">
        <v>472</v>
      </c>
      <c r="F119" s="7" t="s">
        <v>50</v>
      </c>
      <c r="G119" s="2" t="s">
        <v>396</v>
      </c>
      <c r="H119" s="2" t="s">
        <v>473</v>
      </c>
      <c r="I119" s="2" t="s">
        <v>474</v>
      </c>
      <c r="J119" s="2" t="s">
        <v>416</v>
      </c>
      <c r="M119" s="2" t="s">
        <v>475</v>
      </c>
      <c r="P119" s="2" t="s">
        <v>52</v>
      </c>
      <c r="Q119" s="1" t="str">
        <f>IF($B119=0,$M119,_xlfn.TEXTBEFORE(Q118,"/",$B119,,,Q118)&amp;"/"&amp;$M119)&amp;IF(_xlfn.TEXTAFTER($D119,"..",,,,1)&lt;&gt;"1","[0]","")</f>
        <v>*/GoodsShipment[0]/Destination/countryOfDestination</v>
      </c>
    </row>
    <row r="120" spans="1:17" ht="12" customHeight="1" outlineLevel="3" x14ac:dyDescent="0.35">
      <c r="A120" s="2" t="str">
        <f>$E$2</f>
        <v>CC451B</v>
      </c>
      <c r="B120" s="1">
        <v>3</v>
      </c>
      <c r="C120" s="1" t="s">
        <v>19</v>
      </c>
      <c r="D120" s="2" t="s">
        <v>30</v>
      </c>
      <c r="E120" s="9" t="s">
        <v>476</v>
      </c>
      <c r="F120" s="7" t="s">
        <v>96</v>
      </c>
      <c r="G120" s="2" t="s">
        <v>396</v>
      </c>
      <c r="H120" s="2" t="s">
        <v>477</v>
      </c>
      <c r="I120" s="7" t="s">
        <v>1282</v>
      </c>
      <c r="M120" s="2" t="s">
        <v>478</v>
      </c>
      <c r="P120" s="2" t="s">
        <v>479</v>
      </c>
      <c r="Q120" s="1" t="str">
        <f>IF($B120=0,$M120,_xlfn.TEXTBEFORE(Q119,"/",$B120,,,Q119)&amp;"/"&amp;$M120)&amp;IF(_xlfn.TEXTAFTER($D120,"..",,,,1)&lt;&gt;"1","[0]","")</f>
        <v>*/GoodsShipment[0]/Destination/regionOfDestination</v>
      </c>
    </row>
    <row r="121" spans="1:17" ht="12" customHeight="1" outlineLevel="3" x14ac:dyDescent="0.35">
      <c r="A121" s="2" t="str">
        <f>$E$2</f>
        <v>CC451B</v>
      </c>
      <c r="B121" s="1">
        <v>3</v>
      </c>
      <c r="C121" s="1" t="s">
        <v>19</v>
      </c>
      <c r="D121" s="2" t="s">
        <v>30</v>
      </c>
      <c r="E121" s="9" t="s">
        <v>142</v>
      </c>
      <c r="F121" s="7" t="s">
        <v>50</v>
      </c>
      <c r="G121" s="2" t="s">
        <v>396</v>
      </c>
      <c r="H121" s="2" t="s">
        <v>1283</v>
      </c>
      <c r="I121" s="2" t="s">
        <v>480</v>
      </c>
      <c r="J121" s="2" t="s">
        <v>416</v>
      </c>
      <c r="M121" s="2" t="s">
        <v>143</v>
      </c>
      <c r="P121" s="2" t="s">
        <v>52</v>
      </c>
      <c r="Q121" s="1" t="str">
        <f>IF($B121=0,$M121,_xlfn.TEXTBEFORE(Q120,"/",$B121,,,Q120)&amp;"/"&amp;$M121)&amp;IF(_xlfn.TEXTAFTER($D121,"..",,,,1)&lt;&gt;"1","[0]","")</f>
        <v>*/GoodsShipment[0]/Destination/ccQualifier</v>
      </c>
    </row>
    <row r="122" spans="1:17" ht="12" customHeight="1" outlineLevel="2" x14ac:dyDescent="0.35">
      <c r="A122" s="3" t="str">
        <f>$E$2</f>
        <v>CC451B</v>
      </c>
      <c r="B122" s="4">
        <v>2</v>
      </c>
      <c r="C122" s="3" t="s">
        <v>24</v>
      </c>
      <c r="D122" s="3" t="s">
        <v>30</v>
      </c>
      <c r="E122" s="8" t="s">
        <v>481</v>
      </c>
      <c r="F122" s="4"/>
      <c r="G122" s="3" t="s">
        <v>396</v>
      </c>
      <c r="H122" s="3" t="s">
        <v>1284</v>
      </c>
      <c r="I122" s="16" t="s">
        <v>1285</v>
      </c>
      <c r="J122" s="4"/>
      <c r="K122" s="4"/>
      <c r="L122" s="4"/>
      <c r="M122" s="3" t="s">
        <v>481</v>
      </c>
      <c r="N122" s="4"/>
      <c r="O122" s="4"/>
      <c r="P122" s="3" t="s">
        <v>482</v>
      </c>
      <c r="Q122" s="1" t="str">
        <f>IF($B122=0,$M122,_xlfn.TEXTBEFORE(Q121,"/",$B122,,,Q121)&amp;"/"&amp;$M122)&amp;IF(_xlfn.TEXTAFTER($D122,"..",,,,1)&lt;&gt;"1","[0]","")</f>
        <v>*/GoodsShipment[0]/Warehouse</v>
      </c>
    </row>
    <row r="123" spans="1:17" ht="12" customHeight="1" outlineLevel="3" x14ac:dyDescent="0.35">
      <c r="A123" s="2" t="str">
        <f>$E$2</f>
        <v>CC451B</v>
      </c>
      <c r="B123" s="1">
        <v>3</v>
      </c>
      <c r="C123" s="1" t="s">
        <v>19</v>
      </c>
      <c r="D123" s="2" t="s">
        <v>25</v>
      </c>
      <c r="E123" s="9" t="s">
        <v>2</v>
      </c>
      <c r="F123" s="7" t="s">
        <v>44</v>
      </c>
      <c r="G123" s="2" t="s">
        <v>27</v>
      </c>
      <c r="J123" s="2" t="s">
        <v>483</v>
      </c>
      <c r="M123" s="2" t="s">
        <v>61</v>
      </c>
      <c r="P123" s="2" t="s">
        <v>484</v>
      </c>
      <c r="Q123" s="1" t="str">
        <f>IF($B123=0,$M123,_xlfn.TEXTBEFORE(Q122,"/",$B123,,,Q122)&amp;"/"&amp;$M123)&amp;IF(_xlfn.TEXTAFTER($D123,"..",,,,1)&lt;&gt;"1","[0]","")</f>
        <v>*/GoodsShipment[0]/Warehouse/type</v>
      </c>
    </row>
    <row r="124" spans="1:17" ht="12" customHeight="1" outlineLevel="3" x14ac:dyDescent="0.35">
      <c r="A124" s="2" t="str">
        <f>$E$2</f>
        <v>CC451B</v>
      </c>
      <c r="B124" s="1">
        <v>3</v>
      </c>
      <c r="C124" s="1" t="s">
        <v>19</v>
      </c>
      <c r="D124" s="2" t="s">
        <v>25</v>
      </c>
      <c r="E124" s="9" t="s">
        <v>485</v>
      </c>
      <c r="F124" s="7" t="s">
        <v>834</v>
      </c>
      <c r="G124" s="2" t="s">
        <v>27</v>
      </c>
      <c r="H124" s="2" t="s">
        <v>486</v>
      </c>
      <c r="M124" s="2" t="s">
        <v>487</v>
      </c>
      <c r="P124" s="2" t="s">
        <v>488</v>
      </c>
      <c r="Q124" s="1" t="str">
        <f>IF($B124=0,$M124,_xlfn.TEXTBEFORE(Q123,"/",$B124,,,Q123)&amp;"/"&amp;$M124)&amp;IF(_xlfn.TEXTAFTER($D124,"..",,,,1)&lt;&gt;"1","[0]","")</f>
        <v>*/GoodsShipment[0]/Warehouse/identifier</v>
      </c>
    </row>
    <row r="125" spans="1:17" ht="12" customHeight="1" outlineLevel="2" x14ac:dyDescent="0.35">
      <c r="A125" s="3" t="str">
        <f>$E$2</f>
        <v>CC451B</v>
      </c>
      <c r="B125" s="4">
        <v>2</v>
      </c>
      <c r="C125" s="3" t="s">
        <v>24</v>
      </c>
      <c r="D125" s="3" t="s">
        <v>193</v>
      </c>
      <c r="E125" s="8" t="s">
        <v>303</v>
      </c>
      <c r="F125" s="4"/>
      <c r="G125" s="3" t="s">
        <v>22</v>
      </c>
      <c r="H125" s="3" t="s">
        <v>489</v>
      </c>
      <c r="I125" s="4"/>
      <c r="J125" s="4"/>
      <c r="K125" s="4"/>
      <c r="L125" s="4"/>
      <c r="M125" s="3" t="s">
        <v>304</v>
      </c>
      <c r="N125" s="4"/>
      <c r="O125" s="4"/>
      <c r="P125" s="3" t="s">
        <v>490</v>
      </c>
      <c r="Q125" s="1" t="str">
        <f>IF($B125=0,$M125,_xlfn.TEXTBEFORE(Q124,"/",$B125,,,Q124)&amp;"/"&amp;$M125)&amp;IF(_xlfn.TEXTAFTER($D125,"..",,,,1)&lt;&gt;"1","[0]","")</f>
        <v>*/GoodsShipment[0]/PreviousDocument[0]</v>
      </c>
    </row>
    <row r="126" spans="1:17" ht="12" customHeight="1" outlineLevel="3" x14ac:dyDescent="0.35">
      <c r="A126" s="2" t="str">
        <f>$E$2</f>
        <v>CC451B</v>
      </c>
      <c r="B126" s="1">
        <v>3</v>
      </c>
      <c r="C126" s="1" t="s">
        <v>19</v>
      </c>
      <c r="D126" s="2" t="s">
        <v>25</v>
      </c>
      <c r="E126" s="9" t="s">
        <v>56</v>
      </c>
      <c r="F126" s="7" t="s">
        <v>57</v>
      </c>
      <c r="G126" s="2" t="s">
        <v>27</v>
      </c>
      <c r="H126" s="2" t="s">
        <v>393</v>
      </c>
      <c r="M126" s="2" t="s">
        <v>58</v>
      </c>
      <c r="P126" s="2" t="s">
        <v>59</v>
      </c>
      <c r="Q126" s="1" t="str">
        <f>IF($B126=0,$M126,_xlfn.TEXTBEFORE(Q125,"/",$B126,,,Q125)&amp;"/"&amp;$M126)&amp;IF(_xlfn.TEXTAFTER($D126,"..",,,,1)&lt;&gt;"1","[0]","")</f>
        <v>*/GoodsShipment[0]/PreviousDocument[0]/sequenceNumber</v>
      </c>
    </row>
    <row r="127" spans="1:17" ht="12" customHeight="1" outlineLevel="3" x14ac:dyDescent="0.35">
      <c r="A127" s="2" t="str">
        <f>$E$2</f>
        <v>CC451B</v>
      </c>
      <c r="B127" s="1">
        <v>3</v>
      </c>
      <c r="C127" s="1" t="s">
        <v>19</v>
      </c>
      <c r="D127" s="2" t="s">
        <v>25</v>
      </c>
      <c r="E127" s="9" t="s">
        <v>2</v>
      </c>
      <c r="F127" s="7" t="s">
        <v>306</v>
      </c>
      <c r="G127" s="2" t="s">
        <v>27</v>
      </c>
      <c r="H127" s="2" t="s">
        <v>1286</v>
      </c>
      <c r="J127" s="2" t="s">
        <v>491</v>
      </c>
      <c r="M127" s="2" t="s">
        <v>61</v>
      </c>
      <c r="P127" s="2" t="s">
        <v>307</v>
      </c>
      <c r="Q127" s="1" t="str">
        <f>IF($B127=0,$M127,_xlfn.TEXTBEFORE(Q126,"/",$B127,,,Q126)&amp;"/"&amp;$M127)&amp;IF(_xlfn.TEXTAFTER($D127,"..",,,,1)&lt;&gt;"1","[0]","")</f>
        <v>*/GoodsShipment[0]/PreviousDocument[0]/type</v>
      </c>
    </row>
    <row r="128" spans="1:17" ht="12" customHeight="1" outlineLevel="3" x14ac:dyDescent="0.35">
      <c r="A128" s="2" t="str">
        <f>$E$2</f>
        <v>CC451B</v>
      </c>
      <c r="B128" s="1">
        <v>3</v>
      </c>
      <c r="C128" s="1" t="s">
        <v>19</v>
      </c>
      <c r="D128" s="2" t="s">
        <v>30</v>
      </c>
      <c r="E128" s="9" t="s">
        <v>142</v>
      </c>
      <c r="F128" s="7" t="s">
        <v>50</v>
      </c>
      <c r="G128" s="2" t="s">
        <v>396</v>
      </c>
      <c r="H128" s="2" t="s">
        <v>492</v>
      </c>
      <c r="I128" s="2" t="s">
        <v>493</v>
      </c>
      <c r="J128" s="2" t="s">
        <v>416</v>
      </c>
      <c r="M128" s="2" t="s">
        <v>143</v>
      </c>
      <c r="P128" s="2" t="s">
        <v>52</v>
      </c>
      <c r="Q128" s="1" t="str">
        <f>IF($B128=0,$M128,_xlfn.TEXTBEFORE(Q127,"/",$B128,,,Q127)&amp;"/"&amp;$M128)&amp;IF(_xlfn.TEXTAFTER($D128,"..",,,,1)&lt;&gt;"1","[0]","")</f>
        <v>*/GoodsShipment[0]/PreviousDocument[0]/ccQualifier</v>
      </c>
    </row>
    <row r="129" spans="1:17" ht="12" customHeight="1" outlineLevel="3" x14ac:dyDescent="0.35">
      <c r="A129" s="2" t="str">
        <f>$E$2</f>
        <v>CC451B</v>
      </c>
      <c r="B129" s="1">
        <v>3</v>
      </c>
      <c r="C129" s="1" t="s">
        <v>19</v>
      </c>
      <c r="D129" s="2" t="s">
        <v>25</v>
      </c>
      <c r="E129" s="9" t="s">
        <v>63</v>
      </c>
      <c r="F129" s="7" t="s">
        <v>83</v>
      </c>
      <c r="G129" s="2" t="s">
        <v>27</v>
      </c>
      <c r="H129" s="2" t="s">
        <v>494</v>
      </c>
      <c r="M129" s="2" t="s">
        <v>65</v>
      </c>
      <c r="P129" s="2" t="s">
        <v>308</v>
      </c>
      <c r="Q129" s="1" t="str">
        <f>IF($B129=0,$M129,_xlfn.TEXTBEFORE(Q128,"/",$B129,,,Q128)&amp;"/"&amp;$M129)&amp;IF(_xlfn.TEXTAFTER($D129,"..",,,,1)&lt;&gt;"1","[0]","")</f>
        <v>*/GoodsShipment[0]/PreviousDocument[0]/referenceNumber</v>
      </c>
    </row>
    <row r="130" spans="1:17" ht="12" customHeight="1" outlineLevel="2" x14ac:dyDescent="0.35">
      <c r="A130" s="3" t="str">
        <f>$E$2</f>
        <v>CC451B</v>
      </c>
      <c r="B130" s="4">
        <v>2</v>
      </c>
      <c r="C130" s="3" t="s">
        <v>24</v>
      </c>
      <c r="D130" s="3" t="s">
        <v>193</v>
      </c>
      <c r="E130" s="8" t="s">
        <v>495</v>
      </c>
      <c r="F130" s="4"/>
      <c r="G130" s="3" t="s">
        <v>22</v>
      </c>
      <c r="H130" s="3" t="s">
        <v>489</v>
      </c>
      <c r="I130" s="4"/>
      <c r="J130" s="4"/>
      <c r="K130" s="4"/>
      <c r="L130" s="4"/>
      <c r="M130" s="3" t="s">
        <v>496</v>
      </c>
      <c r="N130" s="4"/>
      <c r="O130" s="4"/>
      <c r="P130" s="3" t="s">
        <v>1500</v>
      </c>
      <c r="Q130" s="1" t="str">
        <f>IF($B130=0,$M130,_xlfn.TEXTBEFORE(Q129,"/",$B130,,,Q129)&amp;"/"&amp;$M130)&amp;IF(_xlfn.TEXTAFTER($D130,"..",,,,1)&lt;&gt;"1","[0]","")</f>
        <v>*/GoodsShipment[0]/SupportingDocument[0]</v>
      </c>
    </row>
    <row r="131" spans="1:17" ht="12" customHeight="1" outlineLevel="3" x14ac:dyDescent="0.35">
      <c r="A131" s="2" t="str">
        <f>$E$2</f>
        <v>CC451B</v>
      </c>
      <c r="B131" s="1">
        <v>3</v>
      </c>
      <c r="C131" s="1" t="s">
        <v>19</v>
      </c>
      <c r="D131" s="2" t="s">
        <v>25</v>
      </c>
      <c r="E131" s="9" t="s">
        <v>56</v>
      </c>
      <c r="F131" s="7" t="s">
        <v>57</v>
      </c>
      <c r="G131" s="2" t="s">
        <v>27</v>
      </c>
      <c r="H131" s="2" t="s">
        <v>393</v>
      </c>
      <c r="M131" s="2" t="s">
        <v>58</v>
      </c>
      <c r="P131" s="2" t="s">
        <v>59</v>
      </c>
      <c r="Q131" s="1" t="str">
        <f>IF($B131=0,$M131,_xlfn.TEXTBEFORE(Q130,"/",$B131,,,Q130)&amp;"/"&amp;$M131)&amp;IF(_xlfn.TEXTAFTER($D131,"..",,,,1)&lt;&gt;"1","[0]","")</f>
        <v>*/GoodsShipment[0]/SupportingDocument[0]/sequenceNumber</v>
      </c>
    </row>
    <row r="132" spans="1:17" ht="12" customHeight="1" outlineLevel="3" x14ac:dyDescent="0.35">
      <c r="A132" s="2" t="str">
        <f>$E$2</f>
        <v>CC451B</v>
      </c>
      <c r="B132" s="1">
        <v>3</v>
      </c>
      <c r="C132" s="1" t="s">
        <v>19</v>
      </c>
      <c r="D132" s="2" t="s">
        <v>25</v>
      </c>
      <c r="E132" s="9" t="s">
        <v>2</v>
      </c>
      <c r="F132" s="7" t="s">
        <v>306</v>
      </c>
      <c r="G132" s="2" t="s">
        <v>27</v>
      </c>
      <c r="H132" s="2" t="s">
        <v>477</v>
      </c>
      <c r="J132" s="2" t="s">
        <v>498</v>
      </c>
      <c r="M132" s="2" t="s">
        <v>61</v>
      </c>
      <c r="P132" s="2" t="s">
        <v>307</v>
      </c>
      <c r="Q132" s="1" t="str">
        <f>IF($B132=0,$M132,_xlfn.TEXTBEFORE(Q131,"/",$B132,,,Q131)&amp;"/"&amp;$M132)&amp;IF(_xlfn.TEXTAFTER($D132,"..",,,,1)&lt;&gt;"1","[0]","")</f>
        <v>*/GoodsShipment[0]/SupportingDocument[0]/type</v>
      </c>
    </row>
    <row r="133" spans="1:17" ht="12" customHeight="1" outlineLevel="3" x14ac:dyDescent="0.35">
      <c r="A133" s="2" t="str">
        <f>$E$2</f>
        <v>CC451B</v>
      </c>
      <c r="B133" s="1">
        <v>3</v>
      </c>
      <c r="C133" s="1" t="s">
        <v>19</v>
      </c>
      <c r="D133" s="2" t="s">
        <v>30</v>
      </c>
      <c r="E133" s="9" t="s">
        <v>142</v>
      </c>
      <c r="F133" s="7" t="s">
        <v>50</v>
      </c>
      <c r="G133" s="2" t="s">
        <v>396</v>
      </c>
      <c r="H133" s="2" t="s">
        <v>492</v>
      </c>
      <c r="I133" s="2" t="s">
        <v>493</v>
      </c>
      <c r="J133" s="2" t="s">
        <v>416</v>
      </c>
      <c r="M133" s="2" t="s">
        <v>143</v>
      </c>
      <c r="P133" s="2" t="s">
        <v>52</v>
      </c>
      <c r="Q133" s="1" t="str">
        <f>IF($B133=0,$M133,_xlfn.TEXTBEFORE(Q132,"/",$B133,,,Q132)&amp;"/"&amp;$M133)&amp;IF(_xlfn.TEXTAFTER($D133,"..",,,,1)&lt;&gt;"1","[0]","")</f>
        <v>*/GoodsShipment[0]/SupportingDocument[0]/ccQualifier</v>
      </c>
    </row>
    <row r="134" spans="1:17" ht="12" customHeight="1" outlineLevel="3" x14ac:dyDescent="0.35">
      <c r="A134" s="2" t="str">
        <f>$E$2</f>
        <v>CC451B</v>
      </c>
      <c r="B134" s="1">
        <v>3</v>
      </c>
      <c r="C134" s="1" t="s">
        <v>19</v>
      </c>
      <c r="D134" s="2" t="s">
        <v>25</v>
      </c>
      <c r="E134" s="9" t="s">
        <v>63</v>
      </c>
      <c r="F134" s="7" t="s">
        <v>83</v>
      </c>
      <c r="G134" s="2" t="s">
        <v>27</v>
      </c>
      <c r="H134" s="2" t="s">
        <v>494</v>
      </c>
      <c r="M134" s="2" t="s">
        <v>65</v>
      </c>
      <c r="P134" s="2" t="s">
        <v>308</v>
      </c>
      <c r="Q134" s="1" t="str">
        <f>IF($B134=0,$M134,_xlfn.TEXTBEFORE(Q133,"/",$B134,,,Q133)&amp;"/"&amp;$M134)&amp;IF(_xlfn.TEXTAFTER($D134,"..",,,,1)&lt;&gt;"1","[0]","")</f>
        <v>*/GoodsShipment[0]/SupportingDocument[0]/referenceNumber</v>
      </c>
    </row>
    <row r="135" spans="1:17" ht="12" customHeight="1" outlineLevel="3" x14ac:dyDescent="0.35">
      <c r="A135" s="2" t="str">
        <f>$E$2</f>
        <v>CC451B</v>
      </c>
      <c r="B135" s="1">
        <v>3</v>
      </c>
      <c r="C135" s="1" t="s">
        <v>19</v>
      </c>
      <c r="D135" s="2" t="s">
        <v>30</v>
      </c>
      <c r="E135" s="9" t="s">
        <v>499</v>
      </c>
      <c r="F135" s="7" t="s">
        <v>57</v>
      </c>
      <c r="G135" s="2" t="s">
        <v>22</v>
      </c>
      <c r="M135" s="2" t="s">
        <v>500</v>
      </c>
      <c r="P135" s="2" t="s">
        <v>255</v>
      </c>
      <c r="Q135" s="1" t="str">
        <f>IF($B135=0,$M135,_xlfn.TEXTBEFORE(Q134,"/",$B135,,,Q134)&amp;"/"&amp;$M135)&amp;IF(_xlfn.TEXTAFTER($D135,"..",,,,1)&lt;&gt;"1","[0]","")</f>
        <v>*/GoodsShipment[0]/SupportingDocument[0]/documentLineItemNumber</v>
      </c>
    </row>
    <row r="136" spans="1:17" ht="12" customHeight="1" outlineLevel="3" x14ac:dyDescent="0.35">
      <c r="A136" s="2" t="str">
        <f>$E$2</f>
        <v>CC451B</v>
      </c>
      <c r="B136" s="1">
        <v>3</v>
      </c>
      <c r="C136" s="1" t="s">
        <v>19</v>
      </c>
      <c r="D136" s="2" t="s">
        <v>30</v>
      </c>
      <c r="E136" s="9" t="s">
        <v>501</v>
      </c>
      <c r="F136" s="7" t="s">
        <v>83</v>
      </c>
      <c r="G136" s="2" t="s">
        <v>22</v>
      </c>
      <c r="M136" s="2" t="s">
        <v>502</v>
      </c>
      <c r="P136" s="2" t="s">
        <v>503</v>
      </c>
      <c r="Q136" s="1" t="str">
        <f>IF($B136=0,$M136,_xlfn.TEXTBEFORE(Q135,"/",$B136,,,Q135)&amp;"/"&amp;$M136)&amp;IF(_xlfn.TEXTAFTER($D136,"..",,,,1)&lt;&gt;"1","[0]","")</f>
        <v>*/GoodsShipment[0]/SupportingDocument[0]/issuingAuthorityName</v>
      </c>
    </row>
    <row r="137" spans="1:17" ht="12" customHeight="1" outlineLevel="3" x14ac:dyDescent="0.35">
      <c r="A137" s="2" t="str">
        <f>$E$2</f>
        <v>CC451B</v>
      </c>
      <c r="B137" s="1">
        <v>3</v>
      </c>
      <c r="C137" s="1" t="s">
        <v>19</v>
      </c>
      <c r="D137" s="2" t="s">
        <v>30</v>
      </c>
      <c r="E137" s="9" t="s">
        <v>504</v>
      </c>
      <c r="F137" s="2" t="s">
        <v>505</v>
      </c>
      <c r="G137" s="2" t="s">
        <v>22</v>
      </c>
      <c r="M137" s="2" t="s">
        <v>506</v>
      </c>
      <c r="P137" s="2" t="s">
        <v>507</v>
      </c>
      <c r="Q137" s="1" t="str">
        <f>IF($B137=0,$M137,_xlfn.TEXTBEFORE(Q136,"/",$B137,,,Q136)&amp;"/"&amp;$M137)&amp;IF(_xlfn.TEXTAFTER($D137,"..",,,,1)&lt;&gt;"1","[0]","")</f>
        <v>*/GoodsShipment[0]/SupportingDocument[0]/dateOfValidity</v>
      </c>
    </row>
    <row r="138" spans="1:17" ht="12" customHeight="1" outlineLevel="2" x14ac:dyDescent="0.35">
      <c r="A138" s="3" t="str">
        <f>$E$2</f>
        <v>CC451B</v>
      </c>
      <c r="B138" s="4">
        <v>2</v>
      </c>
      <c r="C138" s="3" t="s">
        <v>24</v>
      </c>
      <c r="D138" s="3" t="s">
        <v>193</v>
      </c>
      <c r="E138" s="8" t="s">
        <v>508</v>
      </c>
      <c r="F138" s="4"/>
      <c r="G138" s="3" t="s">
        <v>22</v>
      </c>
      <c r="H138" s="3" t="s">
        <v>489</v>
      </c>
      <c r="I138" s="4"/>
      <c r="J138" s="4"/>
      <c r="K138" s="4"/>
      <c r="L138" s="4"/>
      <c r="M138" s="3" t="s">
        <v>509</v>
      </c>
      <c r="N138" s="4"/>
      <c r="O138" s="4"/>
      <c r="P138" s="3" t="s">
        <v>510</v>
      </c>
      <c r="Q138" s="1" t="str">
        <f>IF($B138=0,$M138,_xlfn.TEXTBEFORE(Q137,"/",$B138,,,Q137)&amp;"/"&amp;$M138)&amp;IF(_xlfn.TEXTAFTER($D138,"..",,,,1)&lt;&gt;"1","[0]","")</f>
        <v>*/GoodsShipment[0]/AdditionalReference[0]</v>
      </c>
    </row>
    <row r="139" spans="1:17" ht="12" customHeight="1" outlineLevel="3" x14ac:dyDescent="0.35">
      <c r="A139" s="2" t="str">
        <f>$E$2</f>
        <v>CC451B</v>
      </c>
      <c r="B139" s="1">
        <v>3</v>
      </c>
      <c r="C139" s="1" t="s">
        <v>19</v>
      </c>
      <c r="D139" s="2" t="s">
        <v>25</v>
      </c>
      <c r="E139" s="9" t="s">
        <v>56</v>
      </c>
      <c r="F139" s="7" t="s">
        <v>57</v>
      </c>
      <c r="G139" s="2" t="s">
        <v>27</v>
      </c>
      <c r="H139" s="2" t="s">
        <v>393</v>
      </c>
      <c r="M139" s="2" t="s">
        <v>58</v>
      </c>
      <c r="P139" s="2" t="s">
        <v>59</v>
      </c>
      <c r="Q139" s="1" t="str">
        <f>IF($B139=0,$M139,_xlfn.TEXTBEFORE(Q138,"/",$B139,,,Q138)&amp;"/"&amp;$M139)&amp;IF(_xlfn.TEXTAFTER($D139,"..",,,,1)&lt;&gt;"1","[0]","")</f>
        <v>*/GoodsShipment[0]/AdditionalReference[0]/sequenceNumber</v>
      </c>
    </row>
    <row r="140" spans="1:17" ht="12" customHeight="1" outlineLevel="3" x14ac:dyDescent="0.35">
      <c r="A140" s="2" t="str">
        <f>$E$2</f>
        <v>CC451B</v>
      </c>
      <c r="B140" s="1">
        <v>3</v>
      </c>
      <c r="C140" s="1" t="s">
        <v>19</v>
      </c>
      <c r="D140" s="2" t="s">
        <v>25</v>
      </c>
      <c r="E140" s="9" t="s">
        <v>2</v>
      </c>
      <c r="F140" s="7" t="s">
        <v>306</v>
      </c>
      <c r="G140" s="2" t="s">
        <v>27</v>
      </c>
      <c r="J140" s="2" t="s">
        <v>511</v>
      </c>
      <c r="M140" s="2" t="s">
        <v>61</v>
      </c>
      <c r="P140" s="2" t="s">
        <v>307</v>
      </c>
      <c r="Q140" s="1" t="str">
        <f>IF($B140=0,$M140,_xlfn.TEXTBEFORE(Q139,"/",$B140,,,Q139)&amp;"/"&amp;$M140)&amp;IF(_xlfn.TEXTAFTER($D140,"..",,,,1)&lt;&gt;"1","[0]","")</f>
        <v>*/GoodsShipment[0]/AdditionalReference[0]/type</v>
      </c>
    </row>
    <row r="141" spans="1:17" ht="12" customHeight="1" outlineLevel="3" x14ac:dyDescent="0.35">
      <c r="A141" s="2" t="str">
        <f>$E$2</f>
        <v>CC451B</v>
      </c>
      <c r="B141" s="1">
        <v>3</v>
      </c>
      <c r="C141" s="1" t="s">
        <v>19</v>
      </c>
      <c r="D141" s="2" t="s">
        <v>30</v>
      </c>
      <c r="E141" s="9" t="s">
        <v>142</v>
      </c>
      <c r="F141" s="7" t="s">
        <v>50</v>
      </c>
      <c r="G141" s="2" t="s">
        <v>396</v>
      </c>
      <c r="H141" s="2" t="s">
        <v>512</v>
      </c>
      <c r="I141" s="2" t="s">
        <v>493</v>
      </c>
      <c r="J141" s="2" t="s">
        <v>416</v>
      </c>
      <c r="M141" s="2" t="s">
        <v>143</v>
      </c>
      <c r="P141" s="2" t="s">
        <v>52</v>
      </c>
      <c r="Q141" s="1" t="str">
        <f>IF($B141=0,$M141,_xlfn.TEXTBEFORE(Q140,"/",$B141,,,Q140)&amp;"/"&amp;$M141)&amp;IF(_xlfn.TEXTAFTER($D141,"..",,,,1)&lt;&gt;"1","[0]","")</f>
        <v>*/GoodsShipment[0]/AdditionalReference[0]/ccQualifier</v>
      </c>
    </row>
    <row r="142" spans="1:17" ht="12" customHeight="1" outlineLevel="3" x14ac:dyDescent="0.35">
      <c r="A142" s="2" t="str">
        <f>$E$2</f>
        <v>CC451B</v>
      </c>
      <c r="B142" s="1">
        <v>3</v>
      </c>
      <c r="C142" s="1" t="s">
        <v>19</v>
      </c>
      <c r="D142" s="2" t="s">
        <v>30</v>
      </c>
      <c r="E142" s="9" t="s">
        <v>63</v>
      </c>
      <c r="F142" s="7" t="s">
        <v>83</v>
      </c>
      <c r="G142" s="2" t="s">
        <v>22</v>
      </c>
      <c r="H142" s="2" t="s">
        <v>494</v>
      </c>
      <c r="M142" s="2" t="s">
        <v>65</v>
      </c>
      <c r="P142" s="2" t="s">
        <v>308</v>
      </c>
      <c r="Q142" s="1" t="str">
        <f>IF($B142=0,$M142,_xlfn.TEXTBEFORE(Q141,"/",$B142,,,Q141)&amp;"/"&amp;$M142)&amp;IF(_xlfn.TEXTAFTER($D142,"..",,,,1)&lt;&gt;"1","[0]","")</f>
        <v>*/GoodsShipment[0]/AdditionalReference[0]/referenceNumber</v>
      </c>
    </row>
    <row r="143" spans="1:17" ht="12" customHeight="1" outlineLevel="2" x14ac:dyDescent="0.35">
      <c r="A143" s="3" t="str">
        <f>$E$2</f>
        <v>CC451B</v>
      </c>
      <c r="B143" s="4">
        <v>2</v>
      </c>
      <c r="C143" s="3" t="s">
        <v>24</v>
      </c>
      <c r="D143" s="3" t="s">
        <v>193</v>
      </c>
      <c r="E143" s="8" t="s">
        <v>219</v>
      </c>
      <c r="F143" s="4"/>
      <c r="G143" s="3" t="s">
        <v>22</v>
      </c>
      <c r="H143" s="3" t="s">
        <v>489</v>
      </c>
      <c r="I143" s="4"/>
      <c r="J143" s="4"/>
      <c r="K143" s="4"/>
      <c r="L143" s="4"/>
      <c r="M143" s="3" t="s">
        <v>220</v>
      </c>
      <c r="N143" s="4"/>
      <c r="O143" s="4"/>
      <c r="P143" s="3" t="s">
        <v>221</v>
      </c>
      <c r="Q143" s="1" t="str">
        <f>IF($B143=0,$M143,_xlfn.TEXTBEFORE(Q142,"/",$B143,,,Q142)&amp;"/"&amp;$M143)&amp;IF(_xlfn.TEXTAFTER($D143,"..",,,,1)&lt;&gt;"1","[0]","")</f>
        <v>*/GoodsShipment[0]/AdditionalInformation[0]</v>
      </c>
    </row>
    <row r="144" spans="1:17" ht="12" customHeight="1" outlineLevel="3" x14ac:dyDescent="0.35">
      <c r="A144" s="2" t="str">
        <f>$E$2</f>
        <v>CC451B</v>
      </c>
      <c r="B144" s="1">
        <v>3</v>
      </c>
      <c r="C144" s="1" t="s">
        <v>19</v>
      </c>
      <c r="D144" s="2" t="s">
        <v>25</v>
      </c>
      <c r="E144" s="9" t="s">
        <v>56</v>
      </c>
      <c r="F144" s="7" t="s">
        <v>57</v>
      </c>
      <c r="G144" s="2" t="s">
        <v>27</v>
      </c>
      <c r="H144" s="2" t="s">
        <v>393</v>
      </c>
      <c r="M144" s="2" t="s">
        <v>58</v>
      </c>
      <c r="P144" s="2" t="s">
        <v>59</v>
      </c>
      <c r="Q144" s="1" t="str">
        <f>IF($B144=0,$M144,_xlfn.TEXTBEFORE(Q143,"/",$B144,,,Q143)&amp;"/"&amp;$M144)&amp;IF(_xlfn.TEXTAFTER($D144,"..",,,,1)&lt;&gt;"1","[0]","")</f>
        <v>*/GoodsShipment[0]/AdditionalInformation[0]/sequenceNumber</v>
      </c>
    </row>
    <row r="145" spans="1:17" ht="12" customHeight="1" outlineLevel="3" x14ac:dyDescent="0.35">
      <c r="A145" s="2" t="str">
        <f>$E$2</f>
        <v>CC451B</v>
      </c>
      <c r="B145" s="1">
        <v>3</v>
      </c>
      <c r="C145" s="1" t="s">
        <v>19</v>
      </c>
      <c r="D145" s="2" t="s">
        <v>25</v>
      </c>
      <c r="E145" s="9" t="s">
        <v>222</v>
      </c>
      <c r="F145" s="7" t="s">
        <v>223</v>
      </c>
      <c r="G145" s="2" t="s">
        <v>27</v>
      </c>
      <c r="H145" s="2" t="s">
        <v>477</v>
      </c>
      <c r="J145" s="2" t="s">
        <v>513</v>
      </c>
      <c r="M145" s="2" t="s">
        <v>224</v>
      </c>
      <c r="P145" s="2" t="s">
        <v>225</v>
      </c>
      <c r="Q145" s="1" t="str">
        <f>IF($B145=0,$M145,_xlfn.TEXTBEFORE(Q144,"/",$B145,,,Q144)&amp;"/"&amp;$M145)&amp;IF(_xlfn.TEXTAFTER($D145,"..",,,,1)&lt;&gt;"1","[0]","")</f>
        <v>*/GoodsShipment[0]/AdditionalInformation[0]/code</v>
      </c>
    </row>
    <row r="146" spans="1:17" ht="12" customHeight="1" outlineLevel="3" x14ac:dyDescent="0.35">
      <c r="A146" s="2" t="str">
        <f>$E$2</f>
        <v>CC451B</v>
      </c>
      <c r="B146" s="1">
        <v>3</v>
      </c>
      <c r="C146" s="1" t="s">
        <v>19</v>
      </c>
      <c r="D146" s="2" t="s">
        <v>30</v>
      </c>
      <c r="E146" s="9" t="s">
        <v>142</v>
      </c>
      <c r="F146" s="7" t="s">
        <v>50</v>
      </c>
      <c r="G146" s="2" t="s">
        <v>396</v>
      </c>
      <c r="H146" s="2" t="s">
        <v>512</v>
      </c>
      <c r="I146" s="2" t="s">
        <v>493</v>
      </c>
      <c r="J146" s="2" t="s">
        <v>416</v>
      </c>
      <c r="M146" s="2" t="s">
        <v>143</v>
      </c>
      <c r="P146" s="2" t="s">
        <v>52</v>
      </c>
      <c r="Q146" s="1" t="str">
        <f>IF($B146=0,$M146,_xlfn.TEXTBEFORE(Q145,"/",$B146,,,Q145)&amp;"/"&amp;$M146)&amp;IF(_xlfn.TEXTAFTER($D146,"..",,,,1)&lt;&gt;"1","[0]","")</f>
        <v>*/GoodsShipment[0]/AdditionalInformation[0]/ccQualifier</v>
      </c>
    </row>
    <row r="147" spans="1:17" ht="12" customHeight="1" outlineLevel="3" x14ac:dyDescent="0.35">
      <c r="A147" s="2" t="str">
        <f>$E$2</f>
        <v>CC451B</v>
      </c>
      <c r="B147" s="1">
        <v>3</v>
      </c>
      <c r="C147" s="1" t="s">
        <v>19</v>
      </c>
      <c r="D147" s="2" t="s">
        <v>30</v>
      </c>
      <c r="E147" s="9" t="s">
        <v>226</v>
      </c>
      <c r="F147" s="7" t="s">
        <v>216</v>
      </c>
      <c r="G147" s="2" t="s">
        <v>22</v>
      </c>
      <c r="M147" s="2" t="s">
        <v>227</v>
      </c>
      <c r="P147" s="2" t="s">
        <v>218</v>
      </c>
      <c r="Q147" s="1" t="str">
        <f>IF($B147=0,$M147,_xlfn.TEXTBEFORE(Q146,"/",$B147,,,Q146)&amp;"/"&amp;$M147)&amp;IF(_xlfn.TEXTAFTER($D147,"..",,,,1)&lt;&gt;"1","[0]","")</f>
        <v>*/GoodsShipment[0]/AdditionalInformation[0]/text</v>
      </c>
    </row>
    <row r="148" spans="1:17" ht="12" customHeight="1" outlineLevel="2" x14ac:dyDescent="0.35">
      <c r="A148" s="3" t="str">
        <f>$E$2</f>
        <v>CC451B</v>
      </c>
      <c r="B148" s="4">
        <v>2</v>
      </c>
      <c r="C148" s="3" t="s">
        <v>24</v>
      </c>
      <c r="D148" s="3" t="s">
        <v>193</v>
      </c>
      <c r="E148" s="8" t="s">
        <v>514</v>
      </c>
      <c r="F148" s="4"/>
      <c r="G148" s="3" t="s">
        <v>396</v>
      </c>
      <c r="H148" s="3" t="s">
        <v>595</v>
      </c>
      <c r="I148" s="3" t="s">
        <v>515</v>
      </c>
      <c r="J148" s="4"/>
      <c r="K148" s="4"/>
      <c r="L148" s="4"/>
      <c r="M148" s="3" t="s">
        <v>516</v>
      </c>
      <c r="N148" s="4"/>
      <c r="O148" s="4"/>
      <c r="P148" s="3" t="s">
        <v>1501</v>
      </c>
      <c r="Q148" s="1" t="str">
        <f>IF($B148=0,$M148,_xlfn.TEXTBEFORE(Q147,"/",$B148,,,Q147)&amp;"/"&amp;$M148)&amp;IF(_xlfn.TEXTAFTER($D148,"..",,,,1)&lt;&gt;"1","[0]","")</f>
        <v>*/GoodsShipment[0]/AdditionsAndDeductions[0]</v>
      </c>
    </row>
    <row r="149" spans="1:17" ht="12" customHeight="1" outlineLevel="3" x14ac:dyDescent="0.35">
      <c r="A149" s="2" t="str">
        <f>$E$2</f>
        <v>CC451B</v>
      </c>
      <c r="B149" s="1">
        <v>3</v>
      </c>
      <c r="C149" s="1" t="s">
        <v>19</v>
      </c>
      <c r="D149" s="2" t="s">
        <v>25</v>
      </c>
      <c r="E149" s="9" t="s">
        <v>56</v>
      </c>
      <c r="F149" s="7" t="s">
        <v>57</v>
      </c>
      <c r="G149" s="2" t="s">
        <v>27</v>
      </c>
      <c r="H149" s="2" t="s">
        <v>393</v>
      </c>
      <c r="M149" s="2" t="s">
        <v>58</v>
      </c>
      <c r="P149" s="2" t="s">
        <v>59</v>
      </c>
      <c r="Q149" s="1" t="str">
        <f>IF($B149=0,$M149,_xlfn.TEXTBEFORE(Q148,"/",$B149,,,Q148)&amp;"/"&amp;$M149)&amp;IF(_xlfn.TEXTAFTER($D149,"..",,,,1)&lt;&gt;"1","[0]","")</f>
        <v>*/GoodsShipment[0]/AdditionsAndDeductions[0]/sequenceNumber</v>
      </c>
    </row>
    <row r="150" spans="1:17" ht="12" customHeight="1" outlineLevel="3" x14ac:dyDescent="0.35">
      <c r="A150" s="2" t="str">
        <f>$E$2</f>
        <v>CC451B</v>
      </c>
      <c r="B150" s="1">
        <v>3</v>
      </c>
      <c r="C150" s="1" t="s">
        <v>19</v>
      </c>
      <c r="D150" s="2" t="s">
        <v>25</v>
      </c>
      <c r="E150" s="9" t="s">
        <v>222</v>
      </c>
      <c r="F150" s="7" t="s">
        <v>518</v>
      </c>
      <c r="G150" s="2" t="s">
        <v>27</v>
      </c>
      <c r="J150" s="2" t="s">
        <v>519</v>
      </c>
      <c r="M150" s="2" t="s">
        <v>224</v>
      </c>
      <c r="P150" s="2" t="s">
        <v>520</v>
      </c>
      <c r="Q150" s="1" t="str">
        <f>IF($B150=0,$M150,_xlfn.TEXTBEFORE(Q149,"/",$B150,,,Q149)&amp;"/"&amp;$M150)&amp;IF(_xlfn.TEXTAFTER($D150,"..",,,,1)&lt;&gt;"1","[0]","")</f>
        <v>*/GoodsShipment[0]/AdditionsAndDeductions[0]/code</v>
      </c>
    </row>
    <row r="151" spans="1:17" ht="12" customHeight="1" outlineLevel="3" x14ac:dyDescent="0.35">
      <c r="A151" s="2" t="str">
        <f>$E$2</f>
        <v>CC451B</v>
      </c>
      <c r="B151" s="1">
        <v>3</v>
      </c>
      <c r="C151" s="1" t="s">
        <v>19</v>
      </c>
      <c r="D151" s="2" t="s">
        <v>25</v>
      </c>
      <c r="E151" s="9" t="s">
        <v>524</v>
      </c>
      <c r="F151" s="7" t="s">
        <v>181</v>
      </c>
      <c r="G151" s="2" t="s">
        <v>27</v>
      </c>
      <c r="M151" s="2" t="s">
        <v>525</v>
      </c>
      <c r="P151" s="2" t="s">
        <v>183</v>
      </c>
      <c r="Q151" s="1" t="str">
        <f>IF($B151=0,$M151,_xlfn.TEXTBEFORE(Q150,"/",$B151,,,Q150)&amp;"/"&amp;$M151)&amp;IF(_xlfn.TEXTAFTER($D151,"..",,,,1)&lt;&gt;"1","[0]","")</f>
        <v>*/GoodsShipment[0]/AdditionsAndDeductions[0]/amount</v>
      </c>
    </row>
    <row r="152" spans="1:17" ht="12" customHeight="1" outlineLevel="2" x14ac:dyDescent="0.35">
      <c r="A152" s="3" t="str">
        <f>$E$2</f>
        <v>CC451B</v>
      </c>
      <c r="B152" s="4">
        <v>2</v>
      </c>
      <c r="C152" s="3" t="s">
        <v>24</v>
      </c>
      <c r="D152" s="3" t="s">
        <v>193</v>
      </c>
      <c r="E152" s="8" t="s">
        <v>528</v>
      </c>
      <c r="F152" s="4"/>
      <c r="G152" s="3" t="s">
        <v>396</v>
      </c>
      <c r="H152" s="3" t="s">
        <v>1287</v>
      </c>
      <c r="I152" s="16" t="s">
        <v>1288</v>
      </c>
      <c r="J152" s="4"/>
      <c r="K152" s="4"/>
      <c r="L152" s="4"/>
      <c r="M152" s="3" t="s">
        <v>530</v>
      </c>
      <c r="N152" s="4"/>
      <c r="O152" s="4"/>
      <c r="P152" s="3" t="s">
        <v>531</v>
      </c>
      <c r="Q152" s="1" t="str">
        <f>IF($B152=0,$M152,_xlfn.TEXTBEFORE(Q151,"/",$B152,,,Q151)&amp;"/"&amp;$M152)&amp;IF(_xlfn.TEXTAFTER($D152,"..",,,,1)&lt;&gt;"1","[0]","")</f>
        <v>*/GoodsShipment[0]/AdditionalFiscalReference[0]</v>
      </c>
    </row>
    <row r="153" spans="1:17" ht="12" customHeight="1" outlineLevel="3" x14ac:dyDescent="0.35">
      <c r="A153" s="2" t="str">
        <f>$E$2</f>
        <v>CC451B</v>
      </c>
      <c r="B153" s="1">
        <v>3</v>
      </c>
      <c r="C153" s="1" t="s">
        <v>19</v>
      </c>
      <c r="D153" s="2" t="s">
        <v>25</v>
      </c>
      <c r="E153" s="9" t="s">
        <v>56</v>
      </c>
      <c r="F153" s="7" t="s">
        <v>57</v>
      </c>
      <c r="G153" s="2" t="s">
        <v>27</v>
      </c>
      <c r="H153" s="2" t="s">
        <v>393</v>
      </c>
      <c r="M153" s="2" t="s">
        <v>58</v>
      </c>
      <c r="P153" s="2" t="s">
        <v>59</v>
      </c>
      <c r="Q153" s="1" t="str">
        <f>IF($B153=0,$M153,_xlfn.TEXTBEFORE(Q152,"/",$B153,,,Q152)&amp;"/"&amp;$M153)&amp;IF(_xlfn.TEXTAFTER($D153,"..",,,,1)&lt;&gt;"1","[0]","")</f>
        <v>*/GoodsShipment[0]/AdditionalFiscalReference[0]/sequenceNumber</v>
      </c>
    </row>
    <row r="154" spans="1:17" ht="12" customHeight="1" outlineLevel="3" x14ac:dyDescent="0.35">
      <c r="A154" s="2" t="str">
        <f>$E$2</f>
        <v>CC451B</v>
      </c>
      <c r="B154" s="1">
        <v>3</v>
      </c>
      <c r="C154" s="1" t="s">
        <v>19</v>
      </c>
      <c r="D154" s="2" t="s">
        <v>25</v>
      </c>
      <c r="E154" s="9" t="s">
        <v>197</v>
      </c>
      <c r="F154" s="7" t="s">
        <v>333</v>
      </c>
      <c r="G154" s="2" t="s">
        <v>27</v>
      </c>
      <c r="J154" s="2" t="s">
        <v>532</v>
      </c>
      <c r="M154" s="2" t="s">
        <v>199</v>
      </c>
      <c r="P154" s="2" t="s">
        <v>533</v>
      </c>
      <c r="Q154" s="1" t="str">
        <f>IF($B154=0,$M154,_xlfn.TEXTBEFORE(Q153,"/",$B154,,,Q153)&amp;"/"&amp;$M154)&amp;IF(_xlfn.TEXTAFTER($D154,"..",,,,1)&lt;&gt;"1","[0]","")</f>
        <v>*/GoodsShipment[0]/AdditionalFiscalReference[0]/role</v>
      </c>
    </row>
    <row r="155" spans="1:17" ht="12" customHeight="1" outlineLevel="3" x14ac:dyDescent="0.35">
      <c r="A155" s="2" t="str">
        <f>$E$2</f>
        <v>CC451B</v>
      </c>
      <c r="B155" s="1">
        <v>3</v>
      </c>
      <c r="C155" s="1" t="s">
        <v>19</v>
      </c>
      <c r="D155" s="2" t="s">
        <v>25</v>
      </c>
      <c r="E155" s="9" t="s">
        <v>534</v>
      </c>
      <c r="F155" s="7" t="s">
        <v>103</v>
      </c>
      <c r="G155" s="2" t="s">
        <v>27</v>
      </c>
      <c r="M155" s="2" t="s">
        <v>535</v>
      </c>
      <c r="P155" s="2" t="s">
        <v>536</v>
      </c>
      <c r="Q155" s="1" t="str">
        <f>IF($B155=0,$M155,_xlfn.TEXTBEFORE(Q154,"/",$B155,,,Q154)&amp;"/"&amp;$M155)&amp;IF(_xlfn.TEXTAFTER($D155,"..",,,,1)&lt;&gt;"1","[0]","")</f>
        <v>*/GoodsShipment[0]/AdditionalFiscalReference[0]/VATIdentificationNumber</v>
      </c>
    </row>
    <row r="156" spans="1:17" ht="12" customHeight="1" outlineLevel="2" x14ac:dyDescent="0.35">
      <c r="A156" s="3" t="str">
        <f>$E$2</f>
        <v>CC451B</v>
      </c>
      <c r="B156" s="4">
        <v>2</v>
      </c>
      <c r="C156" s="3" t="s">
        <v>24</v>
      </c>
      <c r="D156" s="3" t="s">
        <v>25</v>
      </c>
      <c r="E156" s="8" t="s">
        <v>241</v>
      </c>
      <c r="F156" s="4"/>
      <c r="G156" s="3" t="s">
        <v>27</v>
      </c>
      <c r="H156" s="4"/>
      <c r="I156" s="4"/>
      <c r="J156" s="4"/>
      <c r="K156" s="4"/>
      <c r="L156" s="4"/>
      <c r="M156" s="3" t="s">
        <v>241</v>
      </c>
      <c r="N156" s="4"/>
      <c r="O156" s="4"/>
      <c r="P156" s="3" t="s">
        <v>1502</v>
      </c>
      <c r="Q156" s="1" t="str">
        <f>IF($B156=0,$M156,_xlfn.TEXTBEFORE(Q155,"/",$B156,,,Q155)&amp;"/"&amp;$M156)&amp;IF(_xlfn.TEXTAFTER($D156,"..",,,,1)&lt;&gt;"1","[0]","")</f>
        <v>*/GoodsShipment[0]/Consignment</v>
      </c>
    </row>
    <row r="157" spans="1:17" ht="12" customHeight="1" outlineLevel="3" x14ac:dyDescent="0.35">
      <c r="A157" s="2" t="str">
        <f>$E$2</f>
        <v>CC451B</v>
      </c>
      <c r="B157" s="1">
        <v>3</v>
      </c>
      <c r="C157" s="1" t="s">
        <v>19</v>
      </c>
      <c r="D157" s="2" t="s">
        <v>30</v>
      </c>
      <c r="E157" s="9" t="s">
        <v>538</v>
      </c>
      <c r="F157" s="7" t="s">
        <v>123</v>
      </c>
      <c r="G157" s="2" t="s">
        <v>396</v>
      </c>
      <c r="I157" s="2" t="s">
        <v>1264</v>
      </c>
      <c r="J157" s="2" t="s">
        <v>539</v>
      </c>
      <c r="M157" s="2" t="s">
        <v>540</v>
      </c>
      <c r="P157" s="2" t="s">
        <v>367</v>
      </c>
      <c r="Q157" s="1" t="str">
        <f>IF($B157=0,$M157,_xlfn.TEXTBEFORE(Q156,"/",$B157,,,Q156)&amp;"/"&amp;$M157)&amp;IF(_xlfn.TEXTAFTER($D157,"..",,,,1)&lt;&gt;"1","[0]","")</f>
        <v>*/GoodsShipment[0]/Consignment/containerIndicator</v>
      </c>
    </row>
    <row r="158" spans="1:17" ht="12" customHeight="1" outlineLevel="3" x14ac:dyDescent="0.35">
      <c r="A158" s="2" t="str">
        <f>$E$2</f>
        <v>CC451B</v>
      </c>
      <c r="B158" s="1">
        <v>3</v>
      </c>
      <c r="C158" s="1" t="s">
        <v>19</v>
      </c>
      <c r="D158" s="2" t="s">
        <v>30</v>
      </c>
      <c r="E158" s="9" t="s">
        <v>541</v>
      </c>
      <c r="F158" s="7" t="s">
        <v>123</v>
      </c>
      <c r="G158" s="2" t="s">
        <v>396</v>
      </c>
      <c r="H158" s="2" t="s">
        <v>542</v>
      </c>
      <c r="I158" s="2" t="s">
        <v>543</v>
      </c>
      <c r="J158" s="2" t="s">
        <v>544</v>
      </c>
      <c r="M158" s="2" t="s">
        <v>545</v>
      </c>
      <c r="P158" s="2" t="s">
        <v>546</v>
      </c>
      <c r="Q158" s="1" t="str">
        <f>IF($B158=0,$M158,_xlfn.TEXTBEFORE(Q157,"/",$B158,,,Q157)&amp;"/"&amp;$M158)&amp;IF(_xlfn.TEXTAFTER($D158,"..",,,,1)&lt;&gt;"1","[0]","")</f>
        <v>*/GoodsShipment[0]/Consignment/inlandModeOfTransport</v>
      </c>
    </row>
    <row r="159" spans="1:17" ht="12" customHeight="1" outlineLevel="3" x14ac:dyDescent="0.35">
      <c r="A159" s="2" t="str">
        <f>$E$2</f>
        <v>CC451B</v>
      </c>
      <c r="B159" s="1">
        <v>3</v>
      </c>
      <c r="C159" s="1" t="s">
        <v>19</v>
      </c>
      <c r="D159" s="2" t="s">
        <v>30</v>
      </c>
      <c r="E159" s="9" t="s">
        <v>547</v>
      </c>
      <c r="F159" s="7" t="s">
        <v>123</v>
      </c>
      <c r="G159" s="2" t="s">
        <v>396</v>
      </c>
      <c r="H159" s="2" t="s">
        <v>1289</v>
      </c>
      <c r="I159" s="7" t="s">
        <v>1290</v>
      </c>
      <c r="J159" s="2" t="s">
        <v>544</v>
      </c>
      <c r="M159" s="2" t="s">
        <v>550</v>
      </c>
      <c r="P159" s="2" t="s">
        <v>546</v>
      </c>
      <c r="Q159" s="1" t="str">
        <f>IF($B159=0,$M159,_xlfn.TEXTBEFORE(Q158,"/",$B159,,,Q158)&amp;"/"&amp;$M159)&amp;IF(_xlfn.TEXTAFTER($D159,"..",,,,1)&lt;&gt;"1","[0]","")</f>
        <v>*/GoodsShipment[0]/Consignment/modeOfTransportAtTheBorder</v>
      </c>
    </row>
    <row r="160" spans="1:17" ht="12" customHeight="1" outlineLevel="3" x14ac:dyDescent="0.35">
      <c r="A160" s="2" t="str">
        <f>$E$2</f>
        <v>CC451B</v>
      </c>
      <c r="B160" s="1">
        <v>3</v>
      </c>
      <c r="C160" s="1" t="s">
        <v>19</v>
      </c>
      <c r="D160" s="2" t="s">
        <v>30</v>
      </c>
      <c r="E160" s="9" t="s">
        <v>310</v>
      </c>
      <c r="F160" s="7" t="s">
        <v>311</v>
      </c>
      <c r="G160" s="2" t="s">
        <v>22</v>
      </c>
      <c r="H160" s="2" t="s">
        <v>551</v>
      </c>
      <c r="M160" s="2" t="s">
        <v>312</v>
      </c>
      <c r="P160" s="2" t="s">
        <v>313</v>
      </c>
      <c r="Q160" s="1" t="str">
        <f>IF($B160=0,$M160,_xlfn.TEXTBEFORE(Q159,"/",$B160,,,Q159)&amp;"/"&amp;$M160)&amp;IF(_xlfn.TEXTAFTER($D160,"..",,,,1)&lt;&gt;"1","[0]","")</f>
        <v>*/GoodsShipment[0]/Consignment/grossMass</v>
      </c>
    </row>
    <row r="161" spans="1:17" ht="12" customHeight="1" outlineLevel="3" x14ac:dyDescent="0.35">
      <c r="A161" s="2" t="str">
        <f>$E$2</f>
        <v>CC451B</v>
      </c>
      <c r="B161" s="1">
        <v>3</v>
      </c>
      <c r="C161" s="1" t="s">
        <v>19</v>
      </c>
      <c r="D161" s="2" t="s">
        <v>30</v>
      </c>
      <c r="E161" s="9" t="s">
        <v>552</v>
      </c>
      <c r="F161" s="7" t="s">
        <v>156</v>
      </c>
      <c r="G161" s="2" t="s">
        <v>22</v>
      </c>
      <c r="M161" s="2" t="s">
        <v>553</v>
      </c>
      <c r="P161" s="2" t="s">
        <v>554</v>
      </c>
      <c r="Q161" s="1" t="str">
        <f>IF($B161=0,$M161,_xlfn.TEXTBEFORE(Q160,"/",$B161,,,Q160)&amp;"/"&amp;$M161)&amp;IF(_xlfn.TEXTAFTER($D161,"..",,,,1)&lt;&gt;"1","[0]","")</f>
        <v>*/GoodsShipment[0]/Consignment/referenceNumberUCR</v>
      </c>
    </row>
    <row r="162" spans="1:17" ht="12" customHeight="1" outlineLevel="3" x14ac:dyDescent="0.35">
      <c r="A162" s="3" t="str">
        <f>$E$2</f>
        <v>CC451B</v>
      </c>
      <c r="B162" s="4">
        <v>3</v>
      </c>
      <c r="C162" s="3" t="s">
        <v>24</v>
      </c>
      <c r="D162" s="3" t="s">
        <v>314</v>
      </c>
      <c r="E162" s="10" t="s">
        <v>244</v>
      </c>
      <c r="F162" s="4"/>
      <c r="G162" s="3" t="s">
        <v>22</v>
      </c>
      <c r="H162" s="3" t="s">
        <v>555</v>
      </c>
      <c r="I162" s="4"/>
      <c r="J162" s="4"/>
      <c r="K162" s="4"/>
      <c r="L162" s="4"/>
      <c r="M162" s="3" t="s">
        <v>245</v>
      </c>
      <c r="N162" s="4"/>
      <c r="O162" s="4"/>
      <c r="P162" s="3" t="s">
        <v>315</v>
      </c>
      <c r="Q162" s="1" t="str">
        <f>IF($B162=0,$M162,_xlfn.TEXTBEFORE(Q161,"/",$B162,,,Q161)&amp;"/"&amp;$M162)&amp;IF(_xlfn.TEXTAFTER($D162,"..",,,,1)&lt;&gt;"1","[0]","")</f>
        <v>*/GoodsShipment[0]/Consignment/TransportEquipment[0]</v>
      </c>
    </row>
    <row r="163" spans="1:17" ht="12" customHeight="1" outlineLevel="4" x14ac:dyDescent="0.35">
      <c r="A163" s="2" t="str">
        <f>$E$2</f>
        <v>CC451B</v>
      </c>
      <c r="B163" s="1">
        <v>4</v>
      </c>
      <c r="C163" s="1" t="s">
        <v>19</v>
      </c>
      <c r="D163" s="2" t="s">
        <v>25</v>
      </c>
      <c r="E163" s="11" t="s">
        <v>56</v>
      </c>
      <c r="F163" s="7" t="s">
        <v>57</v>
      </c>
      <c r="G163" s="2" t="s">
        <v>27</v>
      </c>
      <c r="H163" s="2" t="s">
        <v>393</v>
      </c>
      <c r="M163" s="2" t="s">
        <v>58</v>
      </c>
      <c r="P163" s="2" t="s">
        <v>59</v>
      </c>
      <c r="Q163" s="1" t="str">
        <f>IF($B163=0,$M163,_xlfn.TEXTBEFORE(Q162,"/",$B163,,,Q162)&amp;"/"&amp;$M163)&amp;IF(_xlfn.TEXTAFTER($D163,"..",,,,1)&lt;&gt;"1","[0]","")</f>
        <v>*/GoodsShipment[0]/Consignment/TransportEquipment[0]/sequenceNumber</v>
      </c>
    </row>
    <row r="164" spans="1:17" ht="12" customHeight="1" outlineLevel="4" x14ac:dyDescent="0.35">
      <c r="A164" s="2" t="str">
        <f>$E$2</f>
        <v>CC451B</v>
      </c>
      <c r="B164" s="1">
        <v>4</v>
      </c>
      <c r="C164" s="1" t="s">
        <v>19</v>
      </c>
      <c r="D164" s="2" t="s">
        <v>25</v>
      </c>
      <c r="E164" s="11" t="s">
        <v>247</v>
      </c>
      <c r="F164" s="7" t="s">
        <v>837</v>
      </c>
      <c r="G164" s="2" t="s">
        <v>27</v>
      </c>
      <c r="M164" s="2" t="s">
        <v>248</v>
      </c>
      <c r="P164" s="2" t="s">
        <v>249</v>
      </c>
      <c r="Q164" s="1" t="str">
        <f>IF($B164=0,$M164,_xlfn.TEXTBEFORE(Q163,"/",$B164,,,Q163)&amp;"/"&amp;$M164)&amp;IF(_xlfn.TEXTAFTER($D164,"..",,,,1)&lt;&gt;"1","[0]","")</f>
        <v>*/GoodsShipment[0]/Consignment/TransportEquipment[0]/containerIdentificationNumber</v>
      </c>
    </row>
    <row r="165" spans="1:17" ht="12" customHeight="1" outlineLevel="4" x14ac:dyDescent="0.35">
      <c r="A165" s="3" t="str">
        <f>$E$2</f>
        <v>CC451B</v>
      </c>
      <c r="B165" s="4">
        <v>4</v>
      </c>
      <c r="C165" s="3" t="s">
        <v>24</v>
      </c>
      <c r="D165" s="3" t="s">
        <v>314</v>
      </c>
      <c r="E165" s="12" t="s">
        <v>250</v>
      </c>
      <c r="F165" s="4"/>
      <c r="G165" s="3" t="s">
        <v>396</v>
      </c>
      <c r="H165" s="4"/>
      <c r="I165" s="3" t="s">
        <v>556</v>
      </c>
      <c r="J165" s="4"/>
      <c r="K165" s="4"/>
      <c r="L165" s="4"/>
      <c r="M165" s="3" t="s">
        <v>251</v>
      </c>
      <c r="N165" s="4"/>
      <c r="O165" s="4"/>
      <c r="P165" s="3" t="s">
        <v>252</v>
      </c>
      <c r="Q165" s="1" t="str">
        <f>IF($B165=0,$M165,_xlfn.TEXTBEFORE(Q164,"/",$B165,,,Q164)&amp;"/"&amp;$M165)&amp;IF(_xlfn.TEXTAFTER($D165,"..",,,,1)&lt;&gt;"1","[0]","")</f>
        <v>*/GoodsShipment[0]/Consignment/TransportEquipment[0]/GoodsReference[0]</v>
      </c>
    </row>
    <row r="166" spans="1:17" ht="12" customHeight="1" outlineLevel="5" x14ac:dyDescent="0.35">
      <c r="A166" s="2" t="str">
        <f>$E$2</f>
        <v>CC451B</v>
      </c>
      <c r="B166" s="1">
        <v>5</v>
      </c>
      <c r="C166" s="1" t="s">
        <v>19</v>
      </c>
      <c r="D166" s="2" t="s">
        <v>25</v>
      </c>
      <c r="E166" s="13" t="s">
        <v>56</v>
      </c>
      <c r="F166" s="7" t="s">
        <v>57</v>
      </c>
      <c r="G166" s="2" t="s">
        <v>27</v>
      </c>
      <c r="H166" s="2" t="s">
        <v>393</v>
      </c>
      <c r="M166" s="2" t="s">
        <v>58</v>
      </c>
      <c r="P166" s="2" t="s">
        <v>59</v>
      </c>
      <c r="Q166" s="1" t="str">
        <f>IF($B166=0,$M166,_xlfn.TEXTBEFORE(Q165,"/",$B166,,,Q165)&amp;"/"&amp;$M166)&amp;IF(_xlfn.TEXTAFTER($D166,"..",,,,1)&lt;&gt;"1","[0]","")</f>
        <v>*/GoodsShipment[0]/Consignment/TransportEquipment[0]/GoodsReference[0]/sequenceNumber</v>
      </c>
    </row>
    <row r="167" spans="1:17" ht="12" customHeight="1" outlineLevel="5" x14ac:dyDescent="0.35">
      <c r="A167" s="2" t="str">
        <f>$E$2</f>
        <v>CC451B</v>
      </c>
      <c r="B167" s="1">
        <v>5</v>
      </c>
      <c r="C167" s="1" t="s">
        <v>19</v>
      </c>
      <c r="D167" s="2" t="s">
        <v>25</v>
      </c>
      <c r="E167" s="13" t="s">
        <v>253</v>
      </c>
      <c r="F167" s="7" t="s">
        <v>57</v>
      </c>
      <c r="G167" s="2" t="s">
        <v>27</v>
      </c>
      <c r="M167" s="2" t="s">
        <v>254</v>
      </c>
      <c r="P167" s="2" t="s">
        <v>255</v>
      </c>
      <c r="Q167" s="1" t="str">
        <f>IF($B167=0,$M167,_xlfn.TEXTBEFORE(Q166,"/",$B167,,,Q166)&amp;"/"&amp;$M167)&amp;IF(_xlfn.TEXTAFTER($D167,"..",,,,1)&lt;&gt;"1","[0]","")</f>
        <v>*/GoodsShipment[0]/Consignment/TransportEquipment[0]/GoodsReference[0]/declarationGoodsItemNumber</v>
      </c>
    </row>
    <row r="168" spans="1:17" ht="12" customHeight="1" outlineLevel="3" x14ac:dyDescent="0.35">
      <c r="A168" s="3" t="str">
        <f>$E$2</f>
        <v>CC451B</v>
      </c>
      <c r="B168" s="4">
        <v>3</v>
      </c>
      <c r="C168" s="3" t="s">
        <v>24</v>
      </c>
      <c r="D168" s="3" t="s">
        <v>30</v>
      </c>
      <c r="E168" s="10" t="s">
        <v>256</v>
      </c>
      <c r="F168" s="4"/>
      <c r="G168" s="3" t="s">
        <v>396</v>
      </c>
      <c r="H168" s="3" t="s">
        <v>557</v>
      </c>
      <c r="I168" s="16" t="s">
        <v>752</v>
      </c>
      <c r="J168" s="4"/>
      <c r="K168" s="4"/>
      <c r="L168" s="4"/>
      <c r="M168" s="3" t="s">
        <v>257</v>
      </c>
      <c r="N168" s="4"/>
      <c r="O168" s="4"/>
      <c r="P168" s="3" t="s">
        <v>258</v>
      </c>
      <c r="Q168" s="1" t="str">
        <f>IF($B168=0,$M168,_xlfn.TEXTBEFORE(Q167,"/",$B168,,,Q167)&amp;"/"&amp;$M168)&amp;IF(_xlfn.TEXTAFTER($D168,"..",,,,1)&lt;&gt;"1","[0]","")</f>
        <v>*/GoodsShipment[0]/Consignment/LocationOfGoods</v>
      </c>
    </row>
    <row r="169" spans="1:17" ht="12" customHeight="1" outlineLevel="4" x14ac:dyDescent="0.35">
      <c r="A169" s="2" t="str">
        <f>$E$2</f>
        <v>CC451B</v>
      </c>
      <c r="B169" s="1">
        <v>4</v>
      </c>
      <c r="C169" s="1" t="s">
        <v>19</v>
      </c>
      <c r="D169" s="2" t="s">
        <v>25</v>
      </c>
      <c r="E169" s="11" t="s">
        <v>259</v>
      </c>
      <c r="F169" s="7" t="s">
        <v>44</v>
      </c>
      <c r="G169" s="2" t="s">
        <v>27</v>
      </c>
      <c r="J169" s="2" t="s">
        <v>558</v>
      </c>
      <c r="M169" s="2" t="s">
        <v>260</v>
      </c>
      <c r="P169" s="2" t="s">
        <v>261</v>
      </c>
      <c r="Q169" s="1" t="str">
        <f>IF($B169=0,$M169,_xlfn.TEXTBEFORE(Q168,"/",$B169,,,Q168)&amp;"/"&amp;$M169)&amp;IF(_xlfn.TEXTAFTER($D169,"..",,,,1)&lt;&gt;"1","[0]","")</f>
        <v>*/GoodsShipment[0]/Consignment/LocationOfGoods/typeOfLocation</v>
      </c>
    </row>
    <row r="170" spans="1:17" ht="12" customHeight="1" outlineLevel="4" x14ac:dyDescent="0.35">
      <c r="A170" s="2" t="str">
        <f>$E$2</f>
        <v>CC451B</v>
      </c>
      <c r="B170" s="1">
        <v>4</v>
      </c>
      <c r="C170" s="1" t="s">
        <v>19</v>
      </c>
      <c r="D170" s="2" t="s">
        <v>25</v>
      </c>
      <c r="E170" s="11" t="s">
        <v>262</v>
      </c>
      <c r="F170" s="7" t="s">
        <v>44</v>
      </c>
      <c r="G170" s="2" t="s">
        <v>27</v>
      </c>
      <c r="H170" s="2" t="s">
        <v>559</v>
      </c>
      <c r="J170" s="2" t="s">
        <v>560</v>
      </c>
      <c r="M170" s="2" t="s">
        <v>263</v>
      </c>
      <c r="P170" s="2" t="s">
        <v>264</v>
      </c>
      <c r="Q170" s="1" t="str">
        <f>IF($B170=0,$M170,_xlfn.TEXTBEFORE(Q169,"/",$B170,,,Q169)&amp;"/"&amp;$M170)&amp;IF(_xlfn.TEXTAFTER($D170,"..",,,,1)&lt;&gt;"1","[0]","")</f>
        <v>*/GoodsShipment[0]/Consignment/LocationOfGoods/qualifierOfIdentification</v>
      </c>
    </row>
    <row r="171" spans="1:17" ht="12" customHeight="1" outlineLevel="4" x14ac:dyDescent="0.35">
      <c r="A171" s="2" t="str">
        <f>$E$2</f>
        <v>CC451B</v>
      </c>
      <c r="B171" s="1">
        <v>4</v>
      </c>
      <c r="C171" s="1" t="s">
        <v>19</v>
      </c>
      <c r="D171" s="2" t="s">
        <v>30</v>
      </c>
      <c r="E171" s="11" t="s">
        <v>265</v>
      </c>
      <c r="F171" s="7" t="s">
        <v>834</v>
      </c>
      <c r="G171" s="2" t="s">
        <v>396</v>
      </c>
      <c r="I171" s="2" t="s">
        <v>561</v>
      </c>
      <c r="M171" s="2" t="s">
        <v>266</v>
      </c>
      <c r="P171" s="2" t="s">
        <v>66</v>
      </c>
      <c r="Q171" s="1" t="str">
        <f>IF($B171=0,$M171,_xlfn.TEXTBEFORE(Q170,"/",$B171,,,Q170)&amp;"/"&amp;$M171)&amp;IF(_xlfn.TEXTAFTER($D171,"..",,,,1)&lt;&gt;"1","[0]","")</f>
        <v>*/GoodsShipment[0]/Consignment/LocationOfGoods/authorisationNumber</v>
      </c>
    </row>
    <row r="172" spans="1:17" ht="12" customHeight="1" outlineLevel="4" x14ac:dyDescent="0.35">
      <c r="A172" s="2" t="str">
        <f>$E$2</f>
        <v>CC451B</v>
      </c>
      <c r="B172" s="1">
        <v>4</v>
      </c>
      <c r="C172" s="1" t="s">
        <v>19</v>
      </c>
      <c r="D172" s="2" t="s">
        <v>30</v>
      </c>
      <c r="E172" s="11" t="s">
        <v>267</v>
      </c>
      <c r="F172" s="7" t="s">
        <v>60</v>
      </c>
      <c r="G172" s="2" t="s">
        <v>396</v>
      </c>
      <c r="I172" s="2" t="s">
        <v>562</v>
      </c>
      <c r="M172" s="2" t="s">
        <v>268</v>
      </c>
      <c r="P172" s="2" t="s">
        <v>269</v>
      </c>
      <c r="Q172" s="1" t="str">
        <f>IF($B172=0,$M172,_xlfn.TEXTBEFORE(Q171,"/",$B172,,,Q171)&amp;"/"&amp;$M172)&amp;IF(_xlfn.TEXTAFTER($D172,"..",,,,1)&lt;&gt;"1","[0]","")</f>
        <v>*/GoodsShipment[0]/Consignment/LocationOfGoods/additionalIdentifier</v>
      </c>
    </row>
    <row r="173" spans="1:17" ht="12" customHeight="1" outlineLevel="4" x14ac:dyDescent="0.35">
      <c r="A173" s="2" t="str">
        <f>$E$2</f>
        <v>CC451B</v>
      </c>
      <c r="B173" s="1">
        <v>4</v>
      </c>
      <c r="C173" s="1" t="s">
        <v>19</v>
      </c>
      <c r="D173" s="2" t="s">
        <v>30</v>
      </c>
      <c r="E173" s="11" t="s">
        <v>270</v>
      </c>
      <c r="F173" s="7" t="s">
        <v>103</v>
      </c>
      <c r="G173" s="2" t="s">
        <v>396</v>
      </c>
      <c r="I173" s="2" t="s">
        <v>561</v>
      </c>
      <c r="J173" s="2" t="s">
        <v>459</v>
      </c>
      <c r="M173" s="2" t="s">
        <v>271</v>
      </c>
      <c r="P173" s="2" t="s">
        <v>272</v>
      </c>
      <c r="Q173" s="1" t="str">
        <f>IF($B173=0,$M173,_xlfn.TEXTBEFORE(Q172,"/",$B173,,,Q172)&amp;"/"&amp;$M173)&amp;IF(_xlfn.TEXTAFTER($D173,"..",,,,1)&lt;&gt;"1","[0]","")</f>
        <v>*/GoodsShipment[0]/Consignment/LocationOfGoods/UNLOCODE</v>
      </c>
    </row>
    <row r="174" spans="1:17" ht="12" customHeight="1" outlineLevel="4" x14ac:dyDescent="0.35">
      <c r="A174" s="3" t="str">
        <f>$E$2</f>
        <v>CC451B</v>
      </c>
      <c r="B174" s="4">
        <v>4</v>
      </c>
      <c r="C174" s="3" t="s">
        <v>24</v>
      </c>
      <c r="D174" s="3" t="s">
        <v>30</v>
      </c>
      <c r="E174" s="12" t="s">
        <v>273</v>
      </c>
      <c r="F174" s="4"/>
      <c r="G174" s="3" t="s">
        <v>396</v>
      </c>
      <c r="H174" s="4"/>
      <c r="I174" s="3" t="s">
        <v>561</v>
      </c>
      <c r="J174" s="4"/>
      <c r="K174" s="4"/>
      <c r="L174" s="4"/>
      <c r="M174" s="3" t="s">
        <v>274</v>
      </c>
      <c r="N174" s="4"/>
      <c r="O174" s="4"/>
      <c r="P174" s="3" t="s">
        <v>275</v>
      </c>
      <c r="Q174" s="1" t="str">
        <f>IF($B174=0,$M174,_xlfn.TEXTBEFORE(Q173,"/",$B174,,,Q173)&amp;"/"&amp;$M174)&amp;IF(_xlfn.TEXTAFTER($D174,"..",,,,1)&lt;&gt;"1","[0]","")</f>
        <v>*/GoodsShipment[0]/Consignment/LocationOfGoods/CustomsOffice</v>
      </c>
    </row>
    <row r="175" spans="1:17" ht="12" customHeight="1" outlineLevel="5" x14ac:dyDescent="0.35">
      <c r="A175" s="2" t="str">
        <f>$E$2</f>
        <v>CC451B</v>
      </c>
      <c r="B175" s="1">
        <v>5</v>
      </c>
      <c r="C175" s="1" t="s">
        <v>19</v>
      </c>
      <c r="D175" s="2" t="s">
        <v>25</v>
      </c>
      <c r="E175" s="13" t="s">
        <v>63</v>
      </c>
      <c r="F175" s="7" t="s">
        <v>74</v>
      </c>
      <c r="G175" s="2" t="s">
        <v>27</v>
      </c>
      <c r="J175" s="2" t="s">
        <v>399</v>
      </c>
      <c r="M175" s="2" t="s">
        <v>65</v>
      </c>
      <c r="P175" s="2" t="s">
        <v>75</v>
      </c>
      <c r="Q175" s="1" t="str">
        <f>IF($B175=0,$M175,_xlfn.TEXTBEFORE(Q174,"/",$B175,,,Q174)&amp;"/"&amp;$M175)&amp;IF(_xlfn.TEXTAFTER($D175,"..",,,,1)&lt;&gt;"1","[0]","")</f>
        <v>*/GoodsShipment[0]/Consignment/LocationOfGoods/CustomsOffice/referenceNumber</v>
      </c>
    </row>
    <row r="176" spans="1:17" ht="12" customHeight="1" outlineLevel="4" x14ac:dyDescent="0.35">
      <c r="A176" s="3" t="str">
        <f>$E$2</f>
        <v>CC451B</v>
      </c>
      <c r="B176" s="4">
        <v>4</v>
      </c>
      <c r="C176" s="3" t="s">
        <v>24</v>
      </c>
      <c r="D176" s="3" t="s">
        <v>30</v>
      </c>
      <c r="E176" s="12" t="s">
        <v>276</v>
      </c>
      <c r="F176" s="4"/>
      <c r="G176" s="3" t="s">
        <v>396</v>
      </c>
      <c r="H176" s="3" t="s">
        <v>563</v>
      </c>
      <c r="I176" s="3" t="s">
        <v>561</v>
      </c>
      <c r="J176" s="4"/>
      <c r="K176" s="4"/>
      <c r="L176" s="4"/>
      <c r="M176" s="3" t="s">
        <v>277</v>
      </c>
      <c r="N176" s="4"/>
      <c r="O176" s="4"/>
      <c r="P176" s="3" t="s">
        <v>278</v>
      </c>
      <c r="Q176" s="1" t="str">
        <f>IF($B176=0,$M176,_xlfn.TEXTBEFORE(Q175,"/",$B176,,,Q175)&amp;"/"&amp;$M176)&amp;IF(_xlfn.TEXTAFTER($D176,"..",,,,1)&lt;&gt;"1","[0]","")</f>
        <v>*/GoodsShipment[0]/Consignment/LocationOfGoods/GNSS</v>
      </c>
    </row>
    <row r="177" spans="1:17" ht="12" customHeight="1" outlineLevel="5" x14ac:dyDescent="0.35">
      <c r="A177" s="2" t="str">
        <f>$E$2</f>
        <v>CC451B</v>
      </c>
      <c r="B177" s="1">
        <v>5</v>
      </c>
      <c r="C177" s="1" t="s">
        <v>19</v>
      </c>
      <c r="D177" s="2" t="s">
        <v>25</v>
      </c>
      <c r="E177" s="13" t="s">
        <v>279</v>
      </c>
      <c r="F177" s="7" t="s">
        <v>280</v>
      </c>
      <c r="G177" s="2" t="s">
        <v>27</v>
      </c>
      <c r="M177" s="2" t="s">
        <v>281</v>
      </c>
      <c r="P177" s="2" t="s">
        <v>282</v>
      </c>
      <c r="Q177" s="1" t="str">
        <f>IF($B177=0,$M177,_xlfn.TEXTBEFORE(Q176,"/",$B177,,,Q176)&amp;"/"&amp;$M177)&amp;IF(_xlfn.TEXTAFTER($D177,"..",,,,1)&lt;&gt;"1","[0]","")</f>
        <v>*/GoodsShipment[0]/Consignment/LocationOfGoods/GNSS/latitude</v>
      </c>
    </row>
    <row r="178" spans="1:17" ht="12" customHeight="1" outlineLevel="5" x14ac:dyDescent="0.35">
      <c r="A178" s="2" t="str">
        <f>$E$2</f>
        <v>CC451B</v>
      </c>
      <c r="B178" s="1">
        <v>5</v>
      </c>
      <c r="C178" s="1" t="s">
        <v>19</v>
      </c>
      <c r="D178" s="2" t="s">
        <v>25</v>
      </c>
      <c r="E178" s="13" t="s">
        <v>283</v>
      </c>
      <c r="F178" s="7" t="s">
        <v>284</v>
      </c>
      <c r="G178" s="2" t="s">
        <v>27</v>
      </c>
      <c r="M178" s="2" t="s">
        <v>285</v>
      </c>
      <c r="P178" s="2" t="s">
        <v>286</v>
      </c>
      <c r="Q178" s="1" t="str">
        <f>IF($B178=0,$M178,_xlfn.TEXTBEFORE(Q177,"/",$B178,,,Q177)&amp;"/"&amp;$M178)&amp;IF(_xlfn.TEXTAFTER($D178,"..",,,,1)&lt;&gt;"1","[0]","")</f>
        <v>*/GoodsShipment[0]/Consignment/LocationOfGoods/GNSS/longitude</v>
      </c>
    </row>
    <row r="179" spans="1:17" ht="12" customHeight="1" outlineLevel="4" x14ac:dyDescent="0.35">
      <c r="A179" s="3" t="str">
        <f>$E$2</f>
        <v>CC451B</v>
      </c>
      <c r="B179" s="4">
        <v>4</v>
      </c>
      <c r="C179" s="3" t="s">
        <v>24</v>
      </c>
      <c r="D179" s="3" t="s">
        <v>30</v>
      </c>
      <c r="E179" s="12" t="s">
        <v>287</v>
      </c>
      <c r="F179" s="4"/>
      <c r="G179" s="3" t="s">
        <v>396</v>
      </c>
      <c r="H179" s="4"/>
      <c r="I179" s="3" t="s">
        <v>561</v>
      </c>
      <c r="J179" s="4"/>
      <c r="K179" s="4"/>
      <c r="L179" s="4"/>
      <c r="M179" s="3" t="s">
        <v>288</v>
      </c>
      <c r="N179" s="4"/>
      <c r="O179" s="4"/>
      <c r="P179" s="3" t="s">
        <v>289</v>
      </c>
      <c r="Q179" s="1" t="str">
        <f>IF($B179=0,$M179,_xlfn.TEXTBEFORE(Q178,"/",$B179,,,Q178)&amp;"/"&amp;$M179)&amp;IF(_xlfn.TEXTAFTER($D179,"..",,,,1)&lt;&gt;"1","[0]","")</f>
        <v>*/GoodsShipment[0]/Consignment/LocationOfGoods/EconomicOperator</v>
      </c>
    </row>
    <row r="180" spans="1:17" ht="12" customHeight="1" outlineLevel="5" x14ac:dyDescent="0.35">
      <c r="A180" s="2" t="str">
        <f>$E$2</f>
        <v>CC451B</v>
      </c>
      <c r="B180" s="1">
        <v>5</v>
      </c>
      <c r="C180" s="1" t="s">
        <v>19</v>
      </c>
      <c r="D180" s="2" t="s">
        <v>25</v>
      </c>
      <c r="E180" s="13" t="s">
        <v>81</v>
      </c>
      <c r="F180" s="7" t="s">
        <v>68</v>
      </c>
      <c r="G180" s="2" t="s">
        <v>27</v>
      </c>
      <c r="M180" s="2" t="s">
        <v>82</v>
      </c>
      <c r="P180" s="2" t="s">
        <v>70</v>
      </c>
      <c r="Q180" s="1" t="str">
        <f>IF($B180=0,$M180,_xlfn.TEXTBEFORE(Q179,"/",$B180,,,Q179)&amp;"/"&amp;$M180)&amp;IF(_xlfn.TEXTAFTER($D180,"..",,,,1)&lt;&gt;"1","[0]","")</f>
        <v>*/GoodsShipment[0]/Consignment/LocationOfGoods/EconomicOperator/identificationNumber</v>
      </c>
    </row>
    <row r="181" spans="1:17" ht="12" customHeight="1" outlineLevel="4" x14ac:dyDescent="0.35">
      <c r="A181" s="3" t="str">
        <f>$E$2</f>
        <v>CC451B</v>
      </c>
      <c r="B181" s="4">
        <v>4</v>
      </c>
      <c r="C181" s="3" t="s">
        <v>24</v>
      </c>
      <c r="D181" s="3" t="s">
        <v>30</v>
      </c>
      <c r="E181" s="12" t="s">
        <v>86</v>
      </c>
      <c r="F181" s="4"/>
      <c r="G181" s="3" t="s">
        <v>396</v>
      </c>
      <c r="H181" s="4"/>
      <c r="I181" s="3" t="s">
        <v>561</v>
      </c>
      <c r="J181" s="4"/>
      <c r="K181" s="4"/>
      <c r="L181" s="4"/>
      <c r="M181" s="3" t="s">
        <v>86</v>
      </c>
      <c r="N181" s="4"/>
      <c r="O181" s="4"/>
      <c r="P181" s="3" t="s">
        <v>87</v>
      </c>
      <c r="Q181" s="1" t="str">
        <f>IF($B181=0,$M181,_xlfn.TEXTBEFORE(Q180,"/",$B181,,,Q180)&amp;"/"&amp;$M181)&amp;IF(_xlfn.TEXTAFTER($D181,"..",,,,1)&lt;&gt;"1","[0]","")</f>
        <v>*/GoodsShipment[0]/Consignment/LocationOfGoods/Address</v>
      </c>
    </row>
    <row r="182" spans="1:17" ht="12" customHeight="1" outlineLevel="5" x14ac:dyDescent="0.35">
      <c r="A182" s="2" t="str">
        <f>$E$2</f>
        <v>CC451B</v>
      </c>
      <c r="B182" s="1">
        <v>5</v>
      </c>
      <c r="C182" s="1" t="s">
        <v>19</v>
      </c>
      <c r="D182" s="2" t="s">
        <v>25</v>
      </c>
      <c r="E182" s="13" t="s">
        <v>88</v>
      </c>
      <c r="F182" s="7" t="s">
        <v>83</v>
      </c>
      <c r="G182" s="2" t="s">
        <v>27</v>
      </c>
      <c r="M182" s="2" t="s">
        <v>89</v>
      </c>
      <c r="P182" s="2" t="s">
        <v>90</v>
      </c>
      <c r="Q182" s="1" t="str">
        <f>IF($B182=0,$M182,_xlfn.TEXTBEFORE(Q181,"/",$B182,,,Q181)&amp;"/"&amp;$M182)&amp;IF(_xlfn.TEXTAFTER($D182,"..",,,,1)&lt;&gt;"1","[0]","")</f>
        <v>*/GoodsShipment[0]/Consignment/LocationOfGoods/Address/streetAndNumber</v>
      </c>
    </row>
    <row r="183" spans="1:17" ht="12" customHeight="1" outlineLevel="5" x14ac:dyDescent="0.35">
      <c r="A183" s="2" t="str">
        <f>$E$2</f>
        <v>CC451B</v>
      </c>
      <c r="B183" s="1">
        <v>5</v>
      </c>
      <c r="C183" s="1" t="s">
        <v>19</v>
      </c>
      <c r="D183" s="2" t="s">
        <v>30</v>
      </c>
      <c r="E183" s="13" t="s">
        <v>91</v>
      </c>
      <c r="F183" s="7" t="s">
        <v>92</v>
      </c>
      <c r="G183" s="2" t="s">
        <v>396</v>
      </c>
      <c r="I183" s="2" t="s">
        <v>402</v>
      </c>
      <c r="M183" s="2" t="s">
        <v>93</v>
      </c>
      <c r="P183" s="2" t="s">
        <v>94</v>
      </c>
      <c r="Q183" s="1" t="str">
        <f>IF($B183=0,$M183,_xlfn.TEXTBEFORE(Q182,"/",$B183,,,Q182)&amp;"/"&amp;$M183)&amp;IF(_xlfn.TEXTAFTER($D183,"..",,,,1)&lt;&gt;"1","[0]","")</f>
        <v>*/GoodsShipment[0]/Consignment/LocationOfGoods/Address/postcode</v>
      </c>
    </row>
    <row r="184" spans="1:17" ht="12" customHeight="1" outlineLevel="5" x14ac:dyDescent="0.35">
      <c r="A184" s="2" t="str">
        <f>$E$2</f>
        <v>CC451B</v>
      </c>
      <c r="B184" s="1">
        <v>5</v>
      </c>
      <c r="C184" s="1" t="s">
        <v>19</v>
      </c>
      <c r="D184" s="2" t="s">
        <v>25</v>
      </c>
      <c r="E184" s="13" t="s">
        <v>95</v>
      </c>
      <c r="F184" s="7" t="s">
        <v>96</v>
      </c>
      <c r="G184" s="2" t="s">
        <v>27</v>
      </c>
      <c r="M184" s="2" t="s">
        <v>97</v>
      </c>
      <c r="P184" s="2" t="s">
        <v>98</v>
      </c>
      <c r="Q184" s="1" t="str">
        <f>IF($B184=0,$M184,_xlfn.TEXTBEFORE(Q183,"/",$B184,,,Q183)&amp;"/"&amp;$M184)&amp;IF(_xlfn.TEXTAFTER($D184,"..",,,,1)&lt;&gt;"1","[0]","")</f>
        <v>*/GoodsShipment[0]/Consignment/LocationOfGoods/Address/city</v>
      </c>
    </row>
    <row r="185" spans="1:17" ht="12" customHeight="1" outlineLevel="5" x14ac:dyDescent="0.35">
      <c r="A185" s="2" t="str">
        <f>$E$2</f>
        <v>CC451B</v>
      </c>
      <c r="B185" s="1">
        <v>5</v>
      </c>
      <c r="C185" s="1" t="s">
        <v>19</v>
      </c>
      <c r="D185" s="2" t="s">
        <v>25</v>
      </c>
      <c r="E185" s="13" t="s">
        <v>99</v>
      </c>
      <c r="F185" s="7" t="s">
        <v>50</v>
      </c>
      <c r="G185" s="2" t="s">
        <v>27</v>
      </c>
      <c r="J185" s="2" t="s">
        <v>403</v>
      </c>
      <c r="M185" s="2" t="s">
        <v>100</v>
      </c>
      <c r="P185" s="2" t="s">
        <v>52</v>
      </c>
      <c r="Q185" s="1" t="str">
        <f>IF($B185=0,$M185,_xlfn.TEXTBEFORE(Q184,"/",$B185,,,Q184)&amp;"/"&amp;$M185)&amp;IF(_xlfn.TEXTAFTER($D185,"..",,,,1)&lt;&gt;"1","[0]","")</f>
        <v>*/GoodsShipment[0]/Consignment/LocationOfGoods/Address/country</v>
      </c>
    </row>
    <row r="186" spans="1:17" ht="12" customHeight="1" outlineLevel="4" x14ac:dyDescent="0.35">
      <c r="A186" s="3" t="str">
        <f>$E$2</f>
        <v>CC451B</v>
      </c>
      <c r="B186" s="4">
        <v>4</v>
      </c>
      <c r="C186" s="3" t="s">
        <v>24</v>
      </c>
      <c r="D186" s="3" t="s">
        <v>30</v>
      </c>
      <c r="E186" s="12" t="s">
        <v>290</v>
      </c>
      <c r="F186" s="4"/>
      <c r="G186" s="3" t="s">
        <v>396</v>
      </c>
      <c r="H186" s="4"/>
      <c r="I186" s="3" t="s">
        <v>561</v>
      </c>
      <c r="J186" s="4"/>
      <c r="K186" s="4"/>
      <c r="L186" s="4"/>
      <c r="M186" s="3" t="s">
        <v>291</v>
      </c>
      <c r="N186" s="4"/>
      <c r="O186" s="4"/>
      <c r="P186" s="3" t="s">
        <v>292</v>
      </c>
      <c r="Q186" s="1" t="str">
        <f>IF($B186=0,$M186,_xlfn.TEXTBEFORE(Q185,"/",$B186,,,Q185)&amp;"/"&amp;$M186)&amp;IF(_xlfn.TEXTAFTER($D186,"..",,,,1)&lt;&gt;"1","[0]","")</f>
        <v>*/GoodsShipment[0]/Consignment/LocationOfGoods/PostcodeAddress</v>
      </c>
    </row>
    <row r="187" spans="1:17" ht="12" customHeight="1" outlineLevel="5" x14ac:dyDescent="0.35">
      <c r="A187" s="2" t="str">
        <f>$E$2</f>
        <v>CC451B</v>
      </c>
      <c r="B187" s="1">
        <v>5</v>
      </c>
      <c r="C187" s="1" t="s">
        <v>19</v>
      </c>
      <c r="D187" s="2" t="s">
        <v>30</v>
      </c>
      <c r="E187" s="13" t="s">
        <v>293</v>
      </c>
      <c r="F187" s="7" t="s">
        <v>96</v>
      </c>
      <c r="G187" s="2" t="s">
        <v>396</v>
      </c>
      <c r="I187" s="2" t="s">
        <v>564</v>
      </c>
      <c r="M187" s="2" t="s">
        <v>294</v>
      </c>
      <c r="P187" s="2" t="s">
        <v>295</v>
      </c>
      <c r="Q187" s="1" t="str">
        <f>IF($B187=0,$M187,_xlfn.TEXTBEFORE(Q186,"/",$B187,,,Q186)&amp;"/"&amp;$M187)&amp;IF(_xlfn.TEXTAFTER($D187,"..",,,,1)&lt;&gt;"1","[0]","")</f>
        <v>*/GoodsShipment[0]/Consignment/LocationOfGoods/PostcodeAddress/houseNumber</v>
      </c>
    </row>
    <row r="188" spans="1:17" ht="12" customHeight="1" outlineLevel="5" x14ac:dyDescent="0.35">
      <c r="A188" s="2" t="str">
        <f>$E$2</f>
        <v>CC451B</v>
      </c>
      <c r="B188" s="1">
        <v>5</v>
      </c>
      <c r="C188" s="1" t="s">
        <v>19</v>
      </c>
      <c r="D188" s="2" t="s">
        <v>25</v>
      </c>
      <c r="E188" s="13" t="s">
        <v>91</v>
      </c>
      <c r="F188" s="7" t="s">
        <v>92</v>
      </c>
      <c r="G188" s="2" t="s">
        <v>27</v>
      </c>
      <c r="M188" s="2" t="s">
        <v>93</v>
      </c>
      <c r="P188" s="2" t="s">
        <v>94</v>
      </c>
      <c r="Q188" s="1" t="str">
        <f>IF($B188=0,$M188,_xlfn.TEXTBEFORE(Q187,"/",$B188,,,Q187)&amp;"/"&amp;$M188)&amp;IF(_xlfn.TEXTAFTER($D188,"..",,,,1)&lt;&gt;"1","[0]","")</f>
        <v>*/GoodsShipment[0]/Consignment/LocationOfGoods/PostcodeAddress/postcode</v>
      </c>
    </row>
    <row r="189" spans="1:17" ht="12" customHeight="1" outlineLevel="5" x14ac:dyDescent="0.35">
      <c r="A189" s="2" t="str">
        <f>$E$2</f>
        <v>CC451B</v>
      </c>
      <c r="B189" s="1">
        <v>5</v>
      </c>
      <c r="C189" s="1" t="s">
        <v>19</v>
      </c>
      <c r="D189" s="2" t="s">
        <v>25</v>
      </c>
      <c r="E189" s="13" t="s">
        <v>99</v>
      </c>
      <c r="F189" s="7" t="s">
        <v>50</v>
      </c>
      <c r="G189" s="2" t="s">
        <v>27</v>
      </c>
      <c r="J189" s="2" t="s">
        <v>565</v>
      </c>
      <c r="M189" s="2" t="s">
        <v>100</v>
      </c>
      <c r="P189" s="2" t="s">
        <v>52</v>
      </c>
      <c r="Q189" s="1" t="str">
        <f>IF($B189=0,$M189,_xlfn.TEXTBEFORE(Q188,"/",$B189,,,Q188)&amp;"/"&amp;$M189)&amp;IF(_xlfn.TEXTAFTER($D189,"..",,,,1)&lt;&gt;"1","[0]","")</f>
        <v>*/GoodsShipment[0]/Consignment/LocationOfGoods/PostcodeAddress/country</v>
      </c>
    </row>
    <row r="190" spans="1:17" ht="12" customHeight="1" outlineLevel="3" x14ac:dyDescent="0.35">
      <c r="A190" s="3" t="str">
        <f>$E$2</f>
        <v>CC451B</v>
      </c>
      <c r="B190" s="4">
        <v>3</v>
      </c>
      <c r="C190" s="3" t="s">
        <v>24</v>
      </c>
      <c r="D190" s="3" t="s">
        <v>30</v>
      </c>
      <c r="E190" s="10" t="s">
        <v>566</v>
      </c>
      <c r="F190" s="4"/>
      <c r="G190" s="3" t="s">
        <v>396</v>
      </c>
      <c r="H190" s="3" t="s">
        <v>1291</v>
      </c>
      <c r="I190" s="16" t="s">
        <v>1292</v>
      </c>
      <c r="J190" s="4"/>
      <c r="K190" s="4"/>
      <c r="L190" s="4"/>
      <c r="M190" s="3" t="s">
        <v>568</v>
      </c>
      <c r="N190" s="4"/>
      <c r="O190" s="4"/>
      <c r="P190" s="3" t="s">
        <v>569</v>
      </c>
      <c r="Q190" s="1" t="str">
        <f>IF($B190=0,$M190,_xlfn.TEXTBEFORE(Q189,"/",$B190,,,Q189)&amp;"/"&amp;$M190)&amp;IF(_xlfn.TEXTAFTER($D190,"..",,,,1)&lt;&gt;"1","[0]","")</f>
        <v>*/GoodsShipment[0]/Consignment/ArrivalTransportMeans</v>
      </c>
    </row>
    <row r="191" spans="1:17" ht="12" customHeight="1" outlineLevel="4" x14ac:dyDescent="0.35">
      <c r="A191" s="2" t="str">
        <f>$E$2</f>
        <v>CC451B</v>
      </c>
      <c r="B191" s="1">
        <v>4</v>
      </c>
      <c r="C191" s="1" t="s">
        <v>19</v>
      </c>
      <c r="D191" s="2" t="s">
        <v>25</v>
      </c>
      <c r="E191" s="11" t="s">
        <v>570</v>
      </c>
      <c r="F191" s="7" t="s">
        <v>132</v>
      </c>
      <c r="G191" s="2" t="s">
        <v>27</v>
      </c>
      <c r="J191" s="2" t="s">
        <v>571</v>
      </c>
      <c r="M191" s="2" t="s">
        <v>572</v>
      </c>
      <c r="P191" s="2" t="s">
        <v>573</v>
      </c>
      <c r="Q191" s="1" t="str">
        <f>IF($B191=0,$M191,_xlfn.TEXTBEFORE(Q190,"/",$B191,,,Q190)&amp;"/"&amp;$M191)&amp;IF(_xlfn.TEXTAFTER($D191,"..",,,,1)&lt;&gt;"1","[0]","")</f>
        <v>*/GoodsShipment[0]/Consignment/ArrivalTransportMeans/typeOfIdentification</v>
      </c>
    </row>
    <row r="192" spans="1:17" ht="12" customHeight="1" outlineLevel="4" x14ac:dyDescent="0.35">
      <c r="A192" s="2" t="str">
        <f>$E$2</f>
        <v>CC451B</v>
      </c>
      <c r="B192" s="1">
        <v>4</v>
      </c>
      <c r="C192" s="1" t="s">
        <v>19</v>
      </c>
      <c r="D192" s="2" t="s">
        <v>25</v>
      </c>
      <c r="E192" s="11" t="s">
        <v>81</v>
      </c>
      <c r="F192" s="7" t="s">
        <v>96</v>
      </c>
      <c r="G192" s="2" t="s">
        <v>27</v>
      </c>
      <c r="M192" s="2" t="s">
        <v>82</v>
      </c>
      <c r="P192" s="2" t="s">
        <v>574</v>
      </c>
      <c r="Q192" s="1" t="str">
        <f>IF($B192=0,$M192,_xlfn.TEXTBEFORE(Q191,"/",$B192,,,Q191)&amp;"/"&amp;$M192)&amp;IF(_xlfn.TEXTAFTER($D192,"..",,,,1)&lt;&gt;"1","[0]","")</f>
        <v>*/GoodsShipment[0]/Consignment/ArrivalTransportMeans/identificationNumber</v>
      </c>
    </row>
    <row r="193" spans="1:17" ht="12" customHeight="1" outlineLevel="3" x14ac:dyDescent="0.35">
      <c r="A193" s="3" t="str">
        <f>$E$2</f>
        <v>CC451B</v>
      </c>
      <c r="B193" s="4">
        <v>3</v>
      </c>
      <c r="C193" s="3" t="s">
        <v>24</v>
      </c>
      <c r="D193" s="3" t="s">
        <v>30</v>
      </c>
      <c r="E193" s="10" t="s">
        <v>575</v>
      </c>
      <c r="F193" s="4"/>
      <c r="G193" s="3" t="s">
        <v>396</v>
      </c>
      <c r="H193" s="3" t="s">
        <v>1293</v>
      </c>
      <c r="I193" s="16" t="s">
        <v>1294</v>
      </c>
      <c r="J193" s="4"/>
      <c r="K193" s="4"/>
      <c r="L193" s="4"/>
      <c r="M193" s="3" t="s">
        <v>578</v>
      </c>
      <c r="N193" s="4"/>
      <c r="O193" s="4"/>
      <c r="P193" s="3" t="s">
        <v>579</v>
      </c>
      <c r="Q193" s="1" t="str">
        <f>IF($B193=0,$M193,_xlfn.TEXTBEFORE(Q192,"/",$B193,,,Q192)&amp;"/"&amp;$M193)&amp;IF(_xlfn.TEXTAFTER($D193,"..",,,,1)&lt;&gt;"1","[0]","")</f>
        <v>*/GoodsShipment[0]/Consignment/ActiveBorderTransportMeans</v>
      </c>
    </row>
    <row r="194" spans="1:17" ht="12" customHeight="1" outlineLevel="4" x14ac:dyDescent="0.35">
      <c r="A194" s="2" t="str">
        <f>$E$2</f>
        <v>CC451B</v>
      </c>
      <c r="B194" s="1">
        <v>4</v>
      </c>
      <c r="C194" s="1" t="s">
        <v>19</v>
      </c>
      <c r="D194" s="2" t="s">
        <v>25</v>
      </c>
      <c r="E194" s="11" t="s">
        <v>580</v>
      </c>
      <c r="F194" s="7" t="s">
        <v>50</v>
      </c>
      <c r="G194" s="2" t="s">
        <v>27</v>
      </c>
      <c r="J194" s="2" t="s">
        <v>581</v>
      </c>
      <c r="M194" s="2" t="s">
        <v>582</v>
      </c>
      <c r="P194" s="2" t="s">
        <v>52</v>
      </c>
      <c r="Q194" s="1" t="str">
        <f>IF($B194=0,$M194,_xlfn.TEXTBEFORE(Q193,"/",$B194,,,Q193)&amp;"/"&amp;$M194)&amp;IF(_xlfn.TEXTAFTER($D194,"..",,,,1)&lt;&gt;"1","[0]","")</f>
        <v>*/GoodsShipment[0]/Consignment/ActiveBorderTransportMeans/nationality</v>
      </c>
    </row>
    <row r="195" spans="1:17" ht="12" customHeight="1" outlineLevel="3" x14ac:dyDescent="0.35">
      <c r="A195" s="3" t="str">
        <f>$E$2</f>
        <v>CC451B</v>
      </c>
      <c r="B195" s="4">
        <v>3</v>
      </c>
      <c r="C195" s="3" t="s">
        <v>24</v>
      </c>
      <c r="D195" s="3" t="s">
        <v>193</v>
      </c>
      <c r="E195" s="10" t="s">
        <v>583</v>
      </c>
      <c r="F195" s="4"/>
      <c r="G195" s="3" t="s">
        <v>22</v>
      </c>
      <c r="H195" s="3" t="s">
        <v>489</v>
      </c>
      <c r="I195" s="4"/>
      <c r="J195" s="4"/>
      <c r="K195" s="4"/>
      <c r="L195" s="4"/>
      <c r="M195" s="3" t="s">
        <v>584</v>
      </c>
      <c r="N195" s="4"/>
      <c r="O195" s="4"/>
      <c r="P195" s="3" t="s">
        <v>585</v>
      </c>
      <c r="Q195" s="1" t="str">
        <f>IF($B195=0,$M195,_xlfn.TEXTBEFORE(Q194,"/",$B195,,,Q194)&amp;"/"&amp;$M195)&amp;IF(_xlfn.TEXTAFTER($D195,"..",,,,1)&lt;&gt;"1","[0]","")</f>
        <v>*/GoodsShipment[0]/Consignment/TransportDocument[0]</v>
      </c>
    </row>
    <row r="196" spans="1:17" ht="12" customHeight="1" outlineLevel="4" x14ac:dyDescent="0.35">
      <c r="A196" s="2" t="str">
        <f>$E$2</f>
        <v>CC451B</v>
      </c>
      <c r="B196" s="1">
        <v>4</v>
      </c>
      <c r="C196" s="1" t="s">
        <v>19</v>
      </c>
      <c r="D196" s="2" t="s">
        <v>25</v>
      </c>
      <c r="E196" s="11" t="s">
        <v>56</v>
      </c>
      <c r="F196" s="7" t="s">
        <v>57</v>
      </c>
      <c r="G196" s="2" t="s">
        <v>27</v>
      </c>
      <c r="H196" s="2" t="s">
        <v>393</v>
      </c>
      <c r="M196" s="2" t="s">
        <v>58</v>
      </c>
      <c r="P196" s="2" t="s">
        <v>59</v>
      </c>
      <c r="Q196" s="1" t="str">
        <f>IF($B196=0,$M196,_xlfn.TEXTBEFORE(Q195,"/",$B196,,,Q195)&amp;"/"&amp;$M196)&amp;IF(_xlfn.TEXTAFTER($D196,"..",,,,1)&lt;&gt;"1","[0]","")</f>
        <v>*/GoodsShipment[0]/Consignment/TransportDocument[0]/sequenceNumber</v>
      </c>
    </row>
    <row r="197" spans="1:17" ht="12" customHeight="1" outlineLevel="4" x14ac:dyDescent="0.35">
      <c r="A197" s="2" t="str">
        <f>$E$2</f>
        <v>CC451B</v>
      </c>
      <c r="B197" s="1">
        <v>4</v>
      </c>
      <c r="C197" s="1" t="s">
        <v>19</v>
      </c>
      <c r="D197" s="2" t="s">
        <v>25</v>
      </c>
      <c r="E197" s="11" t="s">
        <v>2</v>
      </c>
      <c r="F197" s="7" t="s">
        <v>306</v>
      </c>
      <c r="G197" s="2" t="s">
        <v>27</v>
      </c>
      <c r="J197" s="2" t="s">
        <v>586</v>
      </c>
      <c r="M197" s="2" t="s">
        <v>61</v>
      </c>
      <c r="P197" s="2" t="s">
        <v>307</v>
      </c>
      <c r="Q197" s="1" t="str">
        <f>IF($B197=0,$M197,_xlfn.TEXTBEFORE(Q196,"/",$B197,,,Q196)&amp;"/"&amp;$M197)&amp;IF(_xlfn.TEXTAFTER($D197,"..",,,,1)&lt;&gt;"1","[0]","")</f>
        <v>*/GoodsShipment[0]/Consignment/TransportDocument[0]/type</v>
      </c>
    </row>
    <row r="198" spans="1:17" ht="12" customHeight="1" outlineLevel="4" x14ac:dyDescent="0.35">
      <c r="A198" s="2" t="str">
        <f>$E$2</f>
        <v>CC451B</v>
      </c>
      <c r="B198" s="1">
        <v>4</v>
      </c>
      <c r="C198" s="1" t="s">
        <v>19</v>
      </c>
      <c r="D198" s="2" t="s">
        <v>25</v>
      </c>
      <c r="E198" s="11" t="s">
        <v>63</v>
      </c>
      <c r="F198" s="7" t="s">
        <v>83</v>
      </c>
      <c r="G198" s="2" t="s">
        <v>27</v>
      </c>
      <c r="H198" s="2" t="s">
        <v>494</v>
      </c>
      <c r="M198" s="2" t="s">
        <v>65</v>
      </c>
      <c r="P198" s="2" t="s">
        <v>308</v>
      </c>
      <c r="Q198" s="1" t="str">
        <f>IF($B198=0,$M198,_xlfn.TEXTBEFORE(Q197,"/",$B198,,,Q197)&amp;"/"&amp;$M198)&amp;IF(_xlfn.TEXTAFTER($D198,"..",,,,1)&lt;&gt;"1","[0]","")</f>
        <v>*/GoodsShipment[0]/Consignment/TransportDocument[0]/referenceNumber</v>
      </c>
    </row>
    <row r="199" spans="1:17" ht="12" customHeight="1" outlineLevel="2" x14ac:dyDescent="0.35">
      <c r="A199" s="3" t="str">
        <f>$E$2</f>
        <v>CC451B</v>
      </c>
      <c r="B199" s="4">
        <v>2</v>
      </c>
      <c r="C199" s="3" t="s">
        <v>24</v>
      </c>
      <c r="D199" s="3" t="s">
        <v>317</v>
      </c>
      <c r="E199" s="8" t="s">
        <v>318</v>
      </c>
      <c r="F199" s="4"/>
      <c r="G199" s="3" t="s">
        <v>27</v>
      </c>
      <c r="H199" s="4"/>
      <c r="I199" s="4"/>
      <c r="J199" s="4"/>
      <c r="K199" s="4"/>
      <c r="L199" s="4"/>
      <c r="M199" s="3" t="s">
        <v>319</v>
      </c>
      <c r="N199" s="4"/>
      <c r="O199" s="4"/>
      <c r="P199" s="3" t="s">
        <v>1503</v>
      </c>
      <c r="Q199" s="1" t="str">
        <f>IF($B199=0,$M199,_xlfn.TEXTBEFORE(Q198,"/",$B199,,,Q198)&amp;"/"&amp;$M199)&amp;IF(_xlfn.TEXTAFTER($D199,"..",,,,1)&lt;&gt;"1","[0]","")</f>
        <v>*/GoodsShipment[0]/GoodsShipmentItem[0]</v>
      </c>
    </row>
    <row r="200" spans="1:17" ht="12" customHeight="1" outlineLevel="3" x14ac:dyDescent="0.35">
      <c r="A200" s="2" t="str">
        <f>$E$2</f>
        <v>CC451B</v>
      </c>
      <c r="B200" s="1">
        <v>3</v>
      </c>
      <c r="C200" s="1" t="s">
        <v>19</v>
      </c>
      <c r="D200" s="2" t="s">
        <v>25</v>
      </c>
      <c r="E200" s="9" t="s">
        <v>253</v>
      </c>
      <c r="F200" s="7" t="s">
        <v>57</v>
      </c>
      <c r="G200" s="2" t="s">
        <v>27</v>
      </c>
      <c r="H200" s="2" t="s">
        <v>588</v>
      </c>
      <c r="M200" s="2" t="s">
        <v>254</v>
      </c>
      <c r="P200" s="2" t="s">
        <v>255</v>
      </c>
      <c r="Q200" s="1" t="str">
        <f>IF($B200=0,$M200,_xlfn.TEXTBEFORE(Q199,"/",$B200,,,Q199)&amp;"/"&amp;$M200)&amp;IF(_xlfn.TEXTAFTER($D200,"..",,,,1)&lt;&gt;"1","[0]","")</f>
        <v>*/GoodsShipment[0]/GoodsShipmentItem[0]/declarationGoodsItemNumber</v>
      </c>
    </row>
    <row r="201" spans="1:17" ht="12" customHeight="1" outlineLevel="3" x14ac:dyDescent="0.35">
      <c r="A201" s="2" t="str">
        <f>$E$2</f>
        <v>CC451B</v>
      </c>
      <c r="B201" s="1">
        <v>3</v>
      </c>
      <c r="C201" s="1" t="s">
        <v>19</v>
      </c>
      <c r="D201" s="2" t="s">
        <v>30</v>
      </c>
      <c r="E201" s="9" t="s">
        <v>589</v>
      </c>
      <c r="F201" s="7" t="s">
        <v>57</v>
      </c>
      <c r="G201" s="2" t="s">
        <v>396</v>
      </c>
      <c r="H201" s="2" t="s">
        <v>590</v>
      </c>
      <c r="I201" s="2" t="s">
        <v>591</v>
      </c>
      <c r="M201" s="2" t="s">
        <v>592</v>
      </c>
      <c r="P201" s="2" t="s">
        <v>255</v>
      </c>
      <c r="Q201" s="1" t="str">
        <f>IF($B201=0,$M201,_xlfn.TEXTBEFORE(Q200,"/",$B201,,,Q200)&amp;"/"&amp;$M201)&amp;IF(_xlfn.TEXTAFTER($D201,"..",,,,1)&lt;&gt;"1","[0]","")</f>
        <v>*/GoodsShipment[0]/GoodsShipmentItem[0]/goodsItemNumber</v>
      </c>
    </row>
    <row r="202" spans="1:17" ht="12" customHeight="1" outlineLevel="3" x14ac:dyDescent="0.35">
      <c r="A202" s="2" t="str">
        <f>$E$2</f>
        <v>CC451B</v>
      </c>
      <c r="B202" s="1">
        <v>3</v>
      </c>
      <c r="C202" s="1" t="s">
        <v>19</v>
      </c>
      <c r="D202" s="2" t="s">
        <v>30</v>
      </c>
      <c r="E202" s="9" t="s">
        <v>593</v>
      </c>
      <c r="F202" s="7" t="s">
        <v>181</v>
      </c>
      <c r="G202" s="2" t="s">
        <v>396</v>
      </c>
      <c r="H202" s="2" t="s">
        <v>1289</v>
      </c>
      <c r="I202" s="7" t="s">
        <v>1295</v>
      </c>
      <c r="M202" s="2" t="s">
        <v>594</v>
      </c>
      <c r="P202" s="2" t="s">
        <v>183</v>
      </c>
      <c r="Q202" s="1" t="str">
        <f>IF($B202=0,$M202,_xlfn.TEXTBEFORE(Q201,"/",$B202,,,Q201)&amp;"/"&amp;$M202)&amp;IF(_xlfn.TEXTAFTER($D202,"..",,,,1)&lt;&gt;"1","[0]","")</f>
        <v>*/GoodsShipment[0]/GoodsShipmentItem[0]/statisticalValue</v>
      </c>
    </row>
    <row r="203" spans="1:17" ht="12" customHeight="1" outlineLevel="3" x14ac:dyDescent="0.35">
      <c r="A203" s="2" t="str">
        <f>$E$2</f>
        <v>CC451B</v>
      </c>
      <c r="B203" s="1">
        <v>3</v>
      </c>
      <c r="C203" s="1" t="s">
        <v>19</v>
      </c>
      <c r="D203" s="2" t="s">
        <v>30</v>
      </c>
      <c r="E203" s="9" t="s">
        <v>176</v>
      </c>
      <c r="F203" s="7" t="s">
        <v>177</v>
      </c>
      <c r="G203" s="2" t="s">
        <v>396</v>
      </c>
      <c r="H203" s="2" t="s">
        <v>1272</v>
      </c>
      <c r="I203" s="7" t="s">
        <v>1296</v>
      </c>
      <c r="J203" s="2" t="s">
        <v>425</v>
      </c>
      <c r="M203" s="2" t="s">
        <v>178</v>
      </c>
      <c r="P203" s="2" t="s">
        <v>179</v>
      </c>
      <c r="Q203" s="1" t="str">
        <f>IF($B203=0,$M203,_xlfn.TEXTBEFORE(Q202,"/",$B203,,,Q202)&amp;"/"&amp;$M203)&amp;IF(_xlfn.TEXTAFTER($D203,"..",,,,1)&lt;&gt;"1","[0]","")</f>
        <v>*/GoodsShipment[0]/GoodsShipmentItem[0]/natureOfTransaction</v>
      </c>
    </row>
    <row r="204" spans="1:17" ht="12" customHeight="1" outlineLevel="3" x14ac:dyDescent="0.35">
      <c r="A204" s="2" t="str">
        <f>$E$2</f>
        <v>CC451B</v>
      </c>
      <c r="B204" s="1">
        <v>3</v>
      </c>
      <c r="C204" s="1" t="s">
        <v>19</v>
      </c>
      <c r="D204" s="2" t="s">
        <v>30</v>
      </c>
      <c r="E204" s="9" t="s">
        <v>552</v>
      </c>
      <c r="F204" s="7" t="s">
        <v>156</v>
      </c>
      <c r="G204" s="2" t="s">
        <v>22</v>
      </c>
      <c r="M204" s="2" t="s">
        <v>553</v>
      </c>
      <c r="P204" s="2" t="s">
        <v>554</v>
      </c>
      <c r="Q204" s="1" t="str">
        <f>IF($B204=0,$M204,_xlfn.TEXTBEFORE(Q203,"/",$B204,,,Q203)&amp;"/"&amp;$M204)&amp;IF(_xlfn.TEXTAFTER($D204,"..",,,,1)&lt;&gt;"1","[0]","")</f>
        <v>*/GoodsShipment[0]/GoodsShipmentItem[0]/referenceNumberUCR</v>
      </c>
    </row>
    <row r="205" spans="1:17" ht="12" customHeight="1" outlineLevel="3" x14ac:dyDescent="0.35">
      <c r="A205" s="3" t="str">
        <f>$E$2</f>
        <v>CC451B</v>
      </c>
      <c r="B205" s="4">
        <v>3</v>
      </c>
      <c r="C205" s="3" t="s">
        <v>24</v>
      </c>
      <c r="D205" s="3" t="s">
        <v>53</v>
      </c>
      <c r="E205" s="10" t="s">
        <v>54</v>
      </c>
      <c r="F205" s="4"/>
      <c r="G205" s="3" t="s">
        <v>396</v>
      </c>
      <c r="H205" s="3" t="s">
        <v>595</v>
      </c>
      <c r="I205" s="3" t="s">
        <v>596</v>
      </c>
      <c r="J205" s="4"/>
      <c r="K205" s="4"/>
      <c r="L205" s="4"/>
      <c r="M205" s="3" t="s">
        <v>54</v>
      </c>
      <c r="N205" s="4"/>
      <c r="O205" s="4"/>
      <c r="P205" s="3" t="s">
        <v>321</v>
      </c>
      <c r="Q205" s="1" t="str">
        <f>IF($B205=0,$M205,_xlfn.TEXTBEFORE(Q204,"/",$B205,,,Q204)&amp;"/"&amp;$M205)&amp;IF(_xlfn.TEXTAFTER($D205,"..",,,,1)&lt;&gt;"1","[0]","")</f>
        <v>*/GoodsShipment[0]/GoodsShipmentItem[0]/Authorisation[0]</v>
      </c>
    </row>
    <row r="206" spans="1:17" ht="12" customHeight="1" outlineLevel="4" x14ac:dyDescent="0.35">
      <c r="A206" s="2" t="str">
        <f>$E$2</f>
        <v>CC451B</v>
      </c>
      <c r="B206" s="1">
        <v>4</v>
      </c>
      <c r="C206" s="1" t="s">
        <v>19</v>
      </c>
      <c r="D206" s="2" t="s">
        <v>25</v>
      </c>
      <c r="E206" s="11" t="s">
        <v>56</v>
      </c>
      <c r="F206" s="7" t="s">
        <v>57</v>
      </c>
      <c r="G206" s="2" t="s">
        <v>27</v>
      </c>
      <c r="H206" s="2" t="s">
        <v>393</v>
      </c>
      <c r="M206" s="2" t="s">
        <v>58</v>
      </c>
      <c r="P206" s="2" t="s">
        <v>59</v>
      </c>
      <c r="Q206" s="1" t="str">
        <f>IF($B206=0,$M206,_xlfn.TEXTBEFORE(Q205,"/",$B206,,,Q205)&amp;"/"&amp;$M206)&amp;IF(_xlfn.TEXTAFTER($D206,"..",,,,1)&lt;&gt;"1","[0]","")</f>
        <v>*/GoodsShipment[0]/GoodsShipmentItem[0]/Authorisation[0]/sequenceNumber</v>
      </c>
    </row>
    <row r="207" spans="1:17" ht="12" customHeight="1" outlineLevel="4" x14ac:dyDescent="0.35">
      <c r="A207" s="2" t="str">
        <f>$E$2</f>
        <v>CC451B</v>
      </c>
      <c r="B207" s="1">
        <v>4</v>
      </c>
      <c r="C207" s="1" t="s">
        <v>19</v>
      </c>
      <c r="D207" s="2" t="s">
        <v>30</v>
      </c>
      <c r="E207" s="11" t="s">
        <v>2</v>
      </c>
      <c r="F207" s="7" t="s">
        <v>60</v>
      </c>
      <c r="G207" s="2" t="s">
        <v>396</v>
      </c>
      <c r="I207" s="2" t="s">
        <v>395</v>
      </c>
      <c r="J207" s="2" t="s">
        <v>597</v>
      </c>
      <c r="M207" s="2" t="s">
        <v>61</v>
      </c>
      <c r="P207" s="2" t="s">
        <v>62</v>
      </c>
      <c r="Q207" s="1" t="str">
        <f>IF($B207=0,$M207,_xlfn.TEXTBEFORE(Q206,"/",$B207,,,Q206)&amp;"/"&amp;$M207)&amp;IF(_xlfn.TEXTAFTER($D207,"..",,,,1)&lt;&gt;"1","[0]","")</f>
        <v>*/GoodsShipment[0]/GoodsShipmentItem[0]/Authorisation[0]/type</v>
      </c>
    </row>
    <row r="208" spans="1:17" ht="12" customHeight="1" outlineLevel="4" x14ac:dyDescent="0.35">
      <c r="A208" s="2" t="str">
        <f>$E$2</f>
        <v>CC451B</v>
      </c>
      <c r="B208" s="1">
        <v>4</v>
      </c>
      <c r="C208" s="1" t="s">
        <v>19</v>
      </c>
      <c r="D208" s="2" t="s">
        <v>25</v>
      </c>
      <c r="E208" s="11" t="s">
        <v>63</v>
      </c>
      <c r="F208" s="7" t="s">
        <v>834</v>
      </c>
      <c r="G208" s="2" t="s">
        <v>27</v>
      </c>
      <c r="M208" s="2" t="s">
        <v>65</v>
      </c>
      <c r="P208" s="2" t="s">
        <v>66</v>
      </c>
      <c r="Q208" s="1" t="str">
        <f>IF($B208=0,$M208,_xlfn.TEXTBEFORE(Q207,"/",$B208,,,Q207)&amp;"/"&amp;$M208)&amp;IF(_xlfn.TEXTAFTER($D208,"..",,,,1)&lt;&gt;"1","[0]","")</f>
        <v>*/GoodsShipment[0]/GoodsShipmentItem[0]/Authorisation[0]/referenceNumber</v>
      </c>
    </row>
    <row r="209" spans="1:17" ht="12" customHeight="1" outlineLevel="4" x14ac:dyDescent="0.35">
      <c r="A209" s="2" t="str">
        <f>$E$2</f>
        <v>CC451B</v>
      </c>
      <c r="B209" s="1">
        <v>4</v>
      </c>
      <c r="C209" s="1" t="s">
        <v>19</v>
      </c>
      <c r="D209" s="2" t="s">
        <v>30</v>
      </c>
      <c r="E209" s="11" t="s">
        <v>67</v>
      </c>
      <c r="F209" s="7" t="s">
        <v>68</v>
      </c>
      <c r="G209" s="2" t="s">
        <v>396</v>
      </c>
      <c r="H209" s="2" t="s">
        <v>397</v>
      </c>
      <c r="I209" s="2" t="s">
        <v>398</v>
      </c>
      <c r="M209" s="2" t="s">
        <v>69</v>
      </c>
      <c r="P209" s="2" t="s">
        <v>70</v>
      </c>
      <c r="Q209" s="1" t="str">
        <f>IF($B209=0,$M209,_xlfn.TEXTBEFORE(Q208,"/",$B209,,,Q208)&amp;"/"&amp;$M209)&amp;IF(_xlfn.TEXTAFTER($D209,"..",,,,1)&lt;&gt;"1","[0]","")</f>
        <v>*/GoodsShipment[0]/GoodsShipmentItem[0]/Authorisation[0]/holderOfTheAuthorisation</v>
      </c>
    </row>
    <row r="210" spans="1:17" ht="12" customHeight="1" outlineLevel="3" x14ac:dyDescent="0.35">
      <c r="A210" s="3" t="str">
        <f>$E$2</f>
        <v>CC451B</v>
      </c>
      <c r="B210" s="4">
        <v>3</v>
      </c>
      <c r="C210" s="3" t="s">
        <v>24</v>
      </c>
      <c r="D210" s="3" t="s">
        <v>25</v>
      </c>
      <c r="E210" s="10" t="s">
        <v>322</v>
      </c>
      <c r="F210" s="4"/>
      <c r="G210" s="3" t="s">
        <v>27</v>
      </c>
      <c r="H210" s="4"/>
      <c r="I210" s="4"/>
      <c r="J210" s="4"/>
      <c r="K210" s="4"/>
      <c r="L210" s="4"/>
      <c r="M210" s="3" t="s">
        <v>322</v>
      </c>
      <c r="N210" s="4"/>
      <c r="O210" s="4"/>
      <c r="P210" s="3" t="s">
        <v>1297</v>
      </c>
      <c r="Q210" s="1" t="str">
        <f>IF($B210=0,$M210,_xlfn.TEXTBEFORE(Q209,"/",$B210,,,Q209)&amp;"/"&amp;$M210)&amp;IF(_xlfn.TEXTAFTER($D210,"..",,,,1)&lt;&gt;"1","[0]","")</f>
        <v>*/GoodsShipment[0]/GoodsShipmentItem[0]/Procedure</v>
      </c>
    </row>
    <row r="211" spans="1:17" ht="12" customHeight="1" outlineLevel="4" x14ac:dyDescent="0.35">
      <c r="A211" s="2" t="str">
        <f>$E$2</f>
        <v>CC451B</v>
      </c>
      <c r="B211" s="1">
        <v>4</v>
      </c>
      <c r="C211" s="1" t="s">
        <v>19</v>
      </c>
      <c r="D211" s="2" t="s">
        <v>25</v>
      </c>
      <c r="E211" s="11" t="s">
        <v>324</v>
      </c>
      <c r="F211" s="7" t="s">
        <v>325</v>
      </c>
      <c r="G211" s="2" t="s">
        <v>27</v>
      </c>
      <c r="H211" s="2" t="s">
        <v>599</v>
      </c>
      <c r="J211" s="2" t="s">
        <v>600</v>
      </c>
      <c r="M211" s="2" t="s">
        <v>326</v>
      </c>
      <c r="P211" s="2" t="s">
        <v>327</v>
      </c>
      <c r="Q211" s="1" t="str">
        <f>IF($B211=0,$M211,_xlfn.TEXTBEFORE(Q210,"/",$B211,,,Q210)&amp;"/"&amp;$M211)&amp;IF(_xlfn.TEXTAFTER($D211,"..",,,,1)&lt;&gt;"1","[0]","")</f>
        <v>*/GoodsShipment[0]/GoodsShipmentItem[0]/Procedure/requestedProcedure</v>
      </c>
    </row>
    <row r="212" spans="1:17" ht="12" customHeight="1" outlineLevel="4" x14ac:dyDescent="0.35">
      <c r="A212" s="2" t="str">
        <f>$E$2</f>
        <v>CC451B</v>
      </c>
      <c r="B212" s="1">
        <v>4</v>
      </c>
      <c r="C212" s="1" t="s">
        <v>19</v>
      </c>
      <c r="D212" s="2" t="s">
        <v>25</v>
      </c>
      <c r="E212" s="11" t="s">
        <v>328</v>
      </c>
      <c r="F212" s="7" t="s">
        <v>325</v>
      </c>
      <c r="G212" s="2" t="s">
        <v>27</v>
      </c>
      <c r="H212" s="2" t="s">
        <v>601</v>
      </c>
      <c r="J212" s="2" t="s">
        <v>602</v>
      </c>
      <c r="M212" s="2" t="s">
        <v>329</v>
      </c>
      <c r="P212" s="2" t="s">
        <v>327</v>
      </c>
      <c r="Q212" s="1" t="str">
        <f>IF($B212=0,$M212,_xlfn.TEXTBEFORE(Q211,"/",$B212,,,Q211)&amp;"/"&amp;$M212)&amp;IF(_xlfn.TEXTAFTER($D212,"..",,,,1)&lt;&gt;"1","[0]","")</f>
        <v>*/GoodsShipment[0]/GoodsShipmentItem[0]/Procedure/previousProcedure</v>
      </c>
    </row>
    <row r="213" spans="1:17" ht="12" customHeight="1" outlineLevel="4" x14ac:dyDescent="0.35">
      <c r="A213" s="3" t="str">
        <f>$E$2</f>
        <v>CC451B</v>
      </c>
      <c r="B213" s="4">
        <v>4</v>
      </c>
      <c r="C213" s="3" t="s">
        <v>24</v>
      </c>
      <c r="D213" s="3" t="s">
        <v>193</v>
      </c>
      <c r="E213" s="12" t="s">
        <v>330</v>
      </c>
      <c r="F213" s="4"/>
      <c r="G213" s="3" t="s">
        <v>22</v>
      </c>
      <c r="H213" s="3" t="s">
        <v>477</v>
      </c>
      <c r="I213" s="4"/>
      <c r="J213" s="4"/>
      <c r="K213" s="4"/>
      <c r="L213" s="4"/>
      <c r="M213" s="3" t="s">
        <v>331</v>
      </c>
      <c r="N213" s="4"/>
      <c r="O213" s="4"/>
      <c r="P213" s="3" t="s">
        <v>332</v>
      </c>
      <c r="Q213" s="1" t="str">
        <f>IF($B213=0,$M213,_xlfn.TEXTBEFORE(Q212,"/",$B213,,,Q212)&amp;"/"&amp;$M213)&amp;IF(_xlfn.TEXTAFTER($D213,"..",,,,1)&lt;&gt;"1","[0]","")</f>
        <v>*/GoodsShipment[0]/GoodsShipmentItem[0]/Procedure/AdditionalProcedure[0]</v>
      </c>
    </row>
    <row r="214" spans="1:17" ht="12" customHeight="1" outlineLevel="5" x14ac:dyDescent="0.35">
      <c r="A214" s="2" t="str">
        <f>$E$2</f>
        <v>CC451B</v>
      </c>
      <c r="B214" s="1">
        <v>5</v>
      </c>
      <c r="C214" s="1" t="s">
        <v>19</v>
      </c>
      <c r="D214" s="2" t="s">
        <v>25</v>
      </c>
      <c r="E214" s="13" t="s">
        <v>56</v>
      </c>
      <c r="F214" s="7" t="s">
        <v>57</v>
      </c>
      <c r="G214" s="2" t="s">
        <v>27</v>
      </c>
      <c r="H214" s="2" t="s">
        <v>393</v>
      </c>
      <c r="M214" s="2" t="s">
        <v>58</v>
      </c>
      <c r="P214" s="2" t="s">
        <v>59</v>
      </c>
      <c r="Q214" s="1" t="str">
        <f>IF($B214=0,$M214,_xlfn.TEXTBEFORE(Q213,"/",$B214,,,Q213)&amp;"/"&amp;$M214)&amp;IF(_xlfn.TEXTAFTER($D214,"..",,,,1)&lt;&gt;"1","[0]","")</f>
        <v>*/GoodsShipment[0]/GoodsShipmentItem[0]/Procedure/AdditionalProcedure[0]/sequenceNumber</v>
      </c>
    </row>
    <row r="215" spans="1:17" ht="12" customHeight="1" outlineLevel="5" x14ac:dyDescent="0.35">
      <c r="A215" s="2" t="str">
        <f>$E$2</f>
        <v>CC451B</v>
      </c>
      <c r="B215" s="1">
        <v>5</v>
      </c>
      <c r="C215" s="1" t="s">
        <v>19</v>
      </c>
      <c r="D215" s="2" t="s">
        <v>25</v>
      </c>
      <c r="E215" s="13" t="s">
        <v>330</v>
      </c>
      <c r="F215" s="7" t="s">
        <v>333</v>
      </c>
      <c r="G215" s="2" t="s">
        <v>27</v>
      </c>
      <c r="H215" s="2" t="s">
        <v>477</v>
      </c>
      <c r="J215" s="2" t="s">
        <v>603</v>
      </c>
      <c r="M215" s="2" t="s">
        <v>334</v>
      </c>
      <c r="P215" s="2" t="s">
        <v>335</v>
      </c>
      <c r="Q215" s="1" t="str">
        <f>IF($B215=0,$M215,_xlfn.TEXTBEFORE(Q214,"/",$B215,,,Q214)&amp;"/"&amp;$M215)&amp;IF(_xlfn.TEXTAFTER($D215,"..",,,,1)&lt;&gt;"1","[0]","")</f>
        <v>*/GoodsShipment[0]/GoodsShipmentItem[0]/Procedure/AdditionalProcedure[0]/additionalProcedure</v>
      </c>
    </row>
    <row r="216" spans="1:17" ht="12" customHeight="1" outlineLevel="5" x14ac:dyDescent="0.35">
      <c r="A216" s="2" t="str">
        <f>$E$2</f>
        <v>CC451B</v>
      </c>
      <c r="B216" s="1">
        <v>5</v>
      </c>
      <c r="C216" s="1" t="s">
        <v>19</v>
      </c>
      <c r="D216" s="2" t="s">
        <v>30</v>
      </c>
      <c r="E216" s="13" t="s">
        <v>142</v>
      </c>
      <c r="F216" s="7" t="s">
        <v>50</v>
      </c>
      <c r="G216" s="2" t="s">
        <v>396</v>
      </c>
      <c r="H216" s="2" t="s">
        <v>492</v>
      </c>
      <c r="I216" s="2" t="s">
        <v>493</v>
      </c>
      <c r="J216" s="2" t="s">
        <v>416</v>
      </c>
      <c r="M216" s="2" t="s">
        <v>143</v>
      </c>
      <c r="P216" s="2" t="s">
        <v>52</v>
      </c>
      <c r="Q216" s="1" t="str">
        <f>IF($B216=0,$M216,_xlfn.TEXTBEFORE(Q215,"/",$B216,,,Q215)&amp;"/"&amp;$M216)&amp;IF(_xlfn.TEXTAFTER($D216,"..",,,,1)&lt;&gt;"1","[0]","")</f>
        <v>*/GoodsShipment[0]/GoodsShipmentItem[0]/Procedure/AdditionalProcedure[0]/ccQualifier</v>
      </c>
    </row>
    <row r="217" spans="1:17" ht="12" customHeight="1" outlineLevel="3" x14ac:dyDescent="0.35">
      <c r="A217" s="3" t="str">
        <f>$E$2</f>
        <v>CC451B</v>
      </c>
      <c r="B217" s="4">
        <v>3</v>
      </c>
      <c r="C217" s="3" t="s">
        <v>24</v>
      </c>
      <c r="D217" s="3" t="s">
        <v>193</v>
      </c>
      <c r="E217" s="10" t="s">
        <v>194</v>
      </c>
      <c r="F217" s="4"/>
      <c r="G217" s="3" t="s">
        <v>22</v>
      </c>
      <c r="H217" s="3" t="s">
        <v>1275</v>
      </c>
      <c r="I217" s="4"/>
      <c r="J217" s="4"/>
      <c r="K217" s="4"/>
      <c r="L217" s="4"/>
      <c r="M217" s="3" t="s">
        <v>195</v>
      </c>
      <c r="N217" s="4"/>
      <c r="O217" s="4"/>
      <c r="P217" s="3" t="s">
        <v>196</v>
      </c>
      <c r="Q217" s="1" t="str">
        <f>IF($B217=0,$M217,_xlfn.TEXTBEFORE(Q216,"/",$B217,,,Q216)&amp;"/"&amp;$M217)&amp;IF(_xlfn.TEXTAFTER($D217,"..",,,,1)&lt;&gt;"1","[0]","")</f>
        <v>*/GoodsShipment[0]/GoodsShipmentItem[0]/AdditionalSupplyChainActor[0]</v>
      </c>
    </row>
    <row r="218" spans="1:17" ht="12" customHeight="1" outlineLevel="4" x14ac:dyDescent="0.35">
      <c r="A218" s="2" t="str">
        <f>$E$2</f>
        <v>CC451B</v>
      </c>
      <c r="B218" s="1">
        <v>4</v>
      </c>
      <c r="C218" s="1" t="s">
        <v>19</v>
      </c>
      <c r="D218" s="2" t="s">
        <v>25</v>
      </c>
      <c r="E218" s="11" t="s">
        <v>56</v>
      </c>
      <c r="F218" s="7" t="s">
        <v>57</v>
      </c>
      <c r="G218" s="2" t="s">
        <v>27</v>
      </c>
      <c r="H218" s="2" t="s">
        <v>393</v>
      </c>
      <c r="M218" s="2" t="s">
        <v>58</v>
      </c>
      <c r="P218" s="2" t="s">
        <v>59</v>
      </c>
      <c r="Q218" s="1" t="str">
        <f>IF($B218=0,$M218,_xlfn.TEXTBEFORE(Q217,"/",$B218,,,Q217)&amp;"/"&amp;$M218)&amp;IF(_xlfn.TEXTAFTER($D218,"..",,,,1)&lt;&gt;"1","[0]","")</f>
        <v>*/GoodsShipment[0]/GoodsShipmentItem[0]/AdditionalSupplyChainActor[0]/sequenceNumber</v>
      </c>
    </row>
    <row r="219" spans="1:17" ht="12" customHeight="1" outlineLevel="4" x14ac:dyDescent="0.35">
      <c r="A219" s="2" t="str">
        <f>$E$2</f>
        <v>CC451B</v>
      </c>
      <c r="B219" s="1">
        <v>4</v>
      </c>
      <c r="C219" s="1" t="s">
        <v>19</v>
      </c>
      <c r="D219" s="2" t="s">
        <v>25</v>
      </c>
      <c r="E219" s="11" t="s">
        <v>197</v>
      </c>
      <c r="F219" s="7" t="s">
        <v>198</v>
      </c>
      <c r="G219" s="2" t="s">
        <v>27</v>
      </c>
      <c r="J219" s="2" t="s">
        <v>433</v>
      </c>
      <c r="M219" s="2" t="s">
        <v>199</v>
      </c>
      <c r="P219" s="2" t="s">
        <v>200</v>
      </c>
      <c r="Q219" s="1" t="str">
        <f>IF($B219=0,$M219,_xlfn.TEXTBEFORE(Q218,"/",$B219,,,Q218)&amp;"/"&amp;$M219)&amp;IF(_xlfn.TEXTAFTER($D219,"..",,,,1)&lt;&gt;"1","[0]","")</f>
        <v>*/GoodsShipment[0]/GoodsShipmentItem[0]/AdditionalSupplyChainActor[0]/role</v>
      </c>
    </row>
    <row r="220" spans="1:17" ht="12" customHeight="1" outlineLevel="4" x14ac:dyDescent="0.35">
      <c r="A220" s="2" t="str">
        <f>$E$2</f>
        <v>CC451B</v>
      </c>
      <c r="B220" s="1">
        <v>4</v>
      </c>
      <c r="C220" s="1" t="s">
        <v>19</v>
      </c>
      <c r="D220" s="2" t="s">
        <v>25</v>
      </c>
      <c r="E220" s="11" t="s">
        <v>81</v>
      </c>
      <c r="F220" s="7" t="s">
        <v>68</v>
      </c>
      <c r="G220" s="2" t="s">
        <v>27</v>
      </c>
      <c r="H220" s="2" t="s">
        <v>434</v>
      </c>
      <c r="M220" s="2" t="s">
        <v>82</v>
      </c>
      <c r="P220" s="2" t="s">
        <v>70</v>
      </c>
      <c r="Q220" s="1" t="str">
        <f>IF($B220=0,$M220,_xlfn.TEXTBEFORE(Q219,"/",$B220,,,Q219)&amp;"/"&amp;$M220)&amp;IF(_xlfn.TEXTAFTER($D220,"..",,,,1)&lt;&gt;"1","[0]","")</f>
        <v>*/GoodsShipment[0]/GoodsShipmentItem[0]/AdditionalSupplyChainActor[0]/identificationNumber</v>
      </c>
    </row>
    <row r="221" spans="1:17" ht="12" customHeight="1" outlineLevel="3" x14ac:dyDescent="0.35">
      <c r="A221" s="3" t="str">
        <f>$E$2</f>
        <v>CC451B</v>
      </c>
      <c r="B221" s="4">
        <v>3</v>
      </c>
      <c r="C221" s="3" t="s">
        <v>24</v>
      </c>
      <c r="D221" s="3" t="s">
        <v>30</v>
      </c>
      <c r="E221" s="10" t="s">
        <v>201</v>
      </c>
      <c r="F221" s="4"/>
      <c r="G221" s="3" t="s">
        <v>396</v>
      </c>
      <c r="H221" s="3" t="s">
        <v>1272</v>
      </c>
      <c r="I221" s="3" t="s">
        <v>436</v>
      </c>
      <c r="J221" s="4"/>
      <c r="K221" s="4"/>
      <c r="L221" s="4"/>
      <c r="M221" s="3" t="s">
        <v>201</v>
      </c>
      <c r="N221" s="4"/>
      <c r="O221" s="4"/>
      <c r="P221" s="3" t="s">
        <v>202</v>
      </c>
      <c r="Q221" s="1" t="str">
        <f>IF($B221=0,$M221,_xlfn.TEXTBEFORE(Q220,"/",$B221,,,Q220)&amp;"/"&amp;$M221)&amp;IF(_xlfn.TEXTAFTER($D221,"..",,,,1)&lt;&gt;"1","[0]","")</f>
        <v>*/GoodsShipment[0]/GoodsShipmentItem[0]/Buyer</v>
      </c>
    </row>
    <row r="222" spans="1:17" ht="12" customHeight="1" outlineLevel="4" x14ac:dyDescent="0.35">
      <c r="A222" s="2" t="str">
        <f>$E$2</f>
        <v>CC451B</v>
      </c>
      <c r="B222" s="1">
        <v>4</v>
      </c>
      <c r="C222" s="1" t="s">
        <v>19</v>
      </c>
      <c r="D222" s="2" t="s">
        <v>30</v>
      </c>
      <c r="E222" s="11" t="s">
        <v>81</v>
      </c>
      <c r="F222" s="7" t="s">
        <v>68</v>
      </c>
      <c r="G222" s="2" t="s">
        <v>22</v>
      </c>
      <c r="H222" s="2" t="s">
        <v>434</v>
      </c>
      <c r="M222" s="2" t="s">
        <v>82</v>
      </c>
      <c r="P222" s="2" t="s">
        <v>70</v>
      </c>
      <c r="Q222" s="1" t="str">
        <f>IF($B222=0,$M222,_xlfn.TEXTBEFORE(Q221,"/",$B222,,,Q221)&amp;"/"&amp;$M222)&amp;IF(_xlfn.TEXTAFTER($D222,"..",,,,1)&lt;&gt;"1","[0]","")</f>
        <v>*/GoodsShipment[0]/GoodsShipmentItem[0]/Buyer/identificationNumber</v>
      </c>
    </row>
    <row r="223" spans="1:17" ht="12" customHeight="1" outlineLevel="4" x14ac:dyDescent="0.35">
      <c r="A223" s="2" t="str">
        <f>$E$2</f>
        <v>CC451B</v>
      </c>
      <c r="B223" s="1">
        <v>4</v>
      </c>
      <c r="C223" s="1" t="s">
        <v>19</v>
      </c>
      <c r="D223" s="2" t="s">
        <v>30</v>
      </c>
      <c r="E223" s="11" t="s">
        <v>4</v>
      </c>
      <c r="F223" s="7" t="s">
        <v>83</v>
      </c>
      <c r="G223" s="2" t="s">
        <v>396</v>
      </c>
      <c r="I223" s="2" t="s">
        <v>401</v>
      </c>
      <c r="M223" s="2" t="s">
        <v>84</v>
      </c>
      <c r="P223" s="2" t="s">
        <v>85</v>
      </c>
      <c r="Q223" s="1" t="str">
        <f>IF($B223=0,$M223,_xlfn.TEXTBEFORE(Q222,"/",$B223,,,Q222)&amp;"/"&amp;$M223)&amp;IF(_xlfn.TEXTAFTER($D223,"..",,,,1)&lt;&gt;"1","[0]","")</f>
        <v>*/GoodsShipment[0]/GoodsShipmentItem[0]/Buyer/name</v>
      </c>
    </row>
    <row r="224" spans="1:17" ht="12" customHeight="1" outlineLevel="4" x14ac:dyDescent="0.35">
      <c r="A224" s="3" t="str">
        <f>$E$2</f>
        <v>CC451B</v>
      </c>
      <c r="B224" s="4">
        <v>4</v>
      </c>
      <c r="C224" s="3" t="s">
        <v>24</v>
      </c>
      <c r="D224" s="3" t="s">
        <v>30</v>
      </c>
      <c r="E224" s="12" t="s">
        <v>86</v>
      </c>
      <c r="F224" s="4"/>
      <c r="G224" s="3" t="s">
        <v>396</v>
      </c>
      <c r="H224" s="4"/>
      <c r="I224" s="3" t="s">
        <v>401</v>
      </c>
      <c r="J224" s="4"/>
      <c r="K224" s="4"/>
      <c r="L224" s="4"/>
      <c r="M224" s="3" t="s">
        <v>86</v>
      </c>
      <c r="N224" s="4"/>
      <c r="O224" s="4"/>
      <c r="P224" s="3" t="s">
        <v>87</v>
      </c>
      <c r="Q224" s="1" t="str">
        <f>IF($B224=0,$M224,_xlfn.TEXTBEFORE(Q223,"/",$B224,,,Q223)&amp;"/"&amp;$M224)&amp;IF(_xlfn.TEXTAFTER($D224,"..",,,,1)&lt;&gt;"1","[0]","")</f>
        <v>*/GoodsShipment[0]/GoodsShipmentItem[0]/Buyer/Address</v>
      </c>
    </row>
    <row r="225" spans="1:17" ht="12" customHeight="1" outlineLevel="5" x14ac:dyDescent="0.35">
      <c r="A225" s="2" t="str">
        <f>$E$2</f>
        <v>CC451B</v>
      </c>
      <c r="B225" s="1">
        <v>5</v>
      </c>
      <c r="C225" s="1" t="s">
        <v>19</v>
      </c>
      <c r="D225" s="2" t="s">
        <v>25</v>
      </c>
      <c r="E225" s="13" t="s">
        <v>88</v>
      </c>
      <c r="F225" s="7" t="s">
        <v>83</v>
      </c>
      <c r="G225" s="2" t="s">
        <v>27</v>
      </c>
      <c r="M225" s="2" t="s">
        <v>89</v>
      </c>
      <c r="P225" s="2" t="s">
        <v>90</v>
      </c>
      <c r="Q225" s="1" t="str">
        <f>IF($B225=0,$M225,_xlfn.TEXTBEFORE(Q224,"/",$B225,,,Q224)&amp;"/"&amp;$M225)&amp;IF(_xlfn.TEXTAFTER($D225,"..",,,,1)&lt;&gt;"1","[0]","")</f>
        <v>*/GoodsShipment[0]/GoodsShipmentItem[0]/Buyer/Address/streetAndNumber</v>
      </c>
    </row>
    <row r="226" spans="1:17" ht="12" customHeight="1" outlineLevel="5" x14ac:dyDescent="0.35">
      <c r="A226" s="2" t="str">
        <f>$E$2</f>
        <v>CC451B</v>
      </c>
      <c r="B226" s="1">
        <v>5</v>
      </c>
      <c r="C226" s="1" t="s">
        <v>19</v>
      </c>
      <c r="D226" s="2" t="s">
        <v>30</v>
      </c>
      <c r="E226" s="13" t="s">
        <v>91</v>
      </c>
      <c r="F226" s="7" t="s">
        <v>92</v>
      </c>
      <c r="G226" s="2" t="s">
        <v>396</v>
      </c>
      <c r="I226" s="2" t="s">
        <v>402</v>
      </c>
      <c r="M226" s="2" t="s">
        <v>93</v>
      </c>
      <c r="P226" s="2" t="s">
        <v>94</v>
      </c>
      <c r="Q226" s="1" t="str">
        <f>IF($B226=0,$M226,_xlfn.TEXTBEFORE(Q225,"/",$B226,,,Q225)&amp;"/"&amp;$M226)&amp;IF(_xlfn.TEXTAFTER($D226,"..",,,,1)&lt;&gt;"1","[0]","")</f>
        <v>*/GoodsShipment[0]/GoodsShipmentItem[0]/Buyer/Address/postcode</v>
      </c>
    </row>
    <row r="227" spans="1:17" ht="12" customHeight="1" outlineLevel="5" x14ac:dyDescent="0.35">
      <c r="A227" s="2" t="str">
        <f>$E$2</f>
        <v>CC451B</v>
      </c>
      <c r="B227" s="1">
        <v>5</v>
      </c>
      <c r="C227" s="1" t="s">
        <v>19</v>
      </c>
      <c r="D227" s="2" t="s">
        <v>25</v>
      </c>
      <c r="E227" s="13" t="s">
        <v>95</v>
      </c>
      <c r="F227" s="7" t="s">
        <v>96</v>
      </c>
      <c r="G227" s="2" t="s">
        <v>27</v>
      </c>
      <c r="M227" s="2" t="s">
        <v>97</v>
      </c>
      <c r="P227" s="2" t="s">
        <v>98</v>
      </c>
      <c r="Q227" s="1" t="str">
        <f>IF($B227=0,$M227,_xlfn.TEXTBEFORE(Q226,"/",$B227,,,Q226)&amp;"/"&amp;$M227)&amp;IF(_xlfn.TEXTAFTER($D227,"..",,,,1)&lt;&gt;"1","[0]","")</f>
        <v>*/GoodsShipment[0]/GoodsShipmentItem[0]/Buyer/Address/city</v>
      </c>
    </row>
    <row r="228" spans="1:17" ht="12" customHeight="1" outlineLevel="5" x14ac:dyDescent="0.35">
      <c r="A228" s="2" t="str">
        <f>$E$2</f>
        <v>CC451B</v>
      </c>
      <c r="B228" s="1">
        <v>5</v>
      </c>
      <c r="C228" s="1" t="s">
        <v>19</v>
      </c>
      <c r="D228" s="2" t="s">
        <v>25</v>
      </c>
      <c r="E228" s="13" t="s">
        <v>99</v>
      </c>
      <c r="F228" s="7" t="s">
        <v>50</v>
      </c>
      <c r="G228" s="2" t="s">
        <v>27</v>
      </c>
      <c r="J228" s="2" t="s">
        <v>403</v>
      </c>
      <c r="M228" s="2" t="s">
        <v>100</v>
      </c>
      <c r="P228" s="2" t="s">
        <v>52</v>
      </c>
      <c r="Q228" s="1" t="str">
        <f>IF($B228=0,$M228,_xlfn.TEXTBEFORE(Q227,"/",$B228,,,Q227)&amp;"/"&amp;$M228)&amp;IF(_xlfn.TEXTAFTER($D228,"..",,,,1)&lt;&gt;"1","[0]","")</f>
        <v>*/GoodsShipment[0]/GoodsShipmentItem[0]/Buyer/Address/country</v>
      </c>
    </row>
    <row r="229" spans="1:17" ht="12" customHeight="1" outlineLevel="3" x14ac:dyDescent="0.35">
      <c r="A229" s="3" t="str">
        <f>$E$2</f>
        <v>CC451B</v>
      </c>
      <c r="B229" s="4">
        <v>3</v>
      </c>
      <c r="C229" s="3" t="s">
        <v>24</v>
      </c>
      <c r="D229" s="3" t="s">
        <v>30</v>
      </c>
      <c r="E229" s="10" t="s">
        <v>203</v>
      </c>
      <c r="F229" s="4"/>
      <c r="G229" s="3" t="s">
        <v>396</v>
      </c>
      <c r="H229" s="3" t="s">
        <v>1272</v>
      </c>
      <c r="I229" s="3" t="s">
        <v>436</v>
      </c>
      <c r="J229" s="4"/>
      <c r="K229" s="4"/>
      <c r="L229" s="4"/>
      <c r="M229" s="3" t="s">
        <v>203</v>
      </c>
      <c r="N229" s="4"/>
      <c r="O229" s="4"/>
      <c r="P229" s="3" t="s">
        <v>204</v>
      </c>
      <c r="Q229" s="1" t="str">
        <f>IF($B229=0,$M229,_xlfn.TEXTBEFORE(Q228,"/",$B229,,,Q228)&amp;"/"&amp;$M229)&amp;IF(_xlfn.TEXTAFTER($D229,"..",,,,1)&lt;&gt;"1","[0]","")</f>
        <v>*/GoodsShipment[0]/GoodsShipmentItem[0]/Seller</v>
      </c>
    </row>
    <row r="230" spans="1:17" ht="12" customHeight="1" outlineLevel="4" x14ac:dyDescent="0.35">
      <c r="A230" s="2" t="str">
        <f>$E$2</f>
        <v>CC451B</v>
      </c>
      <c r="B230" s="1">
        <v>4</v>
      </c>
      <c r="C230" s="1" t="s">
        <v>19</v>
      </c>
      <c r="D230" s="2" t="s">
        <v>30</v>
      </c>
      <c r="E230" s="11" t="s">
        <v>81</v>
      </c>
      <c r="F230" s="7" t="s">
        <v>68</v>
      </c>
      <c r="G230" s="2" t="s">
        <v>22</v>
      </c>
      <c r="H230" s="2" t="s">
        <v>434</v>
      </c>
      <c r="M230" s="2" t="s">
        <v>82</v>
      </c>
      <c r="P230" s="2" t="s">
        <v>70</v>
      </c>
      <c r="Q230" s="1" t="str">
        <f>IF($B230=0,$M230,_xlfn.TEXTBEFORE(Q229,"/",$B230,,,Q229)&amp;"/"&amp;$M230)&amp;IF(_xlfn.TEXTAFTER($D230,"..",,,,1)&lt;&gt;"1","[0]","")</f>
        <v>*/GoodsShipment[0]/GoodsShipmentItem[0]/Seller/identificationNumber</v>
      </c>
    </row>
    <row r="231" spans="1:17" ht="12" customHeight="1" outlineLevel="4" x14ac:dyDescent="0.35">
      <c r="A231" s="2" t="str">
        <f>$E$2</f>
        <v>CC451B</v>
      </c>
      <c r="B231" s="1">
        <v>4</v>
      </c>
      <c r="C231" s="1" t="s">
        <v>19</v>
      </c>
      <c r="D231" s="2" t="s">
        <v>30</v>
      </c>
      <c r="E231" s="11" t="s">
        <v>4</v>
      </c>
      <c r="F231" s="7" t="s">
        <v>83</v>
      </c>
      <c r="G231" s="2" t="s">
        <v>396</v>
      </c>
      <c r="I231" s="2" t="s">
        <v>401</v>
      </c>
      <c r="M231" s="2" t="s">
        <v>84</v>
      </c>
      <c r="P231" s="2" t="s">
        <v>85</v>
      </c>
      <c r="Q231" s="1" t="str">
        <f>IF($B231=0,$M231,_xlfn.TEXTBEFORE(Q230,"/",$B231,,,Q230)&amp;"/"&amp;$M231)&amp;IF(_xlfn.TEXTAFTER($D231,"..",,,,1)&lt;&gt;"1","[0]","")</f>
        <v>*/GoodsShipment[0]/GoodsShipmentItem[0]/Seller/name</v>
      </c>
    </row>
    <row r="232" spans="1:17" ht="12" customHeight="1" outlineLevel="4" x14ac:dyDescent="0.35">
      <c r="A232" s="3" t="str">
        <f>$E$2</f>
        <v>CC451B</v>
      </c>
      <c r="B232" s="4">
        <v>4</v>
      </c>
      <c r="C232" s="3" t="s">
        <v>24</v>
      </c>
      <c r="D232" s="3" t="s">
        <v>30</v>
      </c>
      <c r="E232" s="12" t="s">
        <v>86</v>
      </c>
      <c r="F232" s="4"/>
      <c r="G232" s="3" t="s">
        <v>396</v>
      </c>
      <c r="H232" s="4"/>
      <c r="I232" s="3" t="s">
        <v>401</v>
      </c>
      <c r="J232" s="4"/>
      <c r="K232" s="4"/>
      <c r="L232" s="4"/>
      <c r="M232" s="3" t="s">
        <v>86</v>
      </c>
      <c r="N232" s="4"/>
      <c r="O232" s="4"/>
      <c r="P232" s="3" t="s">
        <v>87</v>
      </c>
      <c r="Q232" s="1" t="str">
        <f>IF($B232=0,$M232,_xlfn.TEXTBEFORE(Q231,"/",$B232,,,Q231)&amp;"/"&amp;$M232)&amp;IF(_xlfn.TEXTAFTER($D232,"..",,,,1)&lt;&gt;"1","[0]","")</f>
        <v>*/GoodsShipment[0]/GoodsShipmentItem[0]/Seller/Address</v>
      </c>
    </row>
    <row r="233" spans="1:17" ht="12" customHeight="1" outlineLevel="5" x14ac:dyDescent="0.35">
      <c r="A233" s="2" t="str">
        <f>$E$2</f>
        <v>CC451B</v>
      </c>
      <c r="B233" s="1">
        <v>5</v>
      </c>
      <c r="C233" s="1" t="s">
        <v>19</v>
      </c>
      <c r="D233" s="2" t="s">
        <v>25</v>
      </c>
      <c r="E233" s="13" t="s">
        <v>88</v>
      </c>
      <c r="F233" s="7" t="s">
        <v>83</v>
      </c>
      <c r="G233" s="2" t="s">
        <v>27</v>
      </c>
      <c r="M233" s="2" t="s">
        <v>89</v>
      </c>
      <c r="P233" s="2" t="s">
        <v>90</v>
      </c>
      <c r="Q233" s="1" t="str">
        <f>IF($B233=0,$M233,_xlfn.TEXTBEFORE(Q232,"/",$B233,,,Q232)&amp;"/"&amp;$M233)&amp;IF(_xlfn.TEXTAFTER($D233,"..",,,,1)&lt;&gt;"1","[0]","")</f>
        <v>*/GoodsShipment[0]/GoodsShipmentItem[0]/Seller/Address/streetAndNumber</v>
      </c>
    </row>
    <row r="234" spans="1:17" ht="12" customHeight="1" outlineLevel="5" x14ac:dyDescent="0.35">
      <c r="A234" s="2" t="str">
        <f>$E$2</f>
        <v>CC451B</v>
      </c>
      <c r="B234" s="1">
        <v>5</v>
      </c>
      <c r="C234" s="1" t="s">
        <v>19</v>
      </c>
      <c r="D234" s="2" t="s">
        <v>30</v>
      </c>
      <c r="E234" s="13" t="s">
        <v>91</v>
      </c>
      <c r="F234" s="7" t="s">
        <v>92</v>
      </c>
      <c r="G234" s="2" t="s">
        <v>396</v>
      </c>
      <c r="I234" s="2" t="s">
        <v>402</v>
      </c>
      <c r="M234" s="2" t="s">
        <v>93</v>
      </c>
      <c r="P234" s="2" t="s">
        <v>94</v>
      </c>
      <c r="Q234" s="1" t="str">
        <f>IF($B234=0,$M234,_xlfn.TEXTBEFORE(Q233,"/",$B234,,,Q233)&amp;"/"&amp;$M234)&amp;IF(_xlfn.TEXTAFTER($D234,"..",,,,1)&lt;&gt;"1","[0]","")</f>
        <v>*/GoodsShipment[0]/GoodsShipmentItem[0]/Seller/Address/postcode</v>
      </c>
    </row>
    <row r="235" spans="1:17" ht="12" customHeight="1" outlineLevel="5" x14ac:dyDescent="0.35">
      <c r="A235" s="2" t="str">
        <f>$E$2</f>
        <v>CC451B</v>
      </c>
      <c r="B235" s="1">
        <v>5</v>
      </c>
      <c r="C235" s="1" t="s">
        <v>19</v>
      </c>
      <c r="D235" s="2" t="s">
        <v>25</v>
      </c>
      <c r="E235" s="13" t="s">
        <v>95</v>
      </c>
      <c r="F235" s="7" t="s">
        <v>96</v>
      </c>
      <c r="G235" s="2" t="s">
        <v>27</v>
      </c>
      <c r="M235" s="2" t="s">
        <v>97</v>
      </c>
      <c r="P235" s="2" t="s">
        <v>98</v>
      </c>
      <c r="Q235" s="1" t="str">
        <f>IF($B235=0,$M235,_xlfn.TEXTBEFORE(Q234,"/",$B235,,,Q234)&amp;"/"&amp;$M235)&amp;IF(_xlfn.TEXTAFTER($D235,"..",,,,1)&lt;&gt;"1","[0]","")</f>
        <v>*/GoodsShipment[0]/GoodsShipmentItem[0]/Seller/Address/city</v>
      </c>
    </row>
    <row r="236" spans="1:17" ht="12" customHeight="1" outlineLevel="5" x14ac:dyDescent="0.35">
      <c r="A236" s="2" t="str">
        <f>$E$2</f>
        <v>CC451B</v>
      </c>
      <c r="B236" s="1">
        <v>5</v>
      </c>
      <c r="C236" s="1" t="s">
        <v>19</v>
      </c>
      <c r="D236" s="2" t="s">
        <v>25</v>
      </c>
      <c r="E236" s="13" t="s">
        <v>99</v>
      </c>
      <c r="F236" s="7" t="s">
        <v>50</v>
      </c>
      <c r="G236" s="2" t="s">
        <v>27</v>
      </c>
      <c r="J236" s="2" t="s">
        <v>403</v>
      </c>
      <c r="M236" s="2" t="s">
        <v>100</v>
      </c>
      <c r="P236" s="2" t="s">
        <v>52</v>
      </c>
      <c r="Q236" s="1" t="str">
        <f>IF($B236=0,$M236,_xlfn.TEXTBEFORE(Q235,"/",$B236,,,Q235)&amp;"/"&amp;$M236)&amp;IF(_xlfn.TEXTAFTER($D236,"..",,,,1)&lt;&gt;"1","[0]","")</f>
        <v>*/GoodsShipment[0]/GoodsShipmentItem[0]/Seller/Address/country</v>
      </c>
    </row>
    <row r="237" spans="1:17" ht="12" customHeight="1" outlineLevel="3" x14ac:dyDescent="0.35">
      <c r="A237" s="3" t="str">
        <f>$E$2</f>
        <v>CC451B</v>
      </c>
      <c r="B237" s="4">
        <v>3</v>
      </c>
      <c r="C237" s="3" t="s">
        <v>24</v>
      </c>
      <c r="D237" s="3" t="s">
        <v>30</v>
      </c>
      <c r="E237" s="10" t="s">
        <v>205</v>
      </c>
      <c r="F237" s="4"/>
      <c r="G237" s="3" t="s">
        <v>396</v>
      </c>
      <c r="H237" s="3" t="s">
        <v>1275</v>
      </c>
      <c r="I237" s="16" t="s">
        <v>1298</v>
      </c>
      <c r="J237" s="4"/>
      <c r="K237" s="4"/>
      <c r="L237" s="4"/>
      <c r="M237" s="3" t="s">
        <v>205</v>
      </c>
      <c r="N237" s="4"/>
      <c r="O237" s="4"/>
      <c r="P237" s="3" t="s">
        <v>206</v>
      </c>
      <c r="Q237" s="1" t="str">
        <f>IF($B237=0,$M237,_xlfn.TEXTBEFORE(Q236,"/",$B237,,,Q236)&amp;"/"&amp;$M237)&amp;IF(_xlfn.TEXTAFTER($D237,"..",,,,1)&lt;&gt;"1","[0]","")</f>
        <v>*/GoodsShipment[0]/GoodsShipmentItem[0]/Exporter</v>
      </c>
    </row>
    <row r="238" spans="1:17" ht="12" customHeight="1" outlineLevel="4" x14ac:dyDescent="0.35">
      <c r="A238" s="2" t="str">
        <f>$E$2</f>
        <v>CC451B</v>
      </c>
      <c r="B238" s="1">
        <v>4</v>
      </c>
      <c r="C238" s="1" t="s">
        <v>19</v>
      </c>
      <c r="D238" s="2" t="s">
        <v>30</v>
      </c>
      <c r="E238" s="11" t="s">
        <v>81</v>
      </c>
      <c r="F238" s="7" t="s">
        <v>68</v>
      </c>
      <c r="G238" s="2" t="s">
        <v>22</v>
      </c>
      <c r="H238" s="2" t="s">
        <v>434</v>
      </c>
      <c r="M238" s="2" t="s">
        <v>82</v>
      </c>
      <c r="P238" s="2" t="s">
        <v>70</v>
      </c>
      <c r="Q238" s="1" t="str">
        <f>IF($B238=0,$M238,_xlfn.TEXTBEFORE(Q237,"/",$B238,,,Q237)&amp;"/"&amp;$M238)&amp;IF(_xlfn.TEXTAFTER($D238,"..",,,,1)&lt;&gt;"1","[0]","")</f>
        <v>*/GoodsShipment[0]/GoodsShipmentItem[0]/Exporter/identificationNumber</v>
      </c>
    </row>
    <row r="239" spans="1:17" ht="12" customHeight="1" outlineLevel="4" x14ac:dyDescent="0.35">
      <c r="A239" s="2" t="str">
        <f>$E$2</f>
        <v>CC451B</v>
      </c>
      <c r="B239" s="1">
        <v>4</v>
      </c>
      <c r="C239" s="1" t="s">
        <v>19</v>
      </c>
      <c r="D239" s="2" t="s">
        <v>30</v>
      </c>
      <c r="E239" s="11" t="s">
        <v>4</v>
      </c>
      <c r="F239" s="7" t="s">
        <v>83</v>
      </c>
      <c r="G239" s="2" t="s">
        <v>396</v>
      </c>
      <c r="I239" s="2" t="s">
        <v>401</v>
      </c>
      <c r="M239" s="2" t="s">
        <v>84</v>
      </c>
      <c r="P239" s="2" t="s">
        <v>85</v>
      </c>
      <c r="Q239" s="1" t="str">
        <f>IF($B239=0,$M239,_xlfn.TEXTBEFORE(Q238,"/",$B239,,,Q238)&amp;"/"&amp;$M239)&amp;IF(_xlfn.TEXTAFTER($D239,"..",,,,1)&lt;&gt;"1","[0]","")</f>
        <v>*/GoodsShipment[0]/GoodsShipmentItem[0]/Exporter/name</v>
      </c>
    </row>
    <row r="240" spans="1:17" ht="12" customHeight="1" outlineLevel="4" x14ac:dyDescent="0.35">
      <c r="A240" s="3" t="str">
        <f>$E$2</f>
        <v>CC451B</v>
      </c>
      <c r="B240" s="4">
        <v>4</v>
      </c>
      <c r="C240" s="3" t="s">
        <v>24</v>
      </c>
      <c r="D240" s="3" t="s">
        <v>30</v>
      </c>
      <c r="E240" s="12" t="s">
        <v>86</v>
      </c>
      <c r="F240" s="4"/>
      <c r="G240" s="3" t="s">
        <v>396</v>
      </c>
      <c r="H240" s="4"/>
      <c r="I240" s="3" t="s">
        <v>401</v>
      </c>
      <c r="J240" s="4"/>
      <c r="K240" s="4"/>
      <c r="L240" s="4"/>
      <c r="M240" s="3" t="s">
        <v>86</v>
      </c>
      <c r="N240" s="4"/>
      <c r="O240" s="4"/>
      <c r="P240" s="3" t="s">
        <v>87</v>
      </c>
      <c r="Q240" s="1" t="str">
        <f>IF($B240=0,$M240,_xlfn.TEXTBEFORE(Q239,"/",$B240,,,Q239)&amp;"/"&amp;$M240)&amp;IF(_xlfn.TEXTAFTER($D240,"..",,,,1)&lt;&gt;"1","[0]","")</f>
        <v>*/GoodsShipment[0]/GoodsShipmentItem[0]/Exporter/Address</v>
      </c>
    </row>
    <row r="241" spans="1:17" ht="12" customHeight="1" outlineLevel="5" x14ac:dyDescent="0.35">
      <c r="A241" s="2" t="str">
        <f>$E$2</f>
        <v>CC451B</v>
      </c>
      <c r="B241" s="1">
        <v>5</v>
      </c>
      <c r="C241" s="1" t="s">
        <v>19</v>
      </c>
      <c r="D241" s="2" t="s">
        <v>25</v>
      </c>
      <c r="E241" s="13" t="s">
        <v>88</v>
      </c>
      <c r="F241" s="7" t="s">
        <v>83</v>
      </c>
      <c r="G241" s="2" t="s">
        <v>27</v>
      </c>
      <c r="M241" s="2" t="s">
        <v>89</v>
      </c>
      <c r="P241" s="2" t="s">
        <v>90</v>
      </c>
      <c r="Q241" s="1" t="str">
        <f>IF($B241=0,$M241,_xlfn.TEXTBEFORE(Q240,"/",$B241,,,Q240)&amp;"/"&amp;$M241)&amp;IF(_xlfn.TEXTAFTER($D241,"..",,,,1)&lt;&gt;"1","[0]","")</f>
        <v>*/GoodsShipment[0]/GoodsShipmentItem[0]/Exporter/Address/streetAndNumber</v>
      </c>
    </row>
    <row r="242" spans="1:17" ht="12" customHeight="1" outlineLevel="5" x14ac:dyDescent="0.35">
      <c r="A242" s="2" t="str">
        <f>$E$2</f>
        <v>CC451B</v>
      </c>
      <c r="B242" s="1">
        <v>5</v>
      </c>
      <c r="C242" s="1" t="s">
        <v>19</v>
      </c>
      <c r="D242" s="2" t="s">
        <v>30</v>
      </c>
      <c r="E242" s="13" t="s">
        <v>91</v>
      </c>
      <c r="F242" s="7" t="s">
        <v>92</v>
      </c>
      <c r="G242" s="2" t="s">
        <v>396</v>
      </c>
      <c r="I242" s="2" t="s">
        <v>402</v>
      </c>
      <c r="M242" s="2" t="s">
        <v>93</v>
      </c>
      <c r="P242" s="2" t="s">
        <v>94</v>
      </c>
      <c r="Q242" s="1" t="str">
        <f>IF($B242=0,$M242,_xlfn.TEXTBEFORE(Q241,"/",$B242,,,Q241)&amp;"/"&amp;$M242)&amp;IF(_xlfn.TEXTAFTER($D242,"..",,,,1)&lt;&gt;"1","[0]","")</f>
        <v>*/GoodsShipment[0]/GoodsShipmentItem[0]/Exporter/Address/postcode</v>
      </c>
    </row>
    <row r="243" spans="1:17" ht="12" customHeight="1" outlineLevel="5" x14ac:dyDescent="0.35">
      <c r="A243" s="2" t="str">
        <f>$E$2</f>
        <v>CC451B</v>
      </c>
      <c r="B243" s="1">
        <v>5</v>
      </c>
      <c r="C243" s="1" t="s">
        <v>19</v>
      </c>
      <c r="D243" s="2" t="s">
        <v>25</v>
      </c>
      <c r="E243" s="13" t="s">
        <v>95</v>
      </c>
      <c r="F243" s="7" t="s">
        <v>96</v>
      </c>
      <c r="G243" s="2" t="s">
        <v>27</v>
      </c>
      <c r="M243" s="2" t="s">
        <v>97</v>
      </c>
      <c r="P243" s="2" t="s">
        <v>98</v>
      </c>
      <c r="Q243" s="1" t="str">
        <f>IF($B243=0,$M243,_xlfn.TEXTBEFORE(Q242,"/",$B243,,,Q242)&amp;"/"&amp;$M243)&amp;IF(_xlfn.TEXTAFTER($D243,"..",,,,1)&lt;&gt;"1","[0]","")</f>
        <v>*/GoodsShipment[0]/GoodsShipmentItem[0]/Exporter/Address/city</v>
      </c>
    </row>
    <row r="244" spans="1:17" ht="12" customHeight="1" outlineLevel="5" x14ac:dyDescent="0.35">
      <c r="A244" s="2" t="str">
        <f>$E$2</f>
        <v>CC451B</v>
      </c>
      <c r="B244" s="1">
        <v>5</v>
      </c>
      <c r="C244" s="1" t="s">
        <v>19</v>
      </c>
      <c r="D244" s="2" t="s">
        <v>25</v>
      </c>
      <c r="E244" s="13" t="s">
        <v>99</v>
      </c>
      <c r="F244" s="7" t="s">
        <v>50</v>
      </c>
      <c r="G244" s="2" t="s">
        <v>27</v>
      </c>
      <c r="J244" s="2" t="s">
        <v>403</v>
      </c>
      <c r="M244" s="2" t="s">
        <v>100</v>
      </c>
      <c r="P244" s="2" t="s">
        <v>52</v>
      </c>
      <c r="Q244" s="1" t="str">
        <f>IF($B244=0,$M244,_xlfn.TEXTBEFORE(Q243,"/",$B244,,,Q243)&amp;"/"&amp;$M244)&amp;IF(_xlfn.TEXTAFTER($D244,"..",,,,1)&lt;&gt;"1","[0]","")</f>
        <v>*/GoodsShipment[0]/GoodsShipmentItem[0]/Exporter/Address/country</v>
      </c>
    </row>
    <row r="245" spans="1:17" ht="12" customHeight="1" outlineLevel="3" x14ac:dyDescent="0.35">
      <c r="A245" s="3" t="str">
        <f>$E$2</f>
        <v>CC451B</v>
      </c>
      <c r="B245" s="4">
        <v>3</v>
      </c>
      <c r="C245" s="3" t="s">
        <v>24</v>
      </c>
      <c r="D245" s="3" t="s">
        <v>30</v>
      </c>
      <c r="E245" s="10" t="s">
        <v>604</v>
      </c>
      <c r="F245" s="4"/>
      <c r="G245" s="3" t="s">
        <v>396</v>
      </c>
      <c r="H245" s="4"/>
      <c r="I245" s="3" t="s">
        <v>605</v>
      </c>
      <c r="J245" s="4"/>
      <c r="K245" s="4"/>
      <c r="L245" s="4"/>
      <c r="M245" s="3" t="s">
        <v>604</v>
      </c>
      <c r="N245" s="4"/>
      <c r="O245" s="4"/>
      <c r="P245" s="3" t="s">
        <v>606</v>
      </c>
      <c r="Q245" s="1" t="str">
        <f>IF($B245=0,$M245,_xlfn.TEXTBEFORE(Q244,"/",$B245,,,Q244)&amp;"/"&amp;$M245)&amp;IF(_xlfn.TEXTAFTER($D245,"..",,,,1)&lt;&gt;"1","[0]","")</f>
        <v>*/GoodsShipment[0]/GoodsShipmentItem[0]/Origin</v>
      </c>
    </row>
    <row r="246" spans="1:17" ht="12" customHeight="1" outlineLevel="4" x14ac:dyDescent="0.35">
      <c r="A246" s="2" t="str">
        <f>$E$2</f>
        <v>CC451B</v>
      </c>
      <c r="B246" s="1">
        <v>4</v>
      </c>
      <c r="C246" s="1" t="s">
        <v>19</v>
      </c>
      <c r="D246" s="2" t="s">
        <v>30</v>
      </c>
      <c r="E246" s="11" t="s">
        <v>607</v>
      </c>
      <c r="F246" s="7" t="s">
        <v>50</v>
      </c>
      <c r="G246" s="2" t="s">
        <v>396</v>
      </c>
      <c r="H246" s="2" t="s">
        <v>608</v>
      </c>
      <c r="I246" s="2" t="s">
        <v>609</v>
      </c>
      <c r="J246" s="2" t="s">
        <v>468</v>
      </c>
      <c r="M246" s="2" t="s">
        <v>610</v>
      </c>
      <c r="P246" s="2" t="s">
        <v>52</v>
      </c>
      <c r="Q246" s="1" t="str">
        <f>IF($B246=0,$M246,_xlfn.TEXTBEFORE(Q245,"/",$B246,,,Q245)&amp;"/"&amp;$M246)&amp;IF(_xlfn.TEXTAFTER($D246,"..",,,,1)&lt;&gt;"1","[0]","")</f>
        <v>*/GoodsShipment[0]/GoodsShipmentItem[0]/Origin/countryOfOrigin</v>
      </c>
    </row>
    <row r="247" spans="1:17" ht="12" customHeight="1" outlineLevel="4" x14ac:dyDescent="0.35">
      <c r="A247" s="2" t="str">
        <f>$E$2</f>
        <v>CC451B</v>
      </c>
      <c r="B247" s="1">
        <v>4</v>
      </c>
      <c r="C247" s="1" t="s">
        <v>19</v>
      </c>
      <c r="D247" s="2" t="s">
        <v>30</v>
      </c>
      <c r="E247" s="11" t="s">
        <v>611</v>
      </c>
      <c r="F247" s="7" t="s">
        <v>60</v>
      </c>
      <c r="G247" s="2" t="s">
        <v>396</v>
      </c>
      <c r="H247" s="2" t="s">
        <v>427</v>
      </c>
      <c r="I247" s="2" t="s">
        <v>612</v>
      </c>
      <c r="M247" s="2" t="s">
        <v>613</v>
      </c>
      <c r="P247" s="2" t="s">
        <v>614</v>
      </c>
      <c r="Q247" s="1" t="str">
        <f>IF($B247=0,$M247,_xlfn.TEXTBEFORE(Q246,"/",$B247,,,Q246)&amp;"/"&amp;$M247)&amp;IF(_xlfn.TEXTAFTER($D247,"..",,,,1)&lt;&gt;"1","[0]","")</f>
        <v>*/GoodsShipment[0]/GoodsShipmentItem[0]/Origin/countryOfPreferentialOrigin</v>
      </c>
    </row>
    <row r="248" spans="1:17" ht="12" customHeight="1" outlineLevel="3" x14ac:dyDescent="0.35">
      <c r="A248" s="3" t="str">
        <f>$E$2</f>
        <v>CC451B</v>
      </c>
      <c r="B248" s="4">
        <v>3</v>
      </c>
      <c r="C248" s="3" t="s">
        <v>24</v>
      </c>
      <c r="D248" s="3" t="s">
        <v>30</v>
      </c>
      <c r="E248" s="10" t="s">
        <v>464</v>
      </c>
      <c r="F248" s="4"/>
      <c r="G248" s="3" t="s">
        <v>396</v>
      </c>
      <c r="H248" s="3" t="s">
        <v>1272</v>
      </c>
      <c r="I248" s="16" t="s">
        <v>1299</v>
      </c>
      <c r="J248" s="4"/>
      <c r="K248" s="4"/>
      <c r="L248" s="4"/>
      <c r="M248" s="3" t="s">
        <v>465</v>
      </c>
      <c r="N248" s="4"/>
      <c r="O248" s="4"/>
      <c r="P248" s="3" t="s">
        <v>466</v>
      </c>
      <c r="Q248" s="1" t="str">
        <f>IF($B248=0,$M248,_xlfn.TEXTBEFORE(Q247,"/",$B248,,,Q247)&amp;"/"&amp;$M248)&amp;IF(_xlfn.TEXTAFTER($D248,"..",,,,1)&lt;&gt;"1","[0]","")</f>
        <v>*/GoodsShipment[0]/GoodsShipmentItem[0]/CountryOfDispatch</v>
      </c>
    </row>
    <row r="249" spans="1:17" ht="12" customHeight="1" outlineLevel="4" x14ac:dyDescent="0.35">
      <c r="A249" s="2" t="str">
        <f>$E$2</f>
        <v>CC451B</v>
      </c>
      <c r="B249" s="1">
        <v>4</v>
      </c>
      <c r="C249" s="1" t="s">
        <v>19</v>
      </c>
      <c r="D249" s="2" t="s">
        <v>25</v>
      </c>
      <c r="E249" s="11" t="s">
        <v>464</v>
      </c>
      <c r="F249" s="7" t="s">
        <v>50</v>
      </c>
      <c r="G249" s="2" t="s">
        <v>27</v>
      </c>
      <c r="H249" s="2" t="s">
        <v>467</v>
      </c>
      <c r="J249" s="2" t="s">
        <v>468</v>
      </c>
      <c r="M249" s="2" t="s">
        <v>469</v>
      </c>
      <c r="P249" s="2" t="s">
        <v>52</v>
      </c>
      <c r="Q249" s="1" t="str">
        <f>IF($B249=0,$M249,_xlfn.TEXTBEFORE(Q248,"/",$B249,,,Q248)&amp;"/"&amp;$M249)&amp;IF(_xlfn.TEXTAFTER($D249,"..",,,,1)&lt;&gt;"1","[0]","")</f>
        <v>*/GoodsShipment[0]/GoodsShipmentItem[0]/CountryOfDispatch/countryOfDispatch</v>
      </c>
    </row>
    <row r="250" spans="1:17" ht="12" customHeight="1" outlineLevel="3" x14ac:dyDescent="0.35">
      <c r="A250" s="3" t="str">
        <f>$E$2</f>
        <v>CC451B</v>
      </c>
      <c r="B250" s="4">
        <v>3</v>
      </c>
      <c r="C250" s="3" t="s">
        <v>24</v>
      </c>
      <c r="D250" s="3" t="s">
        <v>30</v>
      </c>
      <c r="E250" s="10" t="s">
        <v>470</v>
      </c>
      <c r="F250" s="4"/>
      <c r="G250" s="3" t="s">
        <v>396</v>
      </c>
      <c r="H250" s="3" t="s">
        <v>1300</v>
      </c>
      <c r="I250" s="16" t="s">
        <v>1281</v>
      </c>
      <c r="J250" s="4"/>
      <c r="K250" s="4"/>
      <c r="L250" s="4"/>
      <c r="M250" s="3" t="s">
        <v>470</v>
      </c>
      <c r="N250" s="4"/>
      <c r="O250" s="4"/>
      <c r="P250" s="3" t="s">
        <v>471</v>
      </c>
      <c r="Q250" s="1" t="str">
        <f>IF($B250=0,$M250,_xlfn.TEXTBEFORE(Q249,"/",$B250,,,Q249)&amp;"/"&amp;$M250)&amp;IF(_xlfn.TEXTAFTER($D250,"..",,,,1)&lt;&gt;"1","[0]","")</f>
        <v>*/GoodsShipment[0]/GoodsShipmentItem[0]/Destination</v>
      </c>
    </row>
    <row r="251" spans="1:17" ht="12" customHeight="1" outlineLevel="4" x14ac:dyDescent="0.35">
      <c r="A251" s="2" t="str">
        <f>$E$2</f>
        <v>CC451B</v>
      </c>
      <c r="B251" s="1">
        <v>4</v>
      </c>
      <c r="C251" s="1" t="s">
        <v>19</v>
      </c>
      <c r="D251" s="2" t="s">
        <v>30</v>
      </c>
      <c r="E251" s="11" t="s">
        <v>472</v>
      </c>
      <c r="F251" s="7" t="s">
        <v>50</v>
      </c>
      <c r="G251" s="2" t="s">
        <v>396</v>
      </c>
      <c r="H251" s="2" t="s">
        <v>473</v>
      </c>
      <c r="I251" s="2" t="s">
        <v>474</v>
      </c>
      <c r="J251" s="2" t="s">
        <v>416</v>
      </c>
      <c r="M251" s="2" t="s">
        <v>475</v>
      </c>
      <c r="P251" s="2" t="s">
        <v>52</v>
      </c>
      <c r="Q251" s="1" t="str">
        <f>IF($B251=0,$M251,_xlfn.TEXTBEFORE(Q250,"/",$B251,,,Q250)&amp;"/"&amp;$M251)&amp;IF(_xlfn.TEXTAFTER($D251,"..",,,,1)&lt;&gt;"1","[0]","")</f>
        <v>*/GoodsShipment[0]/GoodsShipmentItem[0]/Destination/countryOfDestination</v>
      </c>
    </row>
    <row r="252" spans="1:17" ht="12" customHeight="1" outlineLevel="4" x14ac:dyDescent="0.35">
      <c r="A252" s="2" t="str">
        <f>$E$2</f>
        <v>CC451B</v>
      </c>
      <c r="B252" s="1">
        <v>4</v>
      </c>
      <c r="C252" s="1" t="s">
        <v>19</v>
      </c>
      <c r="D252" s="2" t="s">
        <v>30</v>
      </c>
      <c r="E252" s="11" t="s">
        <v>476</v>
      </c>
      <c r="F252" s="7" t="s">
        <v>96</v>
      </c>
      <c r="G252" s="2" t="s">
        <v>396</v>
      </c>
      <c r="H252" s="2" t="s">
        <v>477</v>
      </c>
      <c r="I252" s="7" t="s">
        <v>1282</v>
      </c>
      <c r="M252" s="2" t="s">
        <v>478</v>
      </c>
      <c r="P252" s="2" t="s">
        <v>479</v>
      </c>
      <c r="Q252" s="1" t="str">
        <f>IF($B252=0,$M252,_xlfn.TEXTBEFORE(Q251,"/",$B252,,,Q251)&amp;"/"&amp;$M252)&amp;IF(_xlfn.TEXTAFTER($D252,"..",,,,1)&lt;&gt;"1","[0]","")</f>
        <v>*/GoodsShipment[0]/GoodsShipmentItem[0]/Destination/regionOfDestination</v>
      </c>
    </row>
    <row r="253" spans="1:17" ht="12" customHeight="1" outlineLevel="4" x14ac:dyDescent="0.35">
      <c r="A253" s="2" t="str">
        <f>$E$2</f>
        <v>CC451B</v>
      </c>
      <c r="B253" s="1">
        <v>4</v>
      </c>
      <c r="C253" s="1" t="s">
        <v>19</v>
      </c>
      <c r="D253" s="2" t="s">
        <v>30</v>
      </c>
      <c r="E253" s="11" t="s">
        <v>142</v>
      </c>
      <c r="F253" s="7" t="s">
        <v>50</v>
      </c>
      <c r="G253" s="2" t="s">
        <v>396</v>
      </c>
      <c r="H253" s="2" t="s">
        <v>1283</v>
      </c>
      <c r="I253" s="2" t="s">
        <v>480</v>
      </c>
      <c r="J253" s="2" t="s">
        <v>416</v>
      </c>
      <c r="M253" s="2" t="s">
        <v>143</v>
      </c>
      <c r="P253" s="2" t="s">
        <v>52</v>
      </c>
      <c r="Q253" s="1" t="str">
        <f>IF($B253=0,$M253,_xlfn.TEXTBEFORE(Q252,"/",$B253,,,Q252)&amp;"/"&amp;$M253)&amp;IF(_xlfn.TEXTAFTER($D253,"..",,,,1)&lt;&gt;"1","[0]","")</f>
        <v>*/GoodsShipment[0]/GoodsShipmentItem[0]/Destination/ccQualifier</v>
      </c>
    </row>
    <row r="254" spans="1:17" ht="12" customHeight="1" outlineLevel="3" x14ac:dyDescent="0.35">
      <c r="A254" s="3" t="str">
        <f>$E$2</f>
        <v>CC451B</v>
      </c>
      <c r="B254" s="4">
        <v>3</v>
      </c>
      <c r="C254" s="3" t="s">
        <v>24</v>
      </c>
      <c r="D254" s="3" t="s">
        <v>25</v>
      </c>
      <c r="E254" s="10" t="s">
        <v>336</v>
      </c>
      <c r="F254" s="4"/>
      <c r="G254" s="3" t="s">
        <v>27</v>
      </c>
      <c r="H254" s="4"/>
      <c r="I254" s="4"/>
      <c r="J254" s="4"/>
      <c r="K254" s="4"/>
      <c r="L254" s="4"/>
      <c r="M254" s="3" t="s">
        <v>336</v>
      </c>
      <c r="N254" s="4"/>
      <c r="O254" s="4"/>
      <c r="P254" s="3" t="s">
        <v>1504</v>
      </c>
      <c r="Q254" s="1" t="str">
        <f>IF($B254=0,$M254,_xlfn.TEXTBEFORE(Q253,"/",$B254,,,Q253)&amp;"/"&amp;$M254)&amp;IF(_xlfn.TEXTAFTER($D254,"..",,,,1)&lt;&gt;"1","[0]","")</f>
        <v>*/GoodsShipment[0]/GoodsShipmentItem[0]/Commodity</v>
      </c>
    </row>
    <row r="255" spans="1:17" ht="12" customHeight="1" outlineLevel="4" x14ac:dyDescent="0.35">
      <c r="A255" s="2" t="str">
        <f>$E$2</f>
        <v>CC451B</v>
      </c>
      <c r="B255" s="1">
        <v>4</v>
      </c>
      <c r="C255" s="1" t="s">
        <v>19</v>
      </c>
      <c r="D255" s="2" t="s">
        <v>25</v>
      </c>
      <c r="E255" s="11" t="s">
        <v>338</v>
      </c>
      <c r="F255" s="7" t="s">
        <v>216</v>
      </c>
      <c r="G255" s="2" t="s">
        <v>27</v>
      </c>
      <c r="M255" s="2" t="s">
        <v>339</v>
      </c>
      <c r="P255" s="2" t="s">
        <v>218</v>
      </c>
      <c r="Q255" s="1" t="str">
        <f>IF($B255=0,$M255,_xlfn.TEXTBEFORE(Q254,"/",$B255,,,Q254)&amp;"/"&amp;$M255)&amp;IF(_xlfn.TEXTAFTER($D255,"..",,,,1)&lt;&gt;"1","[0]","")</f>
        <v>*/GoodsShipment[0]/GoodsShipmentItem[0]/Commodity/descriptionOfGoods</v>
      </c>
    </row>
    <row r="256" spans="1:17" ht="12" customHeight="1" outlineLevel="4" x14ac:dyDescent="0.35">
      <c r="A256" s="2" t="str">
        <f>$E$2</f>
        <v>CC451B</v>
      </c>
      <c r="B256" s="1">
        <v>4</v>
      </c>
      <c r="C256" s="1" t="s">
        <v>19</v>
      </c>
      <c r="D256" s="2" t="s">
        <v>30</v>
      </c>
      <c r="E256" s="11" t="s">
        <v>617</v>
      </c>
      <c r="F256" s="7" t="s">
        <v>618</v>
      </c>
      <c r="G256" s="2" t="s">
        <v>22</v>
      </c>
      <c r="H256" s="2" t="s">
        <v>619</v>
      </c>
      <c r="J256" s="2" t="s">
        <v>620</v>
      </c>
      <c r="M256" s="2" t="s">
        <v>621</v>
      </c>
      <c r="P256" s="2" t="s">
        <v>622</v>
      </c>
      <c r="Q256" s="1" t="str">
        <f>IF($B256=0,$M256,_xlfn.TEXTBEFORE(Q255,"/",$B256,,,Q255)&amp;"/"&amp;$M256)&amp;IF(_xlfn.TEXTAFTER($D256,"..",,,,1)&lt;&gt;"1","[0]","")</f>
        <v>*/GoodsShipment[0]/GoodsShipmentItem[0]/Commodity/CUSCode</v>
      </c>
    </row>
    <row r="257" spans="1:17" ht="12" customHeight="1" outlineLevel="4" x14ac:dyDescent="0.35">
      <c r="A257" s="2" t="str">
        <f>$E$2</f>
        <v>CC451B</v>
      </c>
      <c r="B257" s="1">
        <v>4</v>
      </c>
      <c r="C257" s="1" t="s">
        <v>19</v>
      </c>
      <c r="D257" s="2" t="s">
        <v>30</v>
      </c>
      <c r="E257" s="11" t="s">
        <v>623</v>
      </c>
      <c r="F257" s="7" t="s">
        <v>624</v>
      </c>
      <c r="G257" s="2" t="s">
        <v>22</v>
      </c>
      <c r="M257" s="2" t="s">
        <v>625</v>
      </c>
      <c r="P257" s="2" t="s">
        <v>626</v>
      </c>
      <c r="Q257" s="1" t="str">
        <f>IF($B257=0,$M257,_xlfn.TEXTBEFORE(Q256,"/",$B257,,,Q256)&amp;"/"&amp;$M257)&amp;IF(_xlfn.TEXTAFTER($D257,"..",,,,1)&lt;&gt;"1","[0]","")</f>
        <v>*/GoodsShipment[0]/GoodsShipmentItem[0]/Commodity/quotaOrderNumber</v>
      </c>
    </row>
    <row r="258" spans="1:17" ht="12" customHeight="1" outlineLevel="4" x14ac:dyDescent="0.35">
      <c r="A258" s="3" t="str">
        <f>$E$2</f>
        <v>CC451B</v>
      </c>
      <c r="B258" s="4">
        <v>4</v>
      </c>
      <c r="C258" s="3" t="s">
        <v>24</v>
      </c>
      <c r="D258" s="3" t="s">
        <v>30</v>
      </c>
      <c r="E258" s="12" t="s">
        <v>627</v>
      </c>
      <c r="F258" s="4"/>
      <c r="G258" s="3" t="s">
        <v>396</v>
      </c>
      <c r="H258" s="3" t="s">
        <v>1301</v>
      </c>
      <c r="I258" s="16" t="s">
        <v>1302</v>
      </c>
      <c r="J258" s="4"/>
      <c r="K258" s="4"/>
      <c r="L258" s="4"/>
      <c r="M258" s="3" t="s">
        <v>629</v>
      </c>
      <c r="N258" s="4"/>
      <c r="O258" s="4"/>
      <c r="P258" s="3" t="s">
        <v>1505</v>
      </c>
      <c r="Q258" s="1" t="str">
        <f>IF($B258=0,$M258,_xlfn.TEXTBEFORE(Q257,"/",$B258,,,Q257)&amp;"/"&amp;$M258)&amp;IF(_xlfn.TEXTAFTER($D258,"..",,,,1)&lt;&gt;"1","[0]","")</f>
        <v>*/GoodsShipment[0]/GoodsShipmentItem[0]/Commodity/CommodityCode</v>
      </c>
    </row>
    <row r="259" spans="1:17" ht="12" customHeight="1" outlineLevel="5" x14ac:dyDescent="0.35">
      <c r="A259" s="2" t="str">
        <f>$E$2</f>
        <v>CC451B</v>
      </c>
      <c r="B259" s="1">
        <v>5</v>
      </c>
      <c r="C259" s="1" t="s">
        <v>19</v>
      </c>
      <c r="D259" s="2" t="s">
        <v>25</v>
      </c>
      <c r="E259" s="13" t="s">
        <v>631</v>
      </c>
      <c r="F259" s="7" t="s">
        <v>624</v>
      </c>
      <c r="G259" s="2" t="s">
        <v>27</v>
      </c>
      <c r="J259" s="2" t="s">
        <v>632</v>
      </c>
      <c r="M259" s="2" t="s">
        <v>633</v>
      </c>
      <c r="P259" s="2" t="s">
        <v>634</v>
      </c>
      <c r="Q259" s="1" t="str">
        <f>IF($B259=0,$M259,_xlfn.TEXTBEFORE(Q258,"/",$B259,,,Q258)&amp;"/"&amp;$M259)&amp;IF(_xlfn.TEXTAFTER($D259,"..",,,,1)&lt;&gt;"1","[0]","")</f>
        <v>*/GoodsShipment[0]/GoodsShipmentItem[0]/Commodity/CommodityCode/harmonizedSystemSubheadingCode</v>
      </c>
    </row>
    <row r="260" spans="1:17" ht="12" customHeight="1" outlineLevel="5" x14ac:dyDescent="0.35">
      <c r="A260" s="2" t="str">
        <f>$E$2</f>
        <v>CC451B</v>
      </c>
      <c r="B260" s="1">
        <v>5</v>
      </c>
      <c r="C260" s="1" t="s">
        <v>19</v>
      </c>
      <c r="D260" s="2" t="s">
        <v>25</v>
      </c>
      <c r="E260" s="13" t="s">
        <v>635</v>
      </c>
      <c r="F260" s="7" t="s">
        <v>325</v>
      </c>
      <c r="G260" s="2" t="s">
        <v>27</v>
      </c>
      <c r="M260" s="2" t="s">
        <v>636</v>
      </c>
      <c r="P260" s="2" t="s">
        <v>637</v>
      </c>
      <c r="Q260" s="1" t="str">
        <f>IF($B260=0,$M260,_xlfn.TEXTBEFORE(Q259,"/",$B260,,,Q259)&amp;"/"&amp;$M260)&amp;IF(_xlfn.TEXTAFTER($D260,"..",,,,1)&lt;&gt;"1","[0]","")</f>
        <v>*/GoodsShipment[0]/GoodsShipmentItem[0]/Commodity/CommodityCode/combinedNomenclatureCode</v>
      </c>
    </row>
    <row r="261" spans="1:17" ht="12" customHeight="1" outlineLevel="5" x14ac:dyDescent="0.35">
      <c r="A261" s="2" t="str">
        <f>$E$2</f>
        <v>CC451B</v>
      </c>
      <c r="B261" s="1">
        <v>5</v>
      </c>
      <c r="C261" s="1" t="s">
        <v>19</v>
      </c>
      <c r="D261" s="2" t="s">
        <v>30</v>
      </c>
      <c r="E261" s="13" t="s">
        <v>638</v>
      </c>
      <c r="F261" s="7" t="s">
        <v>325</v>
      </c>
      <c r="G261" s="2" t="s">
        <v>396</v>
      </c>
      <c r="I261" s="2" t="s">
        <v>639</v>
      </c>
      <c r="M261" s="2" t="s">
        <v>640</v>
      </c>
      <c r="P261" s="2" t="s">
        <v>641</v>
      </c>
      <c r="Q261" s="1" t="str">
        <f>IF($B261=0,$M261,_xlfn.TEXTBEFORE(Q260,"/",$B261,,,Q260)&amp;"/"&amp;$M261)&amp;IF(_xlfn.TEXTAFTER($D261,"..",,,,1)&lt;&gt;"1","[0]","")</f>
        <v>*/GoodsShipment[0]/GoodsShipmentItem[0]/Commodity/CommodityCode/taricCode</v>
      </c>
    </row>
    <row r="262" spans="1:17" ht="12" customHeight="1" outlineLevel="5" x14ac:dyDescent="0.35">
      <c r="A262" s="3" t="str">
        <f>$E$2</f>
        <v>CC451B</v>
      </c>
      <c r="B262" s="4">
        <v>5</v>
      </c>
      <c r="C262" s="3" t="s">
        <v>24</v>
      </c>
      <c r="D262" s="3" t="s">
        <v>193</v>
      </c>
      <c r="E262" s="17" t="s">
        <v>642</v>
      </c>
      <c r="F262" s="4"/>
      <c r="G262" s="3" t="s">
        <v>396</v>
      </c>
      <c r="H262" s="3" t="s">
        <v>643</v>
      </c>
      <c r="I262" s="16" t="s">
        <v>758</v>
      </c>
      <c r="J262" s="4"/>
      <c r="K262" s="4"/>
      <c r="L262" s="4"/>
      <c r="M262" s="3" t="s">
        <v>644</v>
      </c>
      <c r="N262" s="4"/>
      <c r="O262" s="4"/>
      <c r="P262" s="3" t="s">
        <v>645</v>
      </c>
      <c r="Q262" s="1" t="str">
        <f>IF($B262=0,$M262,_xlfn.TEXTBEFORE(Q261,"/",$B262,,,Q261)&amp;"/"&amp;$M262)&amp;IF(_xlfn.TEXTAFTER($D262,"..",,,,1)&lt;&gt;"1","[0]","")</f>
        <v>*/GoodsShipment[0]/GoodsShipmentItem[0]/Commodity/CommodityCode/TaricAdditionalCode[0]</v>
      </c>
    </row>
    <row r="263" spans="1:17" ht="12" customHeight="1" outlineLevel="6" x14ac:dyDescent="0.35">
      <c r="A263" s="2" t="str">
        <f>$E$2</f>
        <v>CC451B</v>
      </c>
      <c r="B263" s="1">
        <v>6</v>
      </c>
      <c r="C263" s="1" t="s">
        <v>19</v>
      </c>
      <c r="D263" s="2" t="s">
        <v>25</v>
      </c>
      <c r="E263" s="18" t="s">
        <v>56</v>
      </c>
      <c r="F263" s="7" t="s">
        <v>57</v>
      </c>
      <c r="G263" s="2" t="s">
        <v>27</v>
      </c>
      <c r="H263" s="2" t="s">
        <v>393</v>
      </c>
      <c r="M263" s="2" t="s">
        <v>58</v>
      </c>
      <c r="P263" s="2" t="s">
        <v>59</v>
      </c>
      <c r="Q263" s="1" t="str">
        <f>IF($B263=0,$M263,_xlfn.TEXTBEFORE(Q262,"/",$B263,,,Q262)&amp;"/"&amp;$M263)&amp;IF(_xlfn.TEXTAFTER($D263,"..",,,,1)&lt;&gt;"1","[0]","")</f>
        <v>*/GoodsShipment[0]/GoodsShipmentItem[0]/Commodity/CommodityCode/TaricAdditionalCode[0]/sequenceNumber</v>
      </c>
    </row>
    <row r="264" spans="1:17" ht="12" customHeight="1" outlineLevel="6" x14ac:dyDescent="0.35">
      <c r="A264" s="2" t="str">
        <f>$E$2</f>
        <v>CC451B</v>
      </c>
      <c r="B264" s="1">
        <v>6</v>
      </c>
      <c r="C264" s="1" t="s">
        <v>19</v>
      </c>
      <c r="D264" s="2" t="s">
        <v>25</v>
      </c>
      <c r="E264" s="18" t="s">
        <v>642</v>
      </c>
      <c r="F264" s="7" t="s">
        <v>306</v>
      </c>
      <c r="G264" s="2" t="s">
        <v>27</v>
      </c>
      <c r="M264" s="2" t="s">
        <v>646</v>
      </c>
      <c r="P264" s="2" t="s">
        <v>647</v>
      </c>
      <c r="Q264" s="1" t="str">
        <f>IF($B264=0,$M264,_xlfn.TEXTBEFORE(Q263,"/",$B264,,,Q263)&amp;"/"&amp;$M264)&amp;IF(_xlfn.TEXTAFTER($D264,"..",,,,1)&lt;&gt;"1","[0]","")</f>
        <v>*/GoodsShipment[0]/GoodsShipmentItem[0]/Commodity/CommodityCode/TaricAdditionalCode[0]/taricAdditionalCode</v>
      </c>
    </row>
    <row r="265" spans="1:17" ht="12" customHeight="1" outlineLevel="5" x14ac:dyDescent="0.35">
      <c r="A265" s="3" t="str">
        <f>$E$2</f>
        <v>CC451B</v>
      </c>
      <c r="B265" s="4">
        <v>5</v>
      </c>
      <c r="C265" s="3" t="s">
        <v>24</v>
      </c>
      <c r="D265" s="3" t="s">
        <v>193</v>
      </c>
      <c r="E265" s="17" t="s">
        <v>648</v>
      </c>
      <c r="F265" s="4"/>
      <c r="G265" s="3" t="s">
        <v>22</v>
      </c>
      <c r="H265" s="3" t="s">
        <v>477</v>
      </c>
      <c r="I265" s="4"/>
      <c r="J265" s="4"/>
      <c r="K265" s="4"/>
      <c r="L265" s="4"/>
      <c r="M265" s="3" t="s">
        <v>649</v>
      </c>
      <c r="N265" s="4"/>
      <c r="O265" s="4"/>
      <c r="P265" s="3" t="s">
        <v>650</v>
      </c>
      <c r="Q265" s="1" t="str">
        <f>IF($B265=0,$M265,_xlfn.TEXTBEFORE(Q264,"/",$B265,,,Q264)&amp;"/"&amp;$M265)&amp;IF(_xlfn.TEXTAFTER($D265,"..",,,,1)&lt;&gt;"1","[0]","")</f>
        <v>*/GoodsShipment[0]/GoodsShipmentItem[0]/Commodity/CommodityCode/NationalAdditionalCode[0]</v>
      </c>
    </row>
    <row r="266" spans="1:17" ht="12" customHeight="1" outlineLevel="6" x14ac:dyDescent="0.35">
      <c r="A266" s="2" t="str">
        <f>$E$2</f>
        <v>CC451B</v>
      </c>
      <c r="B266" s="1">
        <v>6</v>
      </c>
      <c r="C266" s="1" t="s">
        <v>19</v>
      </c>
      <c r="D266" s="2" t="s">
        <v>25</v>
      </c>
      <c r="E266" s="18" t="s">
        <v>56</v>
      </c>
      <c r="F266" s="7" t="s">
        <v>57</v>
      </c>
      <c r="G266" s="2" t="s">
        <v>27</v>
      </c>
      <c r="H266" s="2" t="s">
        <v>393</v>
      </c>
      <c r="M266" s="2" t="s">
        <v>58</v>
      </c>
      <c r="P266" s="2" t="s">
        <v>59</v>
      </c>
      <c r="Q266" s="1" t="str">
        <f>IF($B266=0,$M266,_xlfn.TEXTBEFORE(Q265,"/",$B266,,,Q265)&amp;"/"&amp;$M266)&amp;IF(_xlfn.TEXTAFTER($D266,"..",,,,1)&lt;&gt;"1","[0]","")</f>
        <v>*/GoodsShipment[0]/GoodsShipmentItem[0]/Commodity/CommodityCode/NationalAdditionalCode[0]/sequenceNumber</v>
      </c>
    </row>
    <row r="267" spans="1:17" ht="12" customHeight="1" outlineLevel="6" x14ac:dyDescent="0.35">
      <c r="A267" s="2" t="str">
        <f>$E$2</f>
        <v>CC451B</v>
      </c>
      <c r="B267" s="1">
        <v>6</v>
      </c>
      <c r="C267" s="1" t="s">
        <v>19</v>
      </c>
      <c r="D267" s="2" t="s">
        <v>25</v>
      </c>
      <c r="E267" s="18" t="s">
        <v>648</v>
      </c>
      <c r="F267" s="7" t="s">
        <v>60</v>
      </c>
      <c r="G267" s="2" t="s">
        <v>27</v>
      </c>
      <c r="H267" s="2" t="s">
        <v>477</v>
      </c>
      <c r="M267" s="2" t="s">
        <v>651</v>
      </c>
      <c r="P267" s="2" t="s">
        <v>652</v>
      </c>
      <c r="Q267" s="1" t="str">
        <f>IF($B267=0,$M267,_xlfn.TEXTBEFORE(Q266,"/",$B267,,,Q266)&amp;"/"&amp;$M267)&amp;IF(_xlfn.TEXTAFTER($D267,"..",,,,1)&lt;&gt;"1","[0]","")</f>
        <v>*/GoodsShipment[0]/GoodsShipmentItem[0]/Commodity/CommodityCode/NationalAdditionalCode[0]/nationalAdditionalCode</v>
      </c>
    </row>
    <row r="268" spans="1:17" ht="12" customHeight="1" outlineLevel="6" x14ac:dyDescent="0.35">
      <c r="A268" s="2" t="str">
        <f>$E$2</f>
        <v>CC451B</v>
      </c>
      <c r="B268" s="1">
        <v>6</v>
      </c>
      <c r="C268" s="1" t="s">
        <v>19</v>
      </c>
      <c r="D268" s="2" t="s">
        <v>30</v>
      </c>
      <c r="E268" s="18" t="s">
        <v>142</v>
      </c>
      <c r="F268" s="7" t="s">
        <v>50</v>
      </c>
      <c r="G268" s="2" t="s">
        <v>396</v>
      </c>
      <c r="H268" s="2" t="s">
        <v>492</v>
      </c>
      <c r="I268" s="2" t="s">
        <v>493</v>
      </c>
      <c r="J268" s="2" t="s">
        <v>416</v>
      </c>
      <c r="M268" s="2" t="s">
        <v>143</v>
      </c>
      <c r="P268" s="2" t="s">
        <v>52</v>
      </c>
      <c r="Q268" s="1" t="str">
        <f>IF($B268=0,$M268,_xlfn.TEXTBEFORE(Q267,"/",$B268,,,Q267)&amp;"/"&amp;$M268)&amp;IF(_xlfn.TEXTAFTER($D268,"..",,,,1)&lt;&gt;"1","[0]","")</f>
        <v>*/GoodsShipment[0]/GoodsShipmentItem[0]/Commodity/CommodityCode/NationalAdditionalCode[0]/ccQualifier</v>
      </c>
    </row>
    <row r="269" spans="1:17" ht="12" customHeight="1" outlineLevel="4" x14ac:dyDescent="0.35">
      <c r="A269" s="3" t="str">
        <f>$E$2</f>
        <v>CC451B</v>
      </c>
      <c r="B269" s="4">
        <v>4</v>
      </c>
      <c r="C269" s="3" t="s">
        <v>24</v>
      </c>
      <c r="D269" s="3" t="s">
        <v>25</v>
      </c>
      <c r="E269" s="12" t="s">
        <v>340</v>
      </c>
      <c r="F269" s="4"/>
      <c r="G269" s="3" t="s">
        <v>27</v>
      </c>
      <c r="H269" s="4"/>
      <c r="I269" s="4"/>
      <c r="J269" s="4"/>
      <c r="K269" s="4"/>
      <c r="L269" s="4"/>
      <c r="M269" s="3" t="s">
        <v>341</v>
      </c>
      <c r="N269" s="4"/>
      <c r="O269" s="4"/>
      <c r="P269" s="3" t="s">
        <v>1303</v>
      </c>
      <c r="Q269" s="1" t="str">
        <f>IF($B269=0,$M269,_xlfn.TEXTBEFORE(Q268,"/",$B269,,,Q268)&amp;"/"&amp;$M269)&amp;IF(_xlfn.TEXTAFTER($D269,"..",,,,1)&lt;&gt;"1","[0]","")</f>
        <v>*/GoodsShipment[0]/GoodsShipmentItem[0]/Commodity/GoodsMeasure</v>
      </c>
    </row>
    <row r="270" spans="1:17" ht="12" customHeight="1" outlineLevel="5" x14ac:dyDescent="0.35">
      <c r="A270" s="2" t="str">
        <f>$E$2</f>
        <v>CC451B</v>
      </c>
      <c r="B270" s="1">
        <v>5</v>
      </c>
      <c r="C270" s="1" t="s">
        <v>19</v>
      </c>
      <c r="D270" s="2" t="s">
        <v>30</v>
      </c>
      <c r="E270" s="13" t="s">
        <v>310</v>
      </c>
      <c r="F270" s="7" t="s">
        <v>311</v>
      </c>
      <c r="G270" s="2" t="s">
        <v>22</v>
      </c>
      <c r="H270" s="2" t="s">
        <v>551</v>
      </c>
      <c r="M270" s="2" t="s">
        <v>312</v>
      </c>
      <c r="P270" s="2" t="s">
        <v>313</v>
      </c>
      <c r="Q270" s="1" t="str">
        <f>IF($B270=0,$M270,_xlfn.TEXTBEFORE(Q269,"/",$B270,,,Q269)&amp;"/"&amp;$M270)&amp;IF(_xlfn.TEXTAFTER($D270,"..",,,,1)&lt;&gt;"1","[0]","")</f>
        <v>*/GoodsShipment[0]/GoodsShipmentItem[0]/Commodity/GoodsMeasure/grossMass</v>
      </c>
    </row>
    <row r="271" spans="1:17" ht="12" customHeight="1" outlineLevel="5" x14ac:dyDescent="0.35">
      <c r="A271" s="2" t="str">
        <f>$E$2</f>
        <v>CC451B</v>
      </c>
      <c r="B271" s="1">
        <v>5</v>
      </c>
      <c r="C271" s="1" t="s">
        <v>19</v>
      </c>
      <c r="D271" s="2" t="s">
        <v>30</v>
      </c>
      <c r="E271" s="13" t="s">
        <v>655</v>
      </c>
      <c r="F271" s="7" t="s">
        <v>311</v>
      </c>
      <c r="G271" s="2" t="s">
        <v>396</v>
      </c>
      <c r="H271" s="2" t="s">
        <v>1304</v>
      </c>
      <c r="I271" s="7" t="s">
        <v>1305</v>
      </c>
      <c r="M271" s="2" t="s">
        <v>657</v>
      </c>
      <c r="P271" s="2" t="s">
        <v>313</v>
      </c>
      <c r="Q271" s="1" t="str">
        <f>IF($B271=0,$M271,_xlfn.TEXTBEFORE(Q270,"/",$B271,,,Q270)&amp;"/"&amp;$M271)&amp;IF(_xlfn.TEXTAFTER($D271,"..",,,,1)&lt;&gt;"1","[0]","")</f>
        <v>*/GoodsShipment[0]/GoodsShipmentItem[0]/Commodity/GoodsMeasure/netMass</v>
      </c>
    </row>
    <row r="272" spans="1:17" ht="12" customHeight="1" outlineLevel="5" x14ac:dyDescent="0.35">
      <c r="A272" s="2" t="str">
        <f>$E$2</f>
        <v>CC451B</v>
      </c>
      <c r="B272" s="1">
        <v>5</v>
      </c>
      <c r="C272" s="1" t="s">
        <v>19</v>
      </c>
      <c r="D272" s="2" t="s">
        <v>30</v>
      </c>
      <c r="E272" s="13" t="s">
        <v>658</v>
      </c>
      <c r="F272" s="7" t="s">
        <v>311</v>
      </c>
      <c r="G272" s="2" t="s">
        <v>396</v>
      </c>
      <c r="H272" s="2" t="s">
        <v>427</v>
      </c>
      <c r="I272" s="7" t="s">
        <v>1306</v>
      </c>
      <c r="M272" s="2" t="s">
        <v>659</v>
      </c>
      <c r="P272" s="2" t="s">
        <v>313</v>
      </c>
      <c r="Q272" s="1" t="str">
        <f>IF($B272=0,$M272,_xlfn.TEXTBEFORE(Q271,"/",$B272,,,Q271)&amp;"/"&amp;$M272)&amp;IF(_xlfn.TEXTAFTER($D272,"..",,,,1)&lt;&gt;"1","[0]","")</f>
        <v>*/GoodsShipment[0]/GoodsShipmentItem[0]/Commodity/GoodsMeasure/supplementaryUnits</v>
      </c>
    </row>
    <row r="273" spans="1:17" ht="12" customHeight="1" outlineLevel="4" x14ac:dyDescent="0.35">
      <c r="A273" s="3" t="str">
        <f>$E$2</f>
        <v>CC451B</v>
      </c>
      <c r="B273" s="4">
        <v>4</v>
      </c>
      <c r="C273" s="3" t="s">
        <v>24</v>
      </c>
      <c r="D273" s="3" t="s">
        <v>30</v>
      </c>
      <c r="E273" s="12" t="s">
        <v>660</v>
      </c>
      <c r="F273" s="4"/>
      <c r="G273" s="3" t="s">
        <v>396</v>
      </c>
      <c r="H273" s="3" t="s">
        <v>661</v>
      </c>
      <c r="I273" s="16" t="s">
        <v>1307</v>
      </c>
      <c r="J273" s="4"/>
      <c r="K273" s="4"/>
      <c r="L273" s="4"/>
      <c r="M273" s="3" t="s">
        <v>663</v>
      </c>
      <c r="N273" s="4"/>
      <c r="O273" s="4"/>
      <c r="P273" s="3" t="s">
        <v>664</v>
      </c>
      <c r="Q273" s="1" t="str">
        <f>IF($B273=0,$M273,_xlfn.TEXTBEFORE(Q272,"/",$B273,,,Q272)&amp;"/"&amp;$M273)&amp;IF(_xlfn.TEXTAFTER($D273,"..",,,,1)&lt;&gt;"1","[0]","")</f>
        <v>*/GoodsShipment[0]/GoodsShipmentItem[0]/Commodity/InvoiceLine</v>
      </c>
    </row>
    <row r="274" spans="1:17" ht="12" customHeight="1" outlineLevel="5" x14ac:dyDescent="0.35">
      <c r="A274" s="2" t="str">
        <f>$E$2</f>
        <v>CC451B</v>
      </c>
      <c r="B274" s="1">
        <v>5</v>
      </c>
      <c r="C274" s="1" t="s">
        <v>19</v>
      </c>
      <c r="D274" s="2" t="s">
        <v>25</v>
      </c>
      <c r="E274" s="13" t="s">
        <v>665</v>
      </c>
      <c r="F274" s="7" t="s">
        <v>152</v>
      </c>
      <c r="G274" s="2" t="s">
        <v>27</v>
      </c>
      <c r="H274" s="2" t="s">
        <v>419</v>
      </c>
      <c r="M274" s="2" t="s">
        <v>666</v>
      </c>
      <c r="P274" s="2" t="s">
        <v>154</v>
      </c>
      <c r="Q274" s="1" t="str">
        <f>IF($B274=0,$M274,_xlfn.TEXTBEFORE(Q273,"/",$B274,,,Q273)&amp;"/"&amp;$M274)&amp;IF(_xlfn.TEXTAFTER($D274,"..",,,,1)&lt;&gt;"1","[0]","")</f>
        <v>*/GoodsShipment[0]/GoodsShipmentItem[0]/Commodity/InvoiceLine/itemAmountInvoiced</v>
      </c>
    </row>
    <row r="275" spans="1:17" ht="12" customHeight="1" outlineLevel="4" x14ac:dyDescent="0.35">
      <c r="A275" s="3" t="str">
        <f>$E$2</f>
        <v>CC451B</v>
      </c>
      <c r="B275" s="4">
        <v>4</v>
      </c>
      <c r="C275" s="3" t="s">
        <v>24</v>
      </c>
      <c r="D275" s="3" t="s">
        <v>30</v>
      </c>
      <c r="E275" s="12" t="s">
        <v>667</v>
      </c>
      <c r="F275" s="4"/>
      <c r="G275" s="3" t="s">
        <v>396</v>
      </c>
      <c r="H275" s="4"/>
      <c r="I275" s="3" t="s">
        <v>1264</v>
      </c>
      <c r="J275" s="4"/>
      <c r="K275" s="4"/>
      <c r="L275" s="4"/>
      <c r="M275" s="3" t="s">
        <v>669</v>
      </c>
      <c r="N275" s="4"/>
      <c r="O275" s="4"/>
      <c r="P275" s="3" t="s">
        <v>1506</v>
      </c>
      <c r="Q275" s="1" t="str">
        <f>IF($B275=0,$M275,_xlfn.TEXTBEFORE(Q274,"/",$B275,,,Q274)&amp;"/"&amp;$M275)&amp;IF(_xlfn.TEXTAFTER($D275,"..",,,,1)&lt;&gt;"1","[0]","")</f>
        <v>*/GoodsShipment[0]/GoodsShipmentItem[0]/Commodity/CalculationOfTaxes</v>
      </c>
    </row>
    <row r="276" spans="1:17" ht="12" customHeight="1" outlineLevel="5" x14ac:dyDescent="0.35">
      <c r="A276" s="2" t="str">
        <f>$E$2</f>
        <v>CC451B</v>
      </c>
      <c r="B276" s="1">
        <v>5</v>
      </c>
      <c r="C276" s="1" t="s">
        <v>19</v>
      </c>
      <c r="D276" s="2" t="s">
        <v>30</v>
      </c>
      <c r="E276" s="13" t="s">
        <v>671</v>
      </c>
      <c r="F276" s="7" t="s">
        <v>672</v>
      </c>
      <c r="G276" s="2" t="s">
        <v>396</v>
      </c>
      <c r="H276" s="2" t="s">
        <v>673</v>
      </c>
      <c r="I276" s="2" t="s">
        <v>668</v>
      </c>
      <c r="J276" s="2" t="s">
        <v>674</v>
      </c>
      <c r="M276" s="2" t="s">
        <v>675</v>
      </c>
      <c r="P276" s="2" t="s">
        <v>676</v>
      </c>
      <c r="Q276" s="1" t="str">
        <f>IF($B276=0,$M276,_xlfn.TEXTBEFORE(Q275,"/",$B276,,,Q275)&amp;"/"&amp;$M276)&amp;IF(_xlfn.TEXTAFTER($D276,"..",,,,1)&lt;&gt;"1","[0]","")</f>
        <v>*/GoodsShipment[0]/GoodsShipmentItem[0]/Commodity/CalculationOfTaxes/preference</v>
      </c>
    </row>
    <row r="277" spans="1:17" ht="12" customHeight="1" outlineLevel="5" x14ac:dyDescent="0.35">
      <c r="A277" s="2" t="str">
        <f>$E$2</f>
        <v>CC451B</v>
      </c>
      <c r="B277" s="1">
        <v>5</v>
      </c>
      <c r="C277" s="1" t="s">
        <v>19</v>
      </c>
      <c r="D277" s="2" t="s">
        <v>30</v>
      </c>
      <c r="E277" s="13" t="s">
        <v>677</v>
      </c>
      <c r="F277" s="7" t="s">
        <v>152</v>
      </c>
      <c r="G277" s="2" t="s">
        <v>22</v>
      </c>
      <c r="H277" s="2" t="s">
        <v>680</v>
      </c>
      <c r="M277" s="2" t="s">
        <v>678</v>
      </c>
      <c r="P277" s="2" t="s">
        <v>154</v>
      </c>
      <c r="Q277" s="1" t="str">
        <f>IF($B277=0,$M277,_xlfn.TEXTBEFORE(Q276,"/",$B277,,,Q276)&amp;"/"&amp;$M277)&amp;IF(_xlfn.TEXTAFTER($D277,"..",,,,1)&lt;&gt;"1","[0]","")</f>
        <v>*/GoodsShipment[0]/GoodsShipmentItem[0]/Commodity/CalculationOfTaxes/totalDutiesAndTaxesAmount</v>
      </c>
    </row>
    <row r="278" spans="1:17" ht="12" customHeight="1" outlineLevel="5" x14ac:dyDescent="0.35">
      <c r="A278" s="3" t="str">
        <f>$E$2</f>
        <v>CC451B</v>
      </c>
      <c r="B278" s="4">
        <v>5</v>
      </c>
      <c r="C278" s="3" t="s">
        <v>24</v>
      </c>
      <c r="D278" s="3" t="s">
        <v>193</v>
      </c>
      <c r="E278" s="17" t="s">
        <v>679</v>
      </c>
      <c r="F278" s="4"/>
      <c r="G278" s="3" t="s">
        <v>396</v>
      </c>
      <c r="H278" s="3" t="s">
        <v>1308</v>
      </c>
      <c r="I278" s="16" t="s">
        <v>1309</v>
      </c>
      <c r="J278" s="4"/>
      <c r="K278" s="4"/>
      <c r="L278" s="4"/>
      <c r="M278" s="3" t="s">
        <v>681</v>
      </c>
      <c r="N278" s="4"/>
      <c r="O278" s="4"/>
      <c r="P278" s="3" t="s">
        <v>1507</v>
      </c>
      <c r="Q278" s="1" t="str">
        <f>IF($B278=0,$M278,_xlfn.TEXTBEFORE(Q277,"/",$B278,,,Q277)&amp;"/"&amp;$M278)&amp;IF(_xlfn.TEXTAFTER($D278,"..",,,,1)&lt;&gt;"1","[0]","")</f>
        <v>*/GoodsShipment[0]/GoodsShipmentItem[0]/Commodity/CalculationOfTaxes/DutiesAndTaxes[0]</v>
      </c>
    </row>
    <row r="279" spans="1:17" ht="12" customHeight="1" outlineLevel="6" x14ac:dyDescent="0.35">
      <c r="A279" s="2" t="str">
        <f>$E$2</f>
        <v>CC451B</v>
      </c>
      <c r="B279" s="1">
        <v>6</v>
      </c>
      <c r="C279" s="1" t="s">
        <v>19</v>
      </c>
      <c r="D279" s="2" t="s">
        <v>25</v>
      </c>
      <c r="E279" s="18" t="s">
        <v>56</v>
      </c>
      <c r="F279" s="7" t="s">
        <v>57</v>
      </c>
      <c r="G279" s="2" t="s">
        <v>27</v>
      </c>
      <c r="H279" s="2" t="s">
        <v>393</v>
      </c>
      <c r="M279" s="2" t="s">
        <v>58</v>
      </c>
      <c r="P279" s="2" t="s">
        <v>59</v>
      </c>
      <c r="Q279" s="1" t="str">
        <f>IF($B279=0,$M279,_xlfn.TEXTBEFORE(Q278,"/",$B279,,,Q278)&amp;"/"&amp;$M279)&amp;IF(_xlfn.TEXTAFTER($D279,"..",,,,1)&lt;&gt;"1","[0]","")</f>
        <v>*/GoodsShipment[0]/GoodsShipmentItem[0]/Commodity/CalculationOfTaxes/DutiesAndTaxes[0]/sequenceNumber</v>
      </c>
    </row>
    <row r="280" spans="1:17" ht="12" customHeight="1" outlineLevel="6" x14ac:dyDescent="0.35">
      <c r="A280" s="2" t="str">
        <f>$E$2</f>
        <v>CC451B</v>
      </c>
      <c r="B280" s="1">
        <v>6</v>
      </c>
      <c r="C280" s="1" t="s">
        <v>19</v>
      </c>
      <c r="D280" s="2" t="s">
        <v>25</v>
      </c>
      <c r="E280" s="18" t="s">
        <v>683</v>
      </c>
      <c r="F280" s="7" t="s">
        <v>333</v>
      </c>
      <c r="G280" s="2" t="s">
        <v>27</v>
      </c>
      <c r="H280" s="2" t="s">
        <v>680</v>
      </c>
      <c r="J280" s="2" t="s">
        <v>684</v>
      </c>
      <c r="M280" s="2" t="s">
        <v>685</v>
      </c>
      <c r="P280" s="2" t="s">
        <v>686</v>
      </c>
      <c r="Q280" s="1" t="str">
        <f>IF($B280=0,$M280,_xlfn.TEXTBEFORE(Q279,"/",$B280,,,Q279)&amp;"/"&amp;$M280)&amp;IF(_xlfn.TEXTAFTER($D280,"..",,,,1)&lt;&gt;"1","[0]","")</f>
        <v>*/GoodsShipment[0]/GoodsShipmentItem[0]/Commodity/CalculationOfTaxes/DutiesAndTaxes[0]/taxType</v>
      </c>
    </row>
    <row r="281" spans="1:17" ht="12" customHeight="1" outlineLevel="6" x14ac:dyDescent="0.35">
      <c r="A281" s="2" t="str">
        <f>$E$2</f>
        <v>CC451B</v>
      </c>
      <c r="B281" s="1">
        <v>6</v>
      </c>
      <c r="C281" s="1" t="s">
        <v>19</v>
      </c>
      <c r="D281" s="2" t="s">
        <v>30</v>
      </c>
      <c r="E281" s="18" t="s">
        <v>142</v>
      </c>
      <c r="F281" s="7" t="s">
        <v>50</v>
      </c>
      <c r="G281" s="2" t="s">
        <v>396</v>
      </c>
      <c r="H281" s="2" t="s">
        <v>492</v>
      </c>
      <c r="I281" s="2" t="s">
        <v>493</v>
      </c>
      <c r="J281" s="2" t="s">
        <v>416</v>
      </c>
      <c r="M281" s="2" t="s">
        <v>143</v>
      </c>
      <c r="P281" s="2" t="s">
        <v>52</v>
      </c>
      <c r="Q281" s="1" t="str">
        <f>IF($B281=0,$M281,_xlfn.TEXTBEFORE(Q280,"/",$B281,,,Q280)&amp;"/"&amp;$M281)&amp;IF(_xlfn.TEXTAFTER($D281,"..",,,,1)&lt;&gt;"1","[0]","")</f>
        <v>*/GoodsShipment[0]/GoodsShipmentItem[0]/Commodity/CalculationOfTaxes/DutiesAndTaxes[0]/ccQualifier</v>
      </c>
    </row>
    <row r="282" spans="1:17" ht="12" customHeight="1" outlineLevel="6" x14ac:dyDescent="0.35">
      <c r="A282" s="2" t="str">
        <f>$E$2</f>
        <v>CC451B</v>
      </c>
      <c r="B282" s="1">
        <v>6</v>
      </c>
      <c r="C282" s="1" t="s">
        <v>19</v>
      </c>
      <c r="D282" s="2" t="s">
        <v>25</v>
      </c>
      <c r="E282" s="18" t="s">
        <v>687</v>
      </c>
      <c r="F282" s="7" t="s">
        <v>152</v>
      </c>
      <c r="G282" s="2" t="s">
        <v>27</v>
      </c>
      <c r="H282" s="2" t="s">
        <v>705</v>
      </c>
      <c r="M282" s="2" t="s">
        <v>688</v>
      </c>
      <c r="P282" s="2" t="s">
        <v>154</v>
      </c>
      <c r="Q282" s="1" t="str">
        <f>IF($B282=0,$M282,_xlfn.TEXTBEFORE(Q281,"/",$B282,,,Q281)&amp;"/"&amp;$M282)&amp;IF(_xlfn.TEXTAFTER($D282,"..",,,,1)&lt;&gt;"1","[0]","")</f>
        <v>*/GoodsShipment[0]/GoodsShipmentItem[0]/Commodity/CalculationOfTaxes/DutiesAndTaxes[0]/payableTaxAmount</v>
      </c>
    </row>
    <row r="283" spans="1:17" ht="12" customHeight="1" outlineLevel="6" x14ac:dyDescent="0.35">
      <c r="A283" s="2" t="str">
        <f>$E$2</f>
        <v>CC451B</v>
      </c>
      <c r="B283" s="1">
        <v>6</v>
      </c>
      <c r="C283" s="1" t="s">
        <v>19</v>
      </c>
      <c r="D283" s="2" t="s">
        <v>25</v>
      </c>
      <c r="E283" s="18" t="s">
        <v>689</v>
      </c>
      <c r="F283" s="7" t="s">
        <v>44</v>
      </c>
      <c r="G283" s="2" t="s">
        <v>27</v>
      </c>
      <c r="H283" s="2" t="s">
        <v>690</v>
      </c>
      <c r="J283" s="2" t="s">
        <v>691</v>
      </c>
      <c r="M283" s="2" t="s">
        <v>692</v>
      </c>
      <c r="P283" s="2" t="s">
        <v>693</v>
      </c>
      <c r="Q283" s="1" t="str">
        <f>IF($B283=0,$M283,_xlfn.TEXTBEFORE(Q282,"/",$B283,,,Q282)&amp;"/"&amp;$M283)&amp;IF(_xlfn.TEXTAFTER($D283,"..",,,,1)&lt;&gt;"1","[0]","")</f>
        <v>*/GoodsShipment[0]/GoodsShipmentItem[0]/Commodity/CalculationOfTaxes/DutiesAndTaxes[0]/methodOfPayment</v>
      </c>
    </row>
    <row r="284" spans="1:17" ht="12" customHeight="1" outlineLevel="6" x14ac:dyDescent="0.35">
      <c r="A284" s="3" t="str">
        <f>$E$2</f>
        <v>CC451B</v>
      </c>
      <c r="B284" s="4">
        <v>6</v>
      </c>
      <c r="C284" s="3" t="s">
        <v>24</v>
      </c>
      <c r="D284" s="3" t="s">
        <v>193</v>
      </c>
      <c r="E284" s="19" t="s">
        <v>694</v>
      </c>
      <c r="F284" s="4"/>
      <c r="G284" s="3" t="s">
        <v>396</v>
      </c>
      <c r="H284" s="3" t="s">
        <v>1308</v>
      </c>
      <c r="I284" s="16" t="s">
        <v>1309</v>
      </c>
      <c r="J284" s="4"/>
      <c r="K284" s="4"/>
      <c r="L284" s="4"/>
      <c r="M284" s="3" t="s">
        <v>695</v>
      </c>
      <c r="N284" s="4"/>
      <c r="O284" s="4"/>
      <c r="P284" s="3" t="s">
        <v>1508</v>
      </c>
      <c r="Q284" s="1" t="str">
        <f>IF($B284=0,$M284,_xlfn.TEXTBEFORE(Q283,"/",$B284,,,Q283)&amp;"/"&amp;$M284)&amp;IF(_xlfn.TEXTAFTER($D284,"..",,,,1)&lt;&gt;"1","[0]","")</f>
        <v>*/GoodsShipment[0]/GoodsShipmentItem[0]/Commodity/CalculationOfTaxes/DutiesAndTaxes[0]/TaxBase[0]</v>
      </c>
    </row>
    <row r="285" spans="1:17" ht="12" customHeight="1" outlineLevel="7" x14ac:dyDescent="0.35">
      <c r="A285" s="2" t="str">
        <f>$E$2</f>
        <v>CC451B</v>
      </c>
      <c r="B285" s="1">
        <v>7</v>
      </c>
      <c r="C285" s="1" t="s">
        <v>19</v>
      </c>
      <c r="D285" s="2" t="s">
        <v>25</v>
      </c>
      <c r="E285" s="20" t="s">
        <v>56</v>
      </c>
      <c r="F285" s="7" t="s">
        <v>57</v>
      </c>
      <c r="G285" s="2" t="s">
        <v>27</v>
      </c>
      <c r="H285" s="2" t="s">
        <v>393</v>
      </c>
      <c r="M285" s="2" t="s">
        <v>58</v>
      </c>
      <c r="P285" s="2" t="s">
        <v>59</v>
      </c>
      <c r="Q285" s="1" t="str">
        <f>IF($B285=0,$M285,_xlfn.TEXTBEFORE(Q284,"/",$B285,,,Q284)&amp;"/"&amp;$M285)&amp;IF(_xlfn.TEXTAFTER($D285,"..",,,,1)&lt;&gt;"1","[0]","")</f>
        <v>*/GoodsShipment[0]/GoodsShipmentItem[0]/Commodity/CalculationOfTaxes/DutiesAndTaxes[0]/TaxBase[0]/sequenceNumber</v>
      </c>
    </row>
    <row r="286" spans="1:17" ht="12" customHeight="1" outlineLevel="7" x14ac:dyDescent="0.35">
      <c r="A286" s="2" t="str">
        <f>$E$2</f>
        <v>CC451B</v>
      </c>
      <c r="B286" s="1">
        <v>7</v>
      </c>
      <c r="C286" s="1" t="s">
        <v>19</v>
      </c>
      <c r="D286" s="2" t="s">
        <v>30</v>
      </c>
      <c r="E286" s="20" t="s">
        <v>697</v>
      </c>
      <c r="F286" s="7" t="s">
        <v>698</v>
      </c>
      <c r="G286" s="2" t="s">
        <v>22</v>
      </c>
      <c r="H286" s="2" t="s">
        <v>680</v>
      </c>
      <c r="M286" s="2" t="s">
        <v>699</v>
      </c>
      <c r="P286" s="2" t="s">
        <v>700</v>
      </c>
      <c r="Q286" s="1" t="str">
        <f>IF($B286=0,$M286,_xlfn.TEXTBEFORE(Q285,"/",$B286,,,Q285)&amp;"/"&amp;$M286)&amp;IF(_xlfn.TEXTAFTER($D286,"..",,,,1)&lt;&gt;"1","[0]","")</f>
        <v>*/GoodsShipment[0]/GoodsShipmentItem[0]/Commodity/CalculationOfTaxes/DutiesAndTaxes[0]/TaxBase[0]/taxRate</v>
      </c>
    </row>
    <row r="287" spans="1:17" ht="12" customHeight="1" outlineLevel="7" x14ac:dyDescent="0.35">
      <c r="A287" s="2" t="str">
        <f>$E$2</f>
        <v>CC451B</v>
      </c>
      <c r="B287" s="1">
        <v>7</v>
      </c>
      <c r="C287" s="1" t="s">
        <v>19</v>
      </c>
      <c r="D287" s="2" t="s">
        <v>30</v>
      </c>
      <c r="E287" s="20" t="s">
        <v>353</v>
      </c>
      <c r="F287" s="7" t="s">
        <v>60</v>
      </c>
      <c r="G287" s="2" t="s">
        <v>396</v>
      </c>
      <c r="H287" s="2" t="s">
        <v>477</v>
      </c>
      <c r="I287" s="2" t="s">
        <v>701</v>
      </c>
      <c r="M287" s="2" t="s">
        <v>354</v>
      </c>
      <c r="P287" s="2" t="s">
        <v>355</v>
      </c>
      <c r="Q287" s="1" t="str">
        <f>IF($B287=0,$M287,_xlfn.TEXTBEFORE(Q286,"/",$B287,,,Q286)&amp;"/"&amp;$M287)&amp;IF(_xlfn.TEXTAFTER($D287,"..",,,,1)&lt;&gt;"1","[0]","")</f>
        <v>*/GoodsShipment[0]/GoodsShipmentItem[0]/Commodity/CalculationOfTaxes/DutiesAndTaxes[0]/TaxBase[0]/measurementUnitAndQualifier</v>
      </c>
    </row>
    <row r="288" spans="1:17" ht="12" customHeight="1" outlineLevel="7" x14ac:dyDescent="0.35">
      <c r="A288" s="2" t="str">
        <f>$E$2</f>
        <v>CC451B</v>
      </c>
      <c r="B288" s="1">
        <v>7</v>
      </c>
      <c r="C288" s="1" t="s">
        <v>19</v>
      </c>
      <c r="D288" s="2" t="s">
        <v>30</v>
      </c>
      <c r="E288" s="20" t="s">
        <v>356</v>
      </c>
      <c r="F288" s="7" t="s">
        <v>50</v>
      </c>
      <c r="G288" s="2" t="s">
        <v>396</v>
      </c>
      <c r="H288" s="2" t="s">
        <v>512</v>
      </c>
      <c r="I288" s="2" t="s">
        <v>493</v>
      </c>
      <c r="J288" s="2" t="s">
        <v>416</v>
      </c>
      <c r="M288" s="2" t="s">
        <v>357</v>
      </c>
      <c r="P288" s="2" t="s">
        <v>52</v>
      </c>
      <c r="Q288" s="1" t="str">
        <f>IF($B288=0,$M288,_xlfn.TEXTBEFORE(Q287,"/",$B288,,,Q287)&amp;"/"&amp;$M288)&amp;IF(_xlfn.TEXTAFTER($D288,"..",,,,1)&lt;&gt;"1","[0]","")</f>
        <v>*/GoodsShipment[0]/GoodsShipmentItem[0]/Commodity/CalculationOfTaxes/DutiesAndTaxes[0]/TaxBase[0]/ccQualifierForMeasurementUnitAndQualifier</v>
      </c>
    </row>
    <row r="289" spans="1:17" ht="12" customHeight="1" outlineLevel="7" x14ac:dyDescent="0.35">
      <c r="A289" s="2" t="str">
        <f>$E$2</f>
        <v>CC451B</v>
      </c>
      <c r="B289" s="1">
        <v>7</v>
      </c>
      <c r="C289" s="1" t="s">
        <v>19</v>
      </c>
      <c r="D289" s="2" t="s">
        <v>30</v>
      </c>
      <c r="E289" s="20" t="s">
        <v>358</v>
      </c>
      <c r="F289" s="7" t="s">
        <v>311</v>
      </c>
      <c r="G289" s="2" t="s">
        <v>396</v>
      </c>
      <c r="I289" s="2" t="s">
        <v>702</v>
      </c>
      <c r="M289" s="2" t="s">
        <v>359</v>
      </c>
      <c r="P289" s="2" t="s">
        <v>313</v>
      </c>
      <c r="Q289" s="1" t="str">
        <f>IF($B289=0,$M289,_xlfn.TEXTBEFORE(Q288,"/",$B289,,,Q288)&amp;"/"&amp;$M289)&amp;IF(_xlfn.TEXTAFTER($D289,"..",,,,1)&lt;&gt;"1","[0]","")</f>
        <v>*/GoodsShipment[0]/GoodsShipmentItem[0]/Commodity/CalculationOfTaxes/DutiesAndTaxes[0]/TaxBase[0]/quantity</v>
      </c>
    </row>
    <row r="290" spans="1:17" ht="12" customHeight="1" outlineLevel="7" x14ac:dyDescent="0.35">
      <c r="A290" s="2" t="str">
        <f>$E$2</f>
        <v>CC451B</v>
      </c>
      <c r="B290" s="1">
        <v>7</v>
      </c>
      <c r="C290" s="1" t="s">
        <v>19</v>
      </c>
      <c r="D290" s="2" t="s">
        <v>30</v>
      </c>
      <c r="E290" s="20" t="s">
        <v>524</v>
      </c>
      <c r="F290" s="7" t="s">
        <v>181</v>
      </c>
      <c r="G290" s="2" t="s">
        <v>396</v>
      </c>
      <c r="I290" s="2" t="s">
        <v>703</v>
      </c>
      <c r="M290" s="2" t="s">
        <v>525</v>
      </c>
      <c r="P290" s="2" t="s">
        <v>183</v>
      </c>
      <c r="Q290" s="1" t="str">
        <f>IF($B290=0,$M290,_xlfn.TEXTBEFORE(Q289,"/",$B290,,,Q289)&amp;"/"&amp;$M290)&amp;IF(_xlfn.TEXTAFTER($D290,"..",,,,1)&lt;&gt;"1","[0]","")</f>
        <v>*/GoodsShipment[0]/GoodsShipmentItem[0]/Commodity/CalculationOfTaxes/DutiesAndTaxes[0]/TaxBase[0]/amount</v>
      </c>
    </row>
    <row r="291" spans="1:17" ht="12" customHeight="1" outlineLevel="7" x14ac:dyDescent="0.35">
      <c r="A291" s="2" t="str">
        <f>$E$2</f>
        <v>CC451B</v>
      </c>
      <c r="B291" s="1">
        <v>7</v>
      </c>
      <c r="C291" s="1" t="s">
        <v>19</v>
      </c>
      <c r="D291" s="2" t="s">
        <v>30</v>
      </c>
      <c r="E291" s="20" t="s">
        <v>704</v>
      </c>
      <c r="F291" s="7" t="s">
        <v>181</v>
      </c>
      <c r="G291" s="2" t="s">
        <v>22</v>
      </c>
      <c r="H291" s="2" t="s">
        <v>705</v>
      </c>
      <c r="M291" s="2" t="s">
        <v>706</v>
      </c>
      <c r="P291" s="2" t="s">
        <v>183</v>
      </c>
      <c r="Q291" s="1" t="str">
        <f>IF($B291=0,$M291,_xlfn.TEXTBEFORE(Q290,"/",$B291,,,Q290)&amp;"/"&amp;$M291)&amp;IF(_xlfn.TEXTAFTER($D291,"..",,,,1)&lt;&gt;"1","[0]","")</f>
        <v>*/GoodsShipment[0]/GoodsShipmentItem[0]/Commodity/CalculationOfTaxes/DutiesAndTaxes[0]/TaxBase[0]/taxAmount</v>
      </c>
    </row>
    <row r="292" spans="1:17" ht="12" customHeight="1" outlineLevel="3" x14ac:dyDescent="0.35">
      <c r="A292" s="3" t="str">
        <f>$E$2</f>
        <v>CC451B</v>
      </c>
      <c r="B292" s="4">
        <v>3</v>
      </c>
      <c r="C292" s="3" t="s">
        <v>24</v>
      </c>
      <c r="D292" s="3" t="s">
        <v>193</v>
      </c>
      <c r="E292" s="10" t="s">
        <v>343</v>
      </c>
      <c r="F292" s="4"/>
      <c r="G292" s="3" t="s">
        <v>396</v>
      </c>
      <c r="H292" s="4"/>
      <c r="I292" s="3" t="s">
        <v>1310</v>
      </c>
      <c r="J292" s="4"/>
      <c r="K292" s="4"/>
      <c r="L292" s="4"/>
      <c r="M292" s="3" t="s">
        <v>343</v>
      </c>
      <c r="N292" s="4"/>
      <c r="O292" s="4"/>
      <c r="P292" s="3" t="s">
        <v>1509</v>
      </c>
      <c r="Q292" s="1" t="str">
        <f>IF($B292=0,$M292,_xlfn.TEXTBEFORE(Q291,"/",$B292,,,Q291)&amp;"/"&amp;$M292)&amp;IF(_xlfn.TEXTAFTER($D292,"..",,,,1)&lt;&gt;"1","[0]","")</f>
        <v>*/GoodsShipment[0]/GoodsShipmentItem[0]/Packaging[0]</v>
      </c>
    </row>
    <row r="293" spans="1:17" ht="12" customHeight="1" outlineLevel="4" x14ac:dyDescent="0.35">
      <c r="A293" s="2" t="str">
        <f>$E$2</f>
        <v>CC451B</v>
      </c>
      <c r="B293" s="1">
        <v>4</v>
      </c>
      <c r="C293" s="1" t="s">
        <v>19</v>
      </c>
      <c r="D293" s="2" t="s">
        <v>25</v>
      </c>
      <c r="E293" s="11" t="s">
        <v>56</v>
      </c>
      <c r="F293" s="7" t="s">
        <v>57</v>
      </c>
      <c r="G293" s="2" t="s">
        <v>27</v>
      </c>
      <c r="H293" s="2" t="s">
        <v>393</v>
      </c>
      <c r="M293" s="2" t="s">
        <v>58</v>
      </c>
      <c r="P293" s="2" t="s">
        <v>59</v>
      </c>
      <c r="Q293" s="1" t="str">
        <f>IF($B293=0,$M293,_xlfn.TEXTBEFORE(Q292,"/",$B293,,,Q292)&amp;"/"&amp;$M293)&amp;IF(_xlfn.TEXTAFTER($D293,"..",,,,1)&lt;&gt;"1","[0]","")</f>
        <v>*/GoodsShipment[0]/GoodsShipmentItem[0]/Packaging[0]/sequenceNumber</v>
      </c>
    </row>
    <row r="294" spans="1:17" ht="12" customHeight="1" outlineLevel="4" x14ac:dyDescent="0.35">
      <c r="A294" s="2" t="str">
        <f>$E$2</f>
        <v>CC451B</v>
      </c>
      <c r="B294" s="1">
        <v>4</v>
      </c>
      <c r="C294" s="1" t="s">
        <v>19</v>
      </c>
      <c r="D294" s="2" t="s">
        <v>25</v>
      </c>
      <c r="E294" s="11" t="s">
        <v>345</v>
      </c>
      <c r="F294" s="7" t="s">
        <v>325</v>
      </c>
      <c r="G294" s="2" t="s">
        <v>27</v>
      </c>
      <c r="J294" s="2" t="s">
        <v>708</v>
      </c>
      <c r="M294" s="2" t="s">
        <v>346</v>
      </c>
      <c r="P294" s="2" t="s">
        <v>347</v>
      </c>
      <c r="Q294" s="1" t="str">
        <f>IF($B294=0,$M294,_xlfn.TEXTBEFORE(Q293,"/",$B294,,,Q293)&amp;"/"&amp;$M294)&amp;IF(_xlfn.TEXTAFTER($D294,"..",,,,1)&lt;&gt;"1","[0]","")</f>
        <v>*/GoodsShipment[0]/GoodsShipmentItem[0]/Packaging[0]/typeOfPackages</v>
      </c>
    </row>
    <row r="295" spans="1:17" ht="12" customHeight="1" outlineLevel="4" x14ac:dyDescent="0.35">
      <c r="A295" s="2" t="str">
        <f>$E$2</f>
        <v>CC451B</v>
      </c>
      <c r="B295" s="1">
        <v>4</v>
      </c>
      <c r="C295" s="1" t="s">
        <v>19</v>
      </c>
      <c r="D295" s="2" t="s">
        <v>30</v>
      </c>
      <c r="E295" s="11" t="s">
        <v>348</v>
      </c>
      <c r="F295" s="7" t="s">
        <v>349</v>
      </c>
      <c r="G295" s="2" t="s">
        <v>396</v>
      </c>
      <c r="H295" s="2" t="s">
        <v>419</v>
      </c>
      <c r="I295" s="2" t="s">
        <v>709</v>
      </c>
      <c r="M295" s="2" t="s">
        <v>350</v>
      </c>
      <c r="P295" s="2" t="s">
        <v>351</v>
      </c>
      <c r="Q295" s="1" t="str">
        <f>IF($B295=0,$M295,_xlfn.TEXTBEFORE(Q294,"/",$B295,,,Q294)&amp;"/"&amp;$M295)&amp;IF(_xlfn.TEXTAFTER($D295,"..",,,,1)&lt;&gt;"1","[0]","")</f>
        <v>*/GoodsShipment[0]/GoodsShipmentItem[0]/Packaging[0]/numberOfPackages</v>
      </c>
    </row>
    <row r="296" spans="1:17" ht="12" customHeight="1" outlineLevel="4" x14ac:dyDescent="0.35">
      <c r="A296" s="2" t="str">
        <f>$E$2</f>
        <v>CC451B</v>
      </c>
      <c r="B296" s="1">
        <v>4</v>
      </c>
      <c r="C296" s="1" t="s">
        <v>19</v>
      </c>
      <c r="D296" s="2" t="s">
        <v>30</v>
      </c>
      <c r="E296" s="11" t="s">
        <v>710</v>
      </c>
      <c r="F296" s="7" t="s">
        <v>216</v>
      </c>
      <c r="G296" s="2" t="s">
        <v>396</v>
      </c>
      <c r="H296" s="2" t="s">
        <v>1311</v>
      </c>
      <c r="I296" s="7" t="s">
        <v>1312</v>
      </c>
      <c r="M296" s="2" t="s">
        <v>712</v>
      </c>
      <c r="P296" s="2" t="s">
        <v>218</v>
      </c>
      <c r="Q296" s="1" t="str">
        <f>IF($B296=0,$M296,_xlfn.TEXTBEFORE(Q295,"/",$B296,,,Q295)&amp;"/"&amp;$M296)&amp;IF(_xlfn.TEXTAFTER($D296,"..",,,,1)&lt;&gt;"1","[0]","")</f>
        <v>*/GoodsShipment[0]/GoodsShipmentItem[0]/Packaging[0]/shippingMarks</v>
      </c>
    </row>
    <row r="297" spans="1:17" ht="12" customHeight="1" outlineLevel="3" x14ac:dyDescent="0.35">
      <c r="A297" s="3" t="str">
        <f>$E$2</f>
        <v>CC451B</v>
      </c>
      <c r="B297" s="4">
        <v>3</v>
      </c>
      <c r="C297" s="3" t="s">
        <v>24</v>
      </c>
      <c r="D297" s="3" t="s">
        <v>193</v>
      </c>
      <c r="E297" s="10" t="s">
        <v>303</v>
      </c>
      <c r="F297" s="4"/>
      <c r="G297" s="3" t="s">
        <v>22</v>
      </c>
      <c r="H297" s="3" t="s">
        <v>595</v>
      </c>
      <c r="I297" s="4"/>
      <c r="J297" s="4"/>
      <c r="K297" s="4"/>
      <c r="L297" s="4"/>
      <c r="M297" s="3" t="s">
        <v>304</v>
      </c>
      <c r="N297" s="4"/>
      <c r="O297" s="4"/>
      <c r="P297" s="3" t="s">
        <v>713</v>
      </c>
      <c r="Q297" s="1" t="str">
        <f>IF($B297=0,$M297,_xlfn.TEXTBEFORE(Q296,"/",$B297,,,Q296)&amp;"/"&amp;$M297)&amp;IF(_xlfn.TEXTAFTER($D297,"..",,,,1)&lt;&gt;"1","[0]","")</f>
        <v>*/GoodsShipment[0]/GoodsShipmentItem[0]/PreviousDocument[0]</v>
      </c>
    </row>
    <row r="298" spans="1:17" ht="12" customHeight="1" outlineLevel="4" x14ac:dyDescent="0.35">
      <c r="A298" s="2" t="str">
        <f>$E$2</f>
        <v>CC451B</v>
      </c>
      <c r="B298" s="1">
        <v>4</v>
      </c>
      <c r="C298" s="1" t="s">
        <v>19</v>
      </c>
      <c r="D298" s="2" t="s">
        <v>25</v>
      </c>
      <c r="E298" s="11" t="s">
        <v>56</v>
      </c>
      <c r="F298" s="7" t="s">
        <v>57</v>
      </c>
      <c r="G298" s="2" t="s">
        <v>27</v>
      </c>
      <c r="H298" s="2" t="s">
        <v>393</v>
      </c>
      <c r="M298" s="2" t="s">
        <v>58</v>
      </c>
      <c r="P298" s="2" t="s">
        <v>59</v>
      </c>
      <c r="Q298" s="1" t="str">
        <f>IF($B298=0,$M298,_xlfn.TEXTBEFORE(Q297,"/",$B298,,,Q297)&amp;"/"&amp;$M298)&amp;IF(_xlfn.TEXTAFTER($D298,"..",,,,1)&lt;&gt;"1","[0]","")</f>
        <v>*/GoodsShipment[0]/GoodsShipmentItem[0]/PreviousDocument[0]/sequenceNumber</v>
      </c>
    </row>
    <row r="299" spans="1:17" ht="12" customHeight="1" outlineLevel="4" x14ac:dyDescent="0.35">
      <c r="A299" s="2" t="str">
        <f>$E$2</f>
        <v>CC451B</v>
      </c>
      <c r="B299" s="1">
        <v>4</v>
      </c>
      <c r="C299" s="1" t="s">
        <v>19</v>
      </c>
      <c r="D299" s="2" t="s">
        <v>25</v>
      </c>
      <c r="E299" s="11" t="s">
        <v>2</v>
      </c>
      <c r="F299" s="7" t="s">
        <v>306</v>
      </c>
      <c r="G299" s="2" t="s">
        <v>27</v>
      </c>
      <c r="H299" s="2" t="s">
        <v>477</v>
      </c>
      <c r="J299" s="2" t="s">
        <v>491</v>
      </c>
      <c r="M299" s="2" t="s">
        <v>61</v>
      </c>
      <c r="P299" s="2" t="s">
        <v>307</v>
      </c>
      <c r="Q299" s="1" t="str">
        <f>IF($B299=0,$M299,_xlfn.TEXTBEFORE(Q298,"/",$B299,,,Q298)&amp;"/"&amp;$M299)&amp;IF(_xlfn.TEXTAFTER($D299,"..",,,,1)&lt;&gt;"1","[0]","")</f>
        <v>*/GoodsShipment[0]/GoodsShipmentItem[0]/PreviousDocument[0]/type</v>
      </c>
    </row>
    <row r="300" spans="1:17" ht="12" customHeight="1" outlineLevel="4" x14ac:dyDescent="0.35">
      <c r="A300" s="2" t="str">
        <f>$E$2</f>
        <v>CC451B</v>
      </c>
      <c r="B300" s="1">
        <v>4</v>
      </c>
      <c r="C300" s="1" t="s">
        <v>19</v>
      </c>
      <c r="D300" s="2" t="s">
        <v>30</v>
      </c>
      <c r="E300" s="11" t="s">
        <v>142</v>
      </c>
      <c r="F300" s="7" t="s">
        <v>50</v>
      </c>
      <c r="G300" s="2" t="s">
        <v>396</v>
      </c>
      <c r="H300" s="2" t="s">
        <v>492</v>
      </c>
      <c r="I300" s="2" t="s">
        <v>493</v>
      </c>
      <c r="J300" s="2" t="s">
        <v>416</v>
      </c>
      <c r="M300" s="2" t="s">
        <v>143</v>
      </c>
      <c r="P300" s="2" t="s">
        <v>52</v>
      </c>
      <c r="Q300" s="1" t="str">
        <f>IF($B300=0,$M300,_xlfn.TEXTBEFORE(Q299,"/",$B300,,,Q299)&amp;"/"&amp;$M300)&amp;IF(_xlfn.TEXTAFTER($D300,"..",,,,1)&lt;&gt;"1","[0]","")</f>
        <v>*/GoodsShipment[0]/GoodsShipmentItem[0]/PreviousDocument[0]/ccQualifier</v>
      </c>
    </row>
    <row r="301" spans="1:17" ht="12" customHeight="1" outlineLevel="4" x14ac:dyDescent="0.35">
      <c r="A301" s="2" t="str">
        <f>$E$2</f>
        <v>CC451B</v>
      </c>
      <c r="B301" s="1">
        <v>4</v>
      </c>
      <c r="C301" s="1" t="s">
        <v>19</v>
      </c>
      <c r="D301" s="2" t="s">
        <v>25</v>
      </c>
      <c r="E301" s="11" t="s">
        <v>63</v>
      </c>
      <c r="F301" s="7" t="s">
        <v>83</v>
      </c>
      <c r="G301" s="2" t="s">
        <v>27</v>
      </c>
      <c r="H301" s="2" t="s">
        <v>494</v>
      </c>
      <c r="M301" s="2" t="s">
        <v>65</v>
      </c>
      <c r="P301" s="2" t="s">
        <v>308</v>
      </c>
      <c r="Q301" s="1" t="str">
        <f>IF($B301=0,$M301,_xlfn.TEXTBEFORE(Q300,"/",$B301,,,Q300)&amp;"/"&amp;$M301)&amp;IF(_xlfn.TEXTAFTER($D301,"..",,,,1)&lt;&gt;"1","[0]","")</f>
        <v>*/GoodsShipment[0]/GoodsShipmentItem[0]/PreviousDocument[0]/referenceNumber</v>
      </c>
    </row>
    <row r="302" spans="1:17" ht="12" customHeight="1" outlineLevel="4" x14ac:dyDescent="0.35">
      <c r="A302" s="2" t="str">
        <f>$E$2</f>
        <v>CC451B</v>
      </c>
      <c r="B302" s="1">
        <v>4</v>
      </c>
      <c r="C302" s="1" t="s">
        <v>19</v>
      </c>
      <c r="D302" s="2" t="s">
        <v>30</v>
      </c>
      <c r="E302" s="11" t="s">
        <v>345</v>
      </c>
      <c r="F302" s="7" t="s">
        <v>325</v>
      </c>
      <c r="G302" s="2" t="s">
        <v>22</v>
      </c>
      <c r="H302" s="2" t="s">
        <v>714</v>
      </c>
      <c r="J302" s="2" t="s">
        <v>708</v>
      </c>
      <c r="M302" s="2" t="s">
        <v>346</v>
      </c>
      <c r="P302" s="2" t="s">
        <v>347</v>
      </c>
      <c r="Q302" s="1" t="str">
        <f>IF($B302=0,$M302,_xlfn.TEXTBEFORE(Q301,"/",$B302,,,Q301)&amp;"/"&amp;$M302)&amp;IF(_xlfn.TEXTAFTER($D302,"..",,,,1)&lt;&gt;"1","[0]","")</f>
        <v>*/GoodsShipment[0]/GoodsShipmentItem[0]/PreviousDocument[0]/typeOfPackages</v>
      </c>
    </row>
    <row r="303" spans="1:17" ht="12" customHeight="1" outlineLevel="4" x14ac:dyDescent="0.35">
      <c r="A303" s="2" t="str">
        <f>$E$2</f>
        <v>CC451B</v>
      </c>
      <c r="B303" s="1">
        <v>4</v>
      </c>
      <c r="C303" s="1" t="s">
        <v>19</v>
      </c>
      <c r="D303" s="2" t="s">
        <v>30</v>
      </c>
      <c r="E303" s="11" t="s">
        <v>348</v>
      </c>
      <c r="F303" s="7" t="s">
        <v>349</v>
      </c>
      <c r="G303" s="2" t="s">
        <v>22</v>
      </c>
      <c r="H303" s="2" t="s">
        <v>419</v>
      </c>
      <c r="M303" s="2" t="s">
        <v>350</v>
      </c>
      <c r="P303" s="2" t="s">
        <v>351</v>
      </c>
      <c r="Q303" s="1" t="str">
        <f>IF($B303=0,$M303,_xlfn.TEXTBEFORE(Q302,"/",$B303,,,Q302)&amp;"/"&amp;$M303)&amp;IF(_xlfn.TEXTAFTER($D303,"..",,,,1)&lt;&gt;"1","[0]","")</f>
        <v>*/GoodsShipment[0]/GoodsShipmentItem[0]/PreviousDocument[0]/numberOfPackages</v>
      </c>
    </row>
    <row r="304" spans="1:17" ht="12" customHeight="1" outlineLevel="4" x14ac:dyDescent="0.35">
      <c r="A304" s="2" t="str">
        <f>$E$2</f>
        <v>CC451B</v>
      </c>
      <c r="B304" s="1">
        <v>4</v>
      </c>
      <c r="C304" s="1" t="s">
        <v>19</v>
      </c>
      <c r="D304" s="2" t="s">
        <v>30</v>
      </c>
      <c r="E304" s="11" t="s">
        <v>353</v>
      </c>
      <c r="F304" s="7" t="s">
        <v>60</v>
      </c>
      <c r="G304" s="2" t="s">
        <v>396</v>
      </c>
      <c r="H304" s="2" t="s">
        <v>714</v>
      </c>
      <c r="I304" s="2" t="s">
        <v>701</v>
      </c>
      <c r="J304" s="2" t="s">
        <v>715</v>
      </c>
      <c r="M304" s="2" t="s">
        <v>354</v>
      </c>
      <c r="P304" s="2" t="s">
        <v>355</v>
      </c>
      <c r="Q304" s="1" t="str">
        <f>IF($B304=0,$M304,_xlfn.TEXTBEFORE(Q303,"/",$B304,,,Q303)&amp;"/"&amp;$M304)&amp;IF(_xlfn.TEXTAFTER($D304,"..",,,,1)&lt;&gt;"1","[0]","")</f>
        <v>*/GoodsShipment[0]/GoodsShipmentItem[0]/PreviousDocument[0]/measurementUnitAndQualifier</v>
      </c>
    </row>
    <row r="305" spans="1:17" ht="12" customHeight="1" outlineLevel="4" x14ac:dyDescent="0.35">
      <c r="A305" s="2" t="str">
        <f>$E$2</f>
        <v>CC451B</v>
      </c>
      <c r="B305" s="1">
        <v>4</v>
      </c>
      <c r="C305" s="1" t="s">
        <v>19</v>
      </c>
      <c r="D305" s="2" t="s">
        <v>30</v>
      </c>
      <c r="E305" s="11" t="s">
        <v>356</v>
      </c>
      <c r="F305" s="7" t="s">
        <v>50</v>
      </c>
      <c r="G305" s="2" t="s">
        <v>396</v>
      </c>
      <c r="H305" s="2" t="s">
        <v>512</v>
      </c>
      <c r="I305" s="2" t="s">
        <v>493</v>
      </c>
      <c r="J305" s="2" t="s">
        <v>416</v>
      </c>
      <c r="M305" s="2" t="s">
        <v>357</v>
      </c>
      <c r="P305" s="2" t="s">
        <v>52</v>
      </c>
      <c r="Q305" s="1" t="str">
        <f>IF($B305=0,$M305,_xlfn.TEXTBEFORE(Q304,"/",$B305,,,Q304)&amp;"/"&amp;$M305)&amp;IF(_xlfn.TEXTAFTER($D305,"..",,,,1)&lt;&gt;"1","[0]","")</f>
        <v>*/GoodsShipment[0]/GoodsShipmentItem[0]/PreviousDocument[0]/ccQualifierForMeasurementUnitAndQualifier</v>
      </c>
    </row>
    <row r="306" spans="1:17" ht="12" customHeight="1" outlineLevel="4" x14ac:dyDescent="0.35">
      <c r="A306" s="2" t="str">
        <f>$E$2</f>
        <v>CC451B</v>
      </c>
      <c r="B306" s="1">
        <v>4</v>
      </c>
      <c r="C306" s="1" t="s">
        <v>19</v>
      </c>
      <c r="D306" s="2" t="s">
        <v>30</v>
      </c>
      <c r="E306" s="11" t="s">
        <v>358</v>
      </c>
      <c r="F306" s="7" t="s">
        <v>311</v>
      </c>
      <c r="G306" s="2" t="s">
        <v>22</v>
      </c>
      <c r="H306" s="2" t="s">
        <v>714</v>
      </c>
      <c r="M306" s="2" t="s">
        <v>359</v>
      </c>
      <c r="P306" s="2" t="s">
        <v>313</v>
      </c>
      <c r="Q306" s="1" t="str">
        <f>IF($B306=0,$M306,_xlfn.TEXTBEFORE(Q305,"/",$B306,,,Q305)&amp;"/"&amp;$M306)&amp;IF(_xlfn.TEXTAFTER($D306,"..",,,,1)&lt;&gt;"1","[0]","")</f>
        <v>*/GoodsShipment[0]/GoodsShipmentItem[0]/PreviousDocument[0]/quantity</v>
      </c>
    </row>
    <row r="307" spans="1:17" ht="12" customHeight="1" outlineLevel="4" x14ac:dyDescent="0.35">
      <c r="A307" s="2" t="str">
        <f>$E$2</f>
        <v>CC451B</v>
      </c>
      <c r="B307" s="1">
        <v>4</v>
      </c>
      <c r="C307" s="1" t="s">
        <v>19</v>
      </c>
      <c r="D307" s="2" t="s">
        <v>30</v>
      </c>
      <c r="E307" s="11" t="s">
        <v>360</v>
      </c>
      <c r="F307" s="7" t="s">
        <v>57</v>
      </c>
      <c r="G307" s="2" t="s">
        <v>22</v>
      </c>
      <c r="H307" s="2" t="s">
        <v>716</v>
      </c>
      <c r="M307" s="2" t="s">
        <v>361</v>
      </c>
      <c r="P307" s="2" t="s">
        <v>255</v>
      </c>
      <c r="Q307" s="1" t="str">
        <f>IF($B307=0,$M307,_xlfn.TEXTBEFORE(Q306,"/",$B307,,,Q306)&amp;"/"&amp;$M307)&amp;IF(_xlfn.TEXTAFTER($D307,"..",,,,1)&lt;&gt;"1","[0]","")</f>
        <v>*/GoodsShipment[0]/GoodsShipmentItem[0]/PreviousDocument[0]/goodsItemIdentifier</v>
      </c>
    </row>
    <row r="308" spans="1:17" ht="12" customHeight="1" outlineLevel="3" x14ac:dyDescent="0.35">
      <c r="A308" s="3" t="str">
        <f>$E$2</f>
        <v>CC451B</v>
      </c>
      <c r="B308" s="4">
        <v>3</v>
      </c>
      <c r="C308" s="3" t="s">
        <v>24</v>
      </c>
      <c r="D308" s="3" t="s">
        <v>193</v>
      </c>
      <c r="E308" s="10" t="s">
        <v>495</v>
      </c>
      <c r="F308" s="4"/>
      <c r="G308" s="3" t="s">
        <v>22</v>
      </c>
      <c r="H308" s="3" t="s">
        <v>489</v>
      </c>
      <c r="I308" s="4"/>
      <c r="J308" s="4"/>
      <c r="K308" s="4"/>
      <c r="L308" s="4"/>
      <c r="M308" s="3" t="s">
        <v>496</v>
      </c>
      <c r="N308" s="4"/>
      <c r="O308" s="4"/>
      <c r="P308" s="3" t="s">
        <v>1510</v>
      </c>
      <c r="Q308" s="1" t="str">
        <f>IF($B308=0,$M308,_xlfn.TEXTBEFORE(Q307,"/",$B308,,,Q307)&amp;"/"&amp;$M308)&amp;IF(_xlfn.TEXTAFTER($D308,"..",,,,1)&lt;&gt;"1","[0]","")</f>
        <v>*/GoodsShipment[0]/GoodsShipmentItem[0]/SupportingDocument[0]</v>
      </c>
    </row>
    <row r="309" spans="1:17" ht="12" customHeight="1" outlineLevel="4" x14ac:dyDescent="0.35">
      <c r="A309" s="2" t="str">
        <f>$E$2</f>
        <v>CC451B</v>
      </c>
      <c r="B309" s="1">
        <v>4</v>
      </c>
      <c r="C309" s="1" t="s">
        <v>19</v>
      </c>
      <c r="D309" s="2" t="s">
        <v>25</v>
      </c>
      <c r="E309" s="11" t="s">
        <v>56</v>
      </c>
      <c r="F309" s="7" t="s">
        <v>57</v>
      </c>
      <c r="G309" s="2" t="s">
        <v>27</v>
      </c>
      <c r="H309" s="2" t="s">
        <v>393</v>
      </c>
      <c r="M309" s="2" t="s">
        <v>58</v>
      </c>
      <c r="P309" s="2" t="s">
        <v>59</v>
      </c>
      <c r="Q309" s="1" t="str">
        <f>IF($B309=0,$M309,_xlfn.TEXTBEFORE(Q308,"/",$B309,,,Q308)&amp;"/"&amp;$M309)&amp;IF(_xlfn.TEXTAFTER($D309,"..",,,,1)&lt;&gt;"1","[0]","")</f>
        <v>*/GoodsShipment[0]/GoodsShipmentItem[0]/SupportingDocument[0]/sequenceNumber</v>
      </c>
    </row>
    <row r="310" spans="1:17" ht="12" customHeight="1" outlineLevel="4" x14ac:dyDescent="0.35">
      <c r="A310" s="2" t="str">
        <f>$E$2</f>
        <v>CC451B</v>
      </c>
      <c r="B310" s="1">
        <v>4</v>
      </c>
      <c r="C310" s="1" t="s">
        <v>19</v>
      </c>
      <c r="D310" s="2" t="s">
        <v>25</v>
      </c>
      <c r="E310" s="11" t="s">
        <v>2</v>
      </c>
      <c r="F310" s="7" t="s">
        <v>306</v>
      </c>
      <c r="G310" s="2" t="s">
        <v>27</v>
      </c>
      <c r="H310" s="2" t="s">
        <v>477</v>
      </c>
      <c r="J310" s="2" t="s">
        <v>498</v>
      </c>
      <c r="M310" s="2" t="s">
        <v>61</v>
      </c>
      <c r="P310" s="2" t="s">
        <v>307</v>
      </c>
      <c r="Q310" s="1" t="str">
        <f>IF($B310=0,$M310,_xlfn.TEXTBEFORE(Q309,"/",$B310,,,Q309)&amp;"/"&amp;$M310)&amp;IF(_xlfn.TEXTAFTER($D310,"..",,,,1)&lt;&gt;"1","[0]","")</f>
        <v>*/GoodsShipment[0]/GoodsShipmentItem[0]/SupportingDocument[0]/type</v>
      </c>
    </row>
    <row r="311" spans="1:17" ht="12" customHeight="1" outlineLevel="4" x14ac:dyDescent="0.35">
      <c r="A311" s="2" t="str">
        <f>$E$2</f>
        <v>CC451B</v>
      </c>
      <c r="B311" s="1">
        <v>4</v>
      </c>
      <c r="C311" s="1" t="s">
        <v>19</v>
      </c>
      <c r="D311" s="2" t="s">
        <v>30</v>
      </c>
      <c r="E311" s="11" t="s">
        <v>142</v>
      </c>
      <c r="F311" s="7" t="s">
        <v>50</v>
      </c>
      <c r="G311" s="2" t="s">
        <v>396</v>
      </c>
      <c r="H311" s="2" t="s">
        <v>492</v>
      </c>
      <c r="I311" s="2" t="s">
        <v>493</v>
      </c>
      <c r="J311" s="2" t="s">
        <v>416</v>
      </c>
      <c r="M311" s="2" t="s">
        <v>143</v>
      </c>
      <c r="P311" s="2" t="s">
        <v>52</v>
      </c>
      <c r="Q311" s="1" t="str">
        <f>IF($B311=0,$M311,_xlfn.TEXTBEFORE(Q310,"/",$B311,,,Q310)&amp;"/"&amp;$M311)&amp;IF(_xlfn.TEXTAFTER($D311,"..",,,,1)&lt;&gt;"1","[0]","")</f>
        <v>*/GoodsShipment[0]/GoodsShipmentItem[0]/SupportingDocument[0]/ccQualifier</v>
      </c>
    </row>
    <row r="312" spans="1:17" ht="12" customHeight="1" outlineLevel="4" x14ac:dyDescent="0.35">
      <c r="A312" s="2" t="str">
        <f>$E$2</f>
        <v>CC451B</v>
      </c>
      <c r="B312" s="1">
        <v>4</v>
      </c>
      <c r="C312" s="1" t="s">
        <v>19</v>
      </c>
      <c r="D312" s="2" t="s">
        <v>25</v>
      </c>
      <c r="E312" s="11" t="s">
        <v>63</v>
      </c>
      <c r="F312" s="7" t="s">
        <v>83</v>
      </c>
      <c r="G312" s="2" t="s">
        <v>27</v>
      </c>
      <c r="H312" s="2" t="s">
        <v>494</v>
      </c>
      <c r="M312" s="2" t="s">
        <v>65</v>
      </c>
      <c r="P312" s="2" t="s">
        <v>308</v>
      </c>
      <c r="Q312" s="1" t="str">
        <f>IF($B312=0,$M312,_xlfn.TEXTBEFORE(Q311,"/",$B312,,,Q311)&amp;"/"&amp;$M312)&amp;IF(_xlfn.TEXTAFTER($D312,"..",,,,1)&lt;&gt;"1","[0]","")</f>
        <v>*/GoodsShipment[0]/GoodsShipmentItem[0]/SupportingDocument[0]/referenceNumber</v>
      </c>
    </row>
    <row r="313" spans="1:17" ht="12" customHeight="1" outlineLevel="4" x14ac:dyDescent="0.35">
      <c r="A313" s="2" t="str">
        <f>$E$2</f>
        <v>CC451B</v>
      </c>
      <c r="B313" s="1">
        <v>4</v>
      </c>
      <c r="C313" s="1" t="s">
        <v>19</v>
      </c>
      <c r="D313" s="2" t="s">
        <v>30</v>
      </c>
      <c r="E313" s="11" t="s">
        <v>499</v>
      </c>
      <c r="F313" s="7" t="s">
        <v>57</v>
      </c>
      <c r="G313" s="2" t="s">
        <v>22</v>
      </c>
      <c r="H313" s="2" t="s">
        <v>718</v>
      </c>
      <c r="M313" s="2" t="s">
        <v>500</v>
      </c>
      <c r="P313" s="2" t="s">
        <v>255</v>
      </c>
      <c r="Q313" s="1" t="str">
        <f>IF($B313=0,$M313,_xlfn.TEXTBEFORE(Q312,"/",$B313,,,Q312)&amp;"/"&amp;$M313)&amp;IF(_xlfn.TEXTAFTER($D313,"..",,,,1)&lt;&gt;"1","[0]","")</f>
        <v>*/GoodsShipment[0]/GoodsShipmentItem[0]/SupportingDocument[0]/documentLineItemNumber</v>
      </c>
    </row>
    <row r="314" spans="1:17" ht="12" customHeight="1" outlineLevel="4" x14ac:dyDescent="0.35">
      <c r="A314" s="2" t="str">
        <f>$E$2</f>
        <v>CC451B</v>
      </c>
      <c r="B314" s="1">
        <v>4</v>
      </c>
      <c r="C314" s="1" t="s">
        <v>19</v>
      </c>
      <c r="D314" s="2" t="s">
        <v>30</v>
      </c>
      <c r="E314" s="11" t="s">
        <v>501</v>
      </c>
      <c r="F314" s="7" t="s">
        <v>83</v>
      </c>
      <c r="G314" s="2" t="s">
        <v>22</v>
      </c>
      <c r="H314" s="2" t="s">
        <v>718</v>
      </c>
      <c r="M314" s="2" t="s">
        <v>502</v>
      </c>
      <c r="P314" s="2" t="s">
        <v>503</v>
      </c>
      <c r="Q314" s="1" t="str">
        <f>IF($B314=0,$M314,_xlfn.TEXTBEFORE(Q313,"/",$B314,,,Q313)&amp;"/"&amp;$M314)&amp;IF(_xlfn.TEXTAFTER($D314,"..",,,,1)&lt;&gt;"1","[0]","")</f>
        <v>*/GoodsShipment[0]/GoodsShipmentItem[0]/SupportingDocument[0]/issuingAuthorityName</v>
      </c>
    </row>
    <row r="315" spans="1:17" ht="12" customHeight="1" outlineLevel="4" x14ac:dyDescent="0.35">
      <c r="A315" s="2" t="str">
        <f>$E$2</f>
        <v>CC451B</v>
      </c>
      <c r="B315" s="1">
        <v>4</v>
      </c>
      <c r="C315" s="1" t="s">
        <v>19</v>
      </c>
      <c r="D315" s="2" t="s">
        <v>30</v>
      </c>
      <c r="E315" s="11" t="s">
        <v>504</v>
      </c>
      <c r="F315" s="2" t="s">
        <v>505</v>
      </c>
      <c r="G315" s="2" t="s">
        <v>22</v>
      </c>
      <c r="H315" s="2" t="s">
        <v>718</v>
      </c>
      <c r="M315" s="2" t="s">
        <v>506</v>
      </c>
      <c r="P315" s="2" t="s">
        <v>507</v>
      </c>
      <c r="Q315" s="1" t="str">
        <f>IF($B315=0,$M315,_xlfn.TEXTBEFORE(Q314,"/",$B315,,,Q314)&amp;"/"&amp;$M315)&amp;IF(_xlfn.TEXTAFTER($D315,"..",,,,1)&lt;&gt;"1","[0]","")</f>
        <v>*/GoodsShipment[0]/GoodsShipmentItem[0]/SupportingDocument[0]/dateOfValidity</v>
      </c>
    </row>
    <row r="316" spans="1:17" ht="12" customHeight="1" outlineLevel="4" x14ac:dyDescent="0.35">
      <c r="A316" s="2" t="str">
        <f>$E$2</f>
        <v>CC451B</v>
      </c>
      <c r="B316" s="1">
        <v>4</v>
      </c>
      <c r="C316" s="1" t="s">
        <v>19</v>
      </c>
      <c r="D316" s="2" t="s">
        <v>30</v>
      </c>
      <c r="E316" s="11" t="s">
        <v>353</v>
      </c>
      <c r="F316" s="7" t="s">
        <v>60</v>
      </c>
      <c r="G316" s="2" t="s">
        <v>396</v>
      </c>
      <c r="H316" s="2" t="s">
        <v>719</v>
      </c>
      <c r="I316" s="2" t="s">
        <v>701</v>
      </c>
      <c r="J316" s="2" t="s">
        <v>715</v>
      </c>
      <c r="M316" s="2" t="s">
        <v>354</v>
      </c>
      <c r="P316" s="2" t="s">
        <v>355</v>
      </c>
      <c r="Q316" s="1" t="str">
        <f>IF($B316=0,$M316,_xlfn.TEXTBEFORE(Q315,"/",$B316,,,Q315)&amp;"/"&amp;$M316)&amp;IF(_xlfn.TEXTAFTER($D316,"..",,,,1)&lt;&gt;"1","[0]","")</f>
        <v>*/GoodsShipment[0]/GoodsShipmentItem[0]/SupportingDocument[0]/measurementUnitAndQualifier</v>
      </c>
    </row>
    <row r="317" spans="1:17" ht="12" customHeight="1" outlineLevel="4" x14ac:dyDescent="0.35">
      <c r="A317" s="2" t="str">
        <f>$E$2</f>
        <v>CC451B</v>
      </c>
      <c r="B317" s="1">
        <v>4</v>
      </c>
      <c r="C317" s="1" t="s">
        <v>19</v>
      </c>
      <c r="D317" s="2" t="s">
        <v>30</v>
      </c>
      <c r="E317" s="11" t="s">
        <v>356</v>
      </c>
      <c r="F317" s="7" t="s">
        <v>50</v>
      </c>
      <c r="G317" s="2" t="s">
        <v>396</v>
      </c>
      <c r="H317" s="2" t="s">
        <v>512</v>
      </c>
      <c r="I317" s="2" t="s">
        <v>493</v>
      </c>
      <c r="J317" s="2" t="s">
        <v>416</v>
      </c>
      <c r="M317" s="2" t="s">
        <v>357</v>
      </c>
      <c r="P317" s="2" t="s">
        <v>52</v>
      </c>
      <c r="Q317" s="1" t="str">
        <f>IF($B317=0,$M317,_xlfn.TEXTBEFORE(Q316,"/",$B317,,,Q316)&amp;"/"&amp;$M317)&amp;IF(_xlfn.TEXTAFTER($D317,"..",,,,1)&lt;&gt;"1","[0]","")</f>
        <v>*/GoodsShipment[0]/GoodsShipmentItem[0]/SupportingDocument[0]/ccQualifierForMeasurementUnitAndQualifier</v>
      </c>
    </row>
    <row r="318" spans="1:17" ht="12" customHeight="1" outlineLevel="4" x14ac:dyDescent="0.35">
      <c r="A318" s="2" t="str">
        <f>$E$2</f>
        <v>CC451B</v>
      </c>
      <c r="B318" s="1">
        <v>4</v>
      </c>
      <c r="C318" s="1" t="s">
        <v>19</v>
      </c>
      <c r="D318" s="2" t="s">
        <v>30</v>
      </c>
      <c r="E318" s="11" t="s">
        <v>358</v>
      </c>
      <c r="F318" s="7" t="s">
        <v>311</v>
      </c>
      <c r="G318" s="2" t="s">
        <v>22</v>
      </c>
      <c r="H318" s="2" t="s">
        <v>719</v>
      </c>
      <c r="M318" s="2" t="s">
        <v>359</v>
      </c>
      <c r="P318" s="2" t="s">
        <v>313</v>
      </c>
      <c r="Q318" s="1" t="str">
        <f>IF($B318=0,$M318,_xlfn.TEXTBEFORE(Q317,"/",$B318,,,Q317)&amp;"/"&amp;$M318)&amp;IF(_xlfn.TEXTAFTER($D318,"..",,,,1)&lt;&gt;"1","[0]","")</f>
        <v>*/GoodsShipment[0]/GoodsShipmentItem[0]/SupportingDocument[0]/quantity</v>
      </c>
    </row>
    <row r="319" spans="1:17" ht="12" customHeight="1" outlineLevel="4" x14ac:dyDescent="0.35">
      <c r="A319" s="2" t="str">
        <f>$E$2</f>
        <v>CC451B</v>
      </c>
      <c r="B319" s="1">
        <v>4</v>
      </c>
      <c r="C319" s="1" t="s">
        <v>19</v>
      </c>
      <c r="D319" s="2" t="s">
        <v>30</v>
      </c>
      <c r="E319" s="11" t="s">
        <v>521</v>
      </c>
      <c r="F319" s="7" t="s">
        <v>148</v>
      </c>
      <c r="G319" s="2" t="s">
        <v>22</v>
      </c>
      <c r="H319" s="2" t="s">
        <v>719</v>
      </c>
      <c r="J319" s="2" t="s">
        <v>429</v>
      </c>
      <c r="M319" s="2" t="s">
        <v>522</v>
      </c>
      <c r="P319" s="2" t="s">
        <v>150</v>
      </c>
      <c r="Q319" s="1" t="str">
        <f>IF($B319=0,$M319,_xlfn.TEXTBEFORE(Q318,"/",$B319,,,Q318)&amp;"/"&amp;$M319)&amp;IF(_xlfn.TEXTAFTER($D319,"..",,,,1)&lt;&gt;"1","[0]","")</f>
        <v>*/GoodsShipment[0]/GoodsShipmentItem[0]/SupportingDocument[0]/currency</v>
      </c>
    </row>
    <row r="320" spans="1:17" ht="12" customHeight="1" outlineLevel="4" x14ac:dyDescent="0.35">
      <c r="A320" s="2" t="str">
        <f>$E$2</f>
        <v>CC451B</v>
      </c>
      <c r="B320" s="1">
        <v>4</v>
      </c>
      <c r="C320" s="1" t="s">
        <v>19</v>
      </c>
      <c r="D320" s="2" t="s">
        <v>30</v>
      </c>
      <c r="E320" s="11" t="s">
        <v>524</v>
      </c>
      <c r="F320" s="7" t="s">
        <v>181</v>
      </c>
      <c r="G320" s="2" t="s">
        <v>22</v>
      </c>
      <c r="H320" s="2" t="s">
        <v>719</v>
      </c>
      <c r="M320" s="2" t="s">
        <v>525</v>
      </c>
      <c r="P320" s="2" t="s">
        <v>183</v>
      </c>
      <c r="Q320" s="1" t="str">
        <f>IF($B320=0,$M320,_xlfn.TEXTBEFORE(Q319,"/",$B320,,,Q319)&amp;"/"&amp;$M320)&amp;IF(_xlfn.TEXTAFTER($D320,"..",,,,1)&lt;&gt;"1","[0]","")</f>
        <v>*/GoodsShipment[0]/GoodsShipmentItem[0]/SupportingDocument[0]/amount</v>
      </c>
    </row>
    <row r="321" spans="1:17" ht="12" customHeight="1" outlineLevel="3" x14ac:dyDescent="0.35">
      <c r="A321" s="3" t="str">
        <f>$E$2</f>
        <v>CC451B</v>
      </c>
      <c r="B321" s="4">
        <v>3</v>
      </c>
      <c r="C321" s="3" t="s">
        <v>24</v>
      </c>
      <c r="D321" s="3" t="s">
        <v>193</v>
      </c>
      <c r="E321" s="10" t="s">
        <v>583</v>
      </c>
      <c r="F321" s="4"/>
      <c r="G321" s="3" t="s">
        <v>22</v>
      </c>
      <c r="H321" s="3" t="s">
        <v>489</v>
      </c>
      <c r="I321" s="4"/>
      <c r="J321" s="4"/>
      <c r="K321" s="4"/>
      <c r="L321" s="4"/>
      <c r="M321" s="3" t="s">
        <v>584</v>
      </c>
      <c r="N321" s="4"/>
      <c r="O321" s="4"/>
      <c r="P321" s="3" t="s">
        <v>585</v>
      </c>
      <c r="Q321" s="1" t="str">
        <f>IF($B321=0,$M321,_xlfn.TEXTBEFORE(Q320,"/",$B321,,,Q320)&amp;"/"&amp;$M321)&amp;IF(_xlfn.TEXTAFTER($D321,"..",,,,1)&lt;&gt;"1","[0]","")</f>
        <v>*/GoodsShipment[0]/GoodsShipmentItem[0]/TransportDocument[0]</v>
      </c>
    </row>
    <row r="322" spans="1:17" ht="12" customHeight="1" outlineLevel="4" x14ac:dyDescent="0.35">
      <c r="A322" s="2" t="str">
        <f>$E$2</f>
        <v>CC451B</v>
      </c>
      <c r="B322" s="1">
        <v>4</v>
      </c>
      <c r="C322" s="1" t="s">
        <v>19</v>
      </c>
      <c r="D322" s="2" t="s">
        <v>25</v>
      </c>
      <c r="E322" s="11" t="s">
        <v>56</v>
      </c>
      <c r="F322" s="7" t="s">
        <v>57</v>
      </c>
      <c r="G322" s="2" t="s">
        <v>27</v>
      </c>
      <c r="H322" s="2" t="s">
        <v>393</v>
      </c>
      <c r="M322" s="2" t="s">
        <v>58</v>
      </c>
      <c r="P322" s="2" t="s">
        <v>59</v>
      </c>
      <c r="Q322" s="1" t="str">
        <f>IF($B322=0,$M322,_xlfn.TEXTBEFORE(Q321,"/",$B322,,,Q321)&amp;"/"&amp;$M322)&amp;IF(_xlfn.TEXTAFTER($D322,"..",,,,1)&lt;&gt;"1","[0]","")</f>
        <v>*/GoodsShipment[0]/GoodsShipmentItem[0]/TransportDocument[0]/sequenceNumber</v>
      </c>
    </row>
    <row r="323" spans="1:17" ht="12" customHeight="1" outlineLevel="4" x14ac:dyDescent="0.35">
      <c r="A323" s="2" t="str">
        <f>$E$2</f>
        <v>CC451B</v>
      </c>
      <c r="B323" s="1">
        <v>4</v>
      </c>
      <c r="C323" s="1" t="s">
        <v>19</v>
      </c>
      <c r="D323" s="2" t="s">
        <v>25</v>
      </c>
      <c r="E323" s="11" t="s">
        <v>2</v>
      </c>
      <c r="F323" s="7" t="s">
        <v>306</v>
      </c>
      <c r="G323" s="2" t="s">
        <v>27</v>
      </c>
      <c r="J323" s="2" t="s">
        <v>586</v>
      </c>
      <c r="M323" s="2" t="s">
        <v>61</v>
      </c>
      <c r="P323" s="2" t="s">
        <v>307</v>
      </c>
      <c r="Q323" s="1" t="str">
        <f>IF($B323=0,$M323,_xlfn.TEXTBEFORE(Q322,"/",$B323,,,Q322)&amp;"/"&amp;$M323)&amp;IF(_xlfn.TEXTAFTER($D323,"..",,,,1)&lt;&gt;"1","[0]","")</f>
        <v>*/GoodsShipment[0]/GoodsShipmentItem[0]/TransportDocument[0]/type</v>
      </c>
    </row>
    <row r="324" spans="1:17" ht="12" customHeight="1" outlineLevel="4" x14ac:dyDescent="0.35">
      <c r="A324" s="2" t="str">
        <f>$E$2</f>
        <v>CC451B</v>
      </c>
      <c r="B324" s="1">
        <v>4</v>
      </c>
      <c r="C324" s="1" t="s">
        <v>19</v>
      </c>
      <c r="D324" s="2" t="s">
        <v>25</v>
      </c>
      <c r="E324" s="11" t="s">
        <v>63</v>
      </c>
      <c r="F324" s="7" t="s">
        <v>83</v>
      </c>
      <c r="G324" s="2" t="s">
        <v>27</v>
      </c>
      <c r="H324" s="2" t="s">
        <v>494</v>
      </c>
      <c r="M324" s="2" t="s">
        <v>65</v>
      </c>
      <c r="P324" s="2" t="s">
        <v>308</v>
      </c>
      <c r="Q324" s="1" t="str">
        <f>IF($B324=0,$M324,_xlfn.TEXTBEFORE(Q323,"/",$B324,,,Q323)&amp;"/"&amp;$M324)&amp;IF(_xlfn.TEXTAFTER($D324,"..",,,,1)&lt;&gt;"1","[0]","")</f>
        <v>*/GoodsShipment[0]/GoodsShipmentItem[0]/TransportDocument[0]/referenceNumber</v>
      </c>
    </row>
    <row r="325" spans="1:17" ht="12" customHeight="1" outlineLevel="3" x14ac:dyDescent="0.35">
      <c r="A325" s="3" t="str">
        <f>$E$2</f>
        <v>CC451B</v>
      </c>
      <c r="B325" s="4">
        <v>3</v>
      </c>
      <c r="C325" s="3" t="s">
        <v>24</v>
      </c>
      <c r="D325" s="3" t="s">
        <v>193</v>
      </c>
      <c r="E325" s="10" t="s">
        <v>508</v>
      </c>
      <c r="F325" s="4"/>
      <c r="G325" s="3" t="s">
        <v>22</v>
      </c>
      <c r="H325" s="3" t="s">
        <v>489</v>
      </c>
      <c r="I325" s="4"/>
      <c r="J325" s="4"/>
      <c r="K325" s="4"/>
      <c r="L325" s="4"/>
      <c r="M325" s="3" t="s">
        <v>509</v>
      </c>
      <c r="N325" s="4"/>
      <c r="O325" s="4"/>
      <c r="P325" s="3" t="s">
        <v>510</v>
      </c>
      <c r="Q325" s="1" t="str">
        <f>IF($B325=0,$M325,_xlfn.TEXTBEFORE(Q324,"/",$B325,,,Q324)&amp;"/"&amp;$M325)&amp;IF(_xlfn.TEXTAFTER($D325,"..",,,,1)&lt;&gt;"1","[0]","")</f>
        <v>*/GoodsShipment[0]/GoodsShipmentItem[0]/AdditionalReference[0]</v>
      </c>
    </row>
    <row r="326" spans="1:17" ht="12" customHeight="1" outlineLevel="4" x14ac:dyDescent="0.35">
      <c r="A326" s="2" t="str">
        <f>$E$2</f>
        <v>CC451B</v>
      </c>
      <c r="B326" s="1">
        <v>4</v>
      </c>
      <c r="C326" s="1" t="s">
        <v>19</v>
      </c>
      <c r="D326" s="2" t="s">
        <v>25</v>
      </c>
      <c r="E326" s="11" t="s">
        <v>56</v>
      </c>
      <c r="F326" s="7" t="s">
        <v>57</v>
      </c>
      <c r="G326" s="2" t="s">
        <v>27</v>
      </c>
      <c r="H326" s="2" t="s">
        <v>393</v>
      </c>
      <c r="M326" s="2" t="s">
        <v>58</v>
      </c>
      <c r="P326" s="2" t="s">
        <v>59</v>
      </c>
      <c r="Q326" s="1" t="str">
        <f>IF($B326=0,$M326,_xlfn.TEXTBEFORE(Q325,"/",$B326,,,Q325)&amp;"/"&amp;$M326)&amp;IF(_xlfn.TEXTAFTER($D326,"..",,,,1)&lt;&gt;"1","[0]","")</f>
        <v>*/GoodsShipment[0]/GoodsShipmentItem[0]/AdditionalReference[0]/sequenceNumber</v>
      </c>
    </row>
    <row r="327" spans="1:17" ht="12" customHeight="1" outlineLevel="4" x14ac:dyDescent="0.35">
      <c r="A327" s="2" t="str">
        <f>$E$2</f>
        <v>CC451B</v>
      </c>
      <c r="B327" s="1">
        <v>4</v>
      </c>
      <c r="C327" s="1" t="s">
        <v>19</v>
      </c>
      <c r="D327" s="2" t="s">
        <v>25</v>
      </c>
      <c r="E327" s="11" t="s">
        <v>2</v>
      </c>
      <c r="F327" s="7" t="s">
        <v>306</v>
      </c>
      <c r="G327" s="2" t="s">
        <v>27</v>
      </c>
      <c r="J327" s="2" t="s">
        <v>511</v>
      </c>
      <c r="M327" s="2" t="s">
        <v>61</v>
      </c>
      <c r="P327" s="2" t="s">
        <v>307</v>
      </c>
      <c r="Q327" s="1" t="str">
        <f>IF($B327=0,$M327,_xlfn.TEXTBEFORE(Q326,"/",$B327,,,Q326)&amp;"/"&amp;$M327)&amp;IF(_xlfn.TEXTAFTER($D327,"..",,,,1)&lt;&gt;"1","[0]","")</f>
        <v>*/GoodsShipment[0]/GoodsShipmentItem[0]/AdditionalReference[0]/type</v>
      </c>
    </row>
    <row r="328" spans="1:17" ht="12" customHeight="1" outlineLevel="4" x14ac:dyDescent="0.35">
      <c r="A328" s="2" t="str">
        <f>$E$2</f>
        <v>CC451B</v>
      </c>
      <c r="B328" s="1">
        <v>4</v>
      </c>
      <c r="C328" s="1" t="s">
        <v>19</v>
      </c>
      <c r="D328" s="2" t="s">
        <v>30</v>
      </c>
      <c r="E328" s="11" t="s">
        <v>142</v>
      </c>
      <c r="F328" s="7" t="s">
        <v>50</v>
      </c>
      <c r="G328" s="2" t="s">
        <v>396</v>
      </c>
      <c r="H328" s="2" t="s">
        <v>512</v>
      </c>
      <c r="I328" s="2" t="s">
        <v>493</v>
      </c>
      <c r="J328" s="2" t="s">
        <v>416</v>
      </c>
      <c r="M328" s="2" t="s">
        <v>143</v>
      </c>
      <c r="P328" s="2" t="s">
        <v>52</v>
      </c>
      <c r="Q328" s="1" t="str">
        <f>IF($B328=0,$M328,_xlfn.TEXTBEFORE(Q327,"/",$B328,,,Q327)&amp;"/"&amp;$M328)&amp;IF(_xlfn.TEXTAFTER($D328,"..",,,,1)&lt;&gt;"1","[0]","")</f>
        <v>*/GoodsShipment[0]/GoodsShipmentItem[0]/AdditionalReference[0]/ccQualifier</v>
      </c>
    </row>
    <row r="329" spans="1:17" ht="12" customHeight="1" outlineLevel="4" x14ac:dyDescent="0.35">
      <c r="A329" s="2" t="str">
        <f>$E$2</f>
        <v>CC451B</v>
      </c>
      <c r="B329" s="1">
        <v>4</v>
      </c>
      <c r="C329" s="1" t="s">
        <v>19</v>
      </c>
      <c r="D329" s="2" t="s">
        <v>30</v>
      </c>
      <c r="E329" s="11" t="s">
        <v>63</v>
      </c>
      <c r="F329" s="7" t="s">
        <v>83</v>
      </c>
      <c r="G329" s="2" t="s">
        <v>22</v>
      </c>
      <c r="H329" s="2" t="s">
        <v>494</v>
      </c>
      <c r="M329" s="2" t="s">
        <v>65</v>
      </c>
      <c r="P329" s="2" t="s">
        <v>308</v>
      </c>
      <c r="Q329" s="1" t="str">
        <f>IF($B329=0,$M329,_xlfn.TEXTBEFORE(Q328,"/",$B329,,,Q328)&amp;"/"&amp;$M329)&amp;IF(_xlfn.TEXTAFTER($D329,"..",,,,1)&lt;&gt;"1","[0]","")</f>
        <v>*/GoodsShipment[0]/GoodsShipmentItem[0]/AdditionalReference[0]/referenceNumber</v>
      </c>
    </row>
    <row r="330" spans="1:17" ht="12" customHeight="1" outlineLevel="3" x14ac:dyDescent="0.35">
      <c r="A330" s="3" t="str">
        <f>$E$2</f>
        <v>CC451B</v>
      </c>
      <c r="B330" s="4">
        <v>3</v>
      </c>
      <c r="C330" s="3" t="s">
        <v>24</v>
      </c>
      <c r="D330" s="3" t="s">
        <v>193</v>
      </c>
      <c r="E330" s="10" t="s">
        <v>219</v>
      </c>
      <c r="F330" s="4"/>
      <c r="G330" s="3" t="s">
        <v>22</v>
      </c>
      <c r="H330" s="3" t="s">
        <v>489</v>
      </c>
      <c r="I330" s="4"/>
      <c r="J330" s="4"/>
      <c r="K330" s="4"/>
      <c r="L330" s="4"/>
      <c r="M330" s="3" t="s">
        <v>220</v>
      </c>
      <c r="N330" s="4"/>
      <c r="O330" s="4"/>
      <c r="P330" s="3" t="s">
        <v>221</v>
      </c>
      <c r="Q330" s="1" t="str">
        <f>IF($B330=0,$M330,_xlfn.TEXTBEFORE(Q329,"/",$B330,,,Q329)&amp;"/"&amp;$M330)&amp;IF(_xlfn.TEXTAFTER($D330,"..",,,,1)&lt;&gt;"1","[0]","")</f>
        <v>*/GoodsShipment[0]/GoodsShipmentItem[0]/AdditionalInformation[0]</v>
      </c>
    </row>
    <row r="331" spans="1:17" ht="12" customHeight="1" outlineLevel="4" x14ac:dyDescent="0.35">
      <c r="A331" s="2" t="str">
        <f>$E$2</f>
        <v>CC451B</v>
      </c>
      <c r="B331" s="1">
        <v>4</v>
      </c>
      <c r="C331" s="1" t="s">
        <v>19</v>
      </c>
      <c r="D331" s="2" t="s">
        <v>25</v>
      </c>
      <c r="E331" s="11" t="s">
        <v>56</v>
      </c>
      <c r="F331" s="7" t="s">
        <v>57</v>
      </c>
      <c r="G331" s="2" t="s">
        <v>27</v>
      </c>
      <c r="H331" s="2" t="s">
        <v>393</v>
      </c>
      <c r="M331" s="2" t="s">
        <v>58</v>
      </c>
      <c r="P331" s="2" t="s">
        <v>59</v>
      </c>
      <c r="Q331" s="1" t="str">
        <f>IF($B331=0,$M331,_xlfn.TEXTBEFORE(Q330,"/",$B331,,,Q330)&amp;"/"&amp;$M331)&amp;IF(_xlfn.TEXTAFTER($D331,"..",,,,1)&lt;&gt;"1","[0]","")</f>
        <v>*/GoodsShipment[0]/GoodsShipmentItem[0]/AdditionalInformation[0]/sequenceNumber</v>
      </c>
    </row>
    <row r="332" spans="1:17" ht="12" customHeight="1" outlineLevel="4" x14ac:dyDescent="0.35">
      <c r="A332" s="2" t="str">
        <f>$E$2</f>
        <v>CC451B</v>
      </c>
      <c r="B332" s="1">
        <v>4</v>
      </c>
      <c r="C332" s="1" t="s">
        <v>19</v>
      </c>
      <c r="D332" s="2" t="s">
        <v>25</v>
      </c>
      <c r="E332" s="11" t="s">
        <v>222</v>
      </c>
      <c r="F332" s="7" t="s">
        <v>223</v>
      </c>
      <c r="G332" s="2" t="s">
        <v>27</v>
      </c>
      <c r="H332" s="2" t="s">
        <v>477</v>
      </c>
      <c r="J332" s="2" t="s">
        <v>513</v>
      </c>
      <c r="M332" s="2" t="s">
        <v>224</v>
      </c>
      <c r="P332" s="2" t="s">
        <v>225</v>
      </c>
      <c r="Q332" s="1" t="str">
        <f>IF($B332=0,$M332,_xlfn.TEXTBEFORE(Q331,"/",$B332,,,Q331)&amp;"/"&amp;$M332)&amp;IF(_xlfn.TEXTAFTER($D332,"..",,,,1)&lt;&gt;"1","[0]","")</f>
        <v>*/GoodsShipment[0]/GoodsShipmentItem[0]/AdditionalInformation[0]/code</v>
      </c>
    </row>
    <row r="333" spans="1:17" ht="12" customHeight="1" outlineLevel="4" x14ac:dyDescent="0.35">
      <c r="A333" s="2" t="str">
        <f>$E$2</f>
        <v>CC451B</v>
      </c>
      <c r="B333" s="1">
        <v>4</v>
      </c>
      <c r="C333" s="1" t="s">
        <v>19</v>
      </c>
      <c r="D333" s="2" t="s">
        <v>30</v>
      </c>
      <c r="E333" s="11" t="s">
        <v>142</v>
      </c>
      <c r="F333" s="7" t="s">
        <v>50</v>
      </c>
      <c r="G333" s="2" t="s">
        <v>396</v>
      </c>
      <c r="H333" s="2" t="s">
        <v>512</v>
      </c>
      <c r="I333" s="2" t="s">
        <v>493</v>
      </c>
      <c r="J333" s="2" t="s">
        <v>416</v>
      </c>
      <c r="M333" s="2" t="s">
        <v>143</v>
      </c>
      <c r="P333" s="2" t="s">
        <v>52</v>
      </c>
      <c r="Q333" s="1" t="str">
        <f>IF($B333=0,$M333,_xlfn.TEXTBEFORE(Q332,"/",$B333,,,Q332)&amp;"/"&amp;$M333)&amp;IF(_xlfn.TEXTAFTER($D333,"..",,,,1)&lt;&gt;"1","[0]","")</f>
        <v>*/GoodsShipment[0]/GoodsShipmentItem[0]/AdditionalInformation[0]/ccQualifier</v>
      </c>
    </row>
    <row r="334" spans="1:17" ht="12" customHeight="1" outlineLevel="4" x14ac:dyDescent="0.35">
      <c r="A334" s="2" t="str">
        <f>$E$2</f>
        <v>CC451B</v>
      </c>
      <c r="B334" s="1">
        <v>4</v>
      </c>
      <c r="C334" s="1" t="s">
        <v>19</v>
      </c>
      <c r="D334" s="2" t="s">
        <v>30</v>
      </c>
      <c r="E334" s="11" t="s">
        <v>226</v>
      </c>
      <c r="F334" s="7" t="s">
        <v>216</v>
      </c>
      <c r="G334" s="2" t="s">
        <v>22</v>
      </c>
      <c r="M334" s="2" t="s">
        <v>227</v>
      </c>
      <c r="P334" s="2" t="s">
        <v>218</v>
      </c>
      <c r="Q334" s="1" t="str">
        <f>IF($B334=0,$M334,_xlfn.TEXTBEFORE(Q333,"/",$B334,,,Q333)&amp;"/"&amp;$M334)&amp;IF(_xlfn.TEXTAFTER($D334,"..",,,,1)&lt;&gt;"1","[0]","")</f>
        <v>*/GoodsShipment[0]/GoodsShipmentItem[0]/AdditionalInformation[0]/text</v>
      </c>
    </row>
    <row r="335" spans="1:17" ht="12" customHeight="1" outlineLevel="3" x14ac:dyDescent="0.35">
      <c r="A335" s="3" t="str">
        <f>$E$2</f>
        <v>CC451B</v>
      </c>
      <c r="B335" s="4">
        <v>3</v>
      </c>
      <c r="C335" s="3" t="s">
        <v>24</v>
      </c>
      <c r="D335" s="3" t="s">
        <v>30</v>
      </c>
      <c r="E335" s="10" t="s">
        <v>720</v>
      </c>
      <c r="F335" s="4"/>
      <c r="G335" s="3" t="s">
        <v>396</v>
      </c>
      <c r="H335" s="4"/>
      <c r="I335" s="3" t="s">
        <v>721</v>
      </c>
      <c r="J335" s="4"/>
      <c r="K335" s="4"/>
      <c r="L335" s="4"/>
      <c r="M335" s="3" t="s">
        <v>722</v>
      </c>
      <c r="N335" s="4"/>
      <c r="O335" s="4"/>
      <c r="P335" s="3" t="s">
        <v>1511</v>
      </c>
      <c r="Q335" s="1" t="str">
        <f>IF($B335=0,$M335,_xlfn.TEXTBEFORE(Q334,"/",$B335,,,Q334)&amp;"/"&amp;$M335)&amp;IF(_xlfn.TEXTAFTER($D335,"..",,,,1)&lt;&gt;"1","[0]","")</f>
        <v>*/GoodsShipment[0]/GoodsShipmentItem[0]/CustomsValuation</v>
      </c>
    </row>
    <row r="336" spans="1:17" ht="12" customHeight="1" outlineLevel="4" x14ac:dyDescent="0.35">
      <c r="A336" s="2" t="str">
        <f>$E$2</f>
        <v>CC451B</v>
      </c>
      <c r="B336" s="1">
        <v>4</v>
      </c>
      <c r="C336" s="1" t="s">
        <v>19</v>
      </c>
      <c r="D336" s="2" t="s">
        <v>25</v>
      </c>
      <c r="E336" s="11" t="s">
        <v>724</v>
      </c>
      <c r="F336" s="7" t="s">
        <v>123</v>
      </c>
      <c r="G336" s="2" t="s">
        <v>27</v>
      </c>
      <c r="J336" s="2" t="s">
        <v>725</v>
      </c>
      <c r="M336" s="2" t="s">
        <v>726</v>
      </c>
      <c r="P336" s="2" t="s">
        <v>727</v>
      </c>
      <c r="Q336" s="1" t="str">
        <f>IF($B336=0,$M336,_xlfn.TEXTBEFORE(Q335,"/",$B336,,,Q335)&amp;"/"&amp;$M336)&amp;IF(_xlfn.TEXTAFTER($D336,"..",,,,1)&lt;&gt;"1","[0]","")</f>
        <v>*/GoodsShipment[0]/GoodsShipmentItem[0]/CustomsValuation/valuationMethod</v>
      </c>
    </row>
    <row r="337" spans="1:17" ht="12" customHeight="1" outlineLevel="4" x14ac:dyDescent="0.35">
      <c r="A337" s="3" t="str">
        <f>$E$2</f>
        <v>CC451B</v>
      </c>
      <c r="B337" s="4">
        <v>4</v>
      </c>
      <c r="C337" s="3" t="s">
        <v>24</v>
      </c>
      <c r="D337" s="3" t="s">
        <v>193</v>
      </c>
      <c r="E337" s="12" t="s">
        <v>514</v>
      </c>
      <c r="F337" s="4"/>
      <c r="G337" s="3" t="s">
        <v>396</v>
      </c>
      <c r="H337" s="3" t="s">
        <v>1275</v>
      </c>
      <c r="I337" s="3" t="s">
        <v>515</v>
      </c>
      <c r="J337" s="4"/>
      <c r="K337" s="4"/>
      <c r="L337" s="4"/>
      <c r="M337" s="3" t="s">
        <v>516</v>
      </c>
      <c r="N337" s="4"/>
      <c r="O337" s="4"/>
      <c r="P337" s="3" t="s">
        <v>1501</v>
      </c>
      <c r="Q337" s="1" t="str">
        <f>IF($B337=0,$M337,_xlfn.TEXTBEFORE(Q336,"/",$B337,,,Q336)&amp;"/"&amp;$M337)&amp;IF(_xlfn.TEXTAFTER($D337,"..",,,,1)&lt;&gt;"1","[0]","")</f>
        <v>*/GoodsShipment[0]/GoodsShipmentItem[0]/CustomsValuation/AdditionsAndDeductions[0]</v>
      </c>
    </row>
    <row r="338" spans="1:17" ht="12" customHeight="1" outlineLevel="5" x14ac:dyDescent="0.35">
      <c r="A338" s="2" t="str">
        <f>$E$2</f>
        <v>CC451B</v>
      </c>
      <c r="B338" s="1">
        <v>5</v>
      </c>
      <c r="C338" s="1" t="s">
        <v>19</v>
      </c>
      <c r="D338" s="2" t="s">
        <v>25</v>
      </c>
      <c r="E338" s="13" t="s">
        <v>56</v>
      </c>
      <c r="F338" s="7" t="s">
        <v>57</v>
      </c>
      <c r="G338" s="2" t="s">
        <v>27</v>
      </c>
      <c r="H338" s="2" t="s">
        <v>393</v>
      </c>
      <c r="M338" s="2" t="s">
        <v>58</v>
      </c>
      <c r="P338" s="2" t="s">
        <v>59</v>
      </c>
      <c r="Q338" s="1" t="str">
        <f>IF($B338=0,$M338,_xlfn.TEXTBEFORE(Q337,"/",$B338,,,Q337)&amp;"/"&amp;$M338)&amp;IF(_xlfn.TEXTAFTER($D338,"..",,,,1)&lt;&gt;"1","[0]","")</f>
        <v>*/GoodsShipment[0]/GoodsShipmentItem[0]/CustomsValuation/AdditionsAndDeductions[0]/sequenceNumber</v>
      </c>
    </row>
    <row r="339" spans="1:17" ht="12" customHeight="1" outlineLevel="5" x14ac:dyDescent="0.35">
      <c r="A339" s="2" t="str">
        <f>$E$2</f>
        <v>CC451B</v>
      </c>
      <c r="B339" s="1">
        <v>5</v>
      </c>
      <c r="C339" s="1" t="s">
        <v>19</v>
      </c>
      <c r="D339" s="2" t="s">
        <v>25</v>
      </c>
      <c r="E339" s="13" t="s">
        <v>222</v>
      </c>
      <c r="F339" s="7" t="s">
        <v>518</v>
      </c>
      <c r="G339" s="2" t="s">
        <v>27</v>
      </c>
      <c r="J339" s="2" t="s">
        <v>519</v>
      </c>
      <c r="M339" s="2" t="s">
        <v>224</v>
      </c>
      <c r="P339" s="2" t="s">
        <v>520</v>
      </c>
      <c r="Q339" s="1" t="str">
        <f>IF($B339=0,$M339,_xlfn.TEXTBEFORE(Q338,"/",$B339,,,Q338)&amp;"/"&amp;$M339)&amp;IF(_xlfn.TEXTAFTER($D339,"..",,,,1)&lt;&gt;"1","[0]","")</f>
        <v>*/GoodsShipment[0]/GoodsShipmentItem[0]/CustomsValuation/AdditionsAndDeductions[0]/code</v>
      </c>
    </row>
    <row r="340" spans="1:17" ht="12" customHeight="1" outlineLevel="5" x14ac:dyDescent="0.35">
      <c r="A340" s="2" t="str">
        <f>$E$2</f>
        <v>CC451B</v>
      </c>
      <c r="B340" s="1">
        <v>5</v>
      </c>
      <c r="C340" s="1" t="s">
        <v>19</v>
      </c>
      <c r="D340" s="2" t="s">
        <v>25</v>
      </c>
      <c r="E340" s="13" t="s">
        <v>524</v>
      </c>
      <c r="F340" s="7" t="s">
        <v>181</v>
      </c>
      <c r="G340" s="2" t="s">
        <v>27</v>
      </c>
      <c r="M340" s="2" t="s">
        <v>525</v>
      </c>
      <c r="P340" s="2" t="s">
        <v>183</v>
      </c>
      <c r="Q340" s="1" t="str">
        <f>IF($B340=0,$M340,_xlfn.TEXTBEFORE(Q339,"/",$B340,,,Q339)&amp;"/"&amp;$M340)&amp;IF(_xlfn.TEXTAFTER($D340,"..",,,,1)&lt;&gt;"1","[0]","")</f>
        <v>*/GoodsShipment[0]/GoodsShipmentItem[0]/CustomsValuation/AdditionsAndDeductions[0]/amount</v>
      </c>
    </row>
    <row r="341" spans="1:17" ht="12" customHeight="1" outlineLevel="3" x14ac:dyDescent="0.35">
      <c r="A341" s="3" t="str">
        <f>$E$2</f>
        <v>CC451B</v>
      </c>
      <c r="B341" s="4">
        <v>3</v>
      </c>
      <c r="C341" s="3" t="s">
        <v>24</v>
      </c>
      <c r="D341" s="3" t="s">
        <v>30</v>
      </c>
      <c r="E341" s="10" t="s">
        <v>730</v>
      </c>
      <c r="F341" s="4"/>
      <c r="G341" s="3" t="s">
        <v>396</v>
      </c>
      <c r="H341" s="3" t="s">
        <v>1313</v>
      </c>
      <c r="I341" s="3" t="s">
        <v>731</v>
      </c>
      <c r="J341" s="4"/>
      <c r="K341" s="4"/>
      <c r="L341" s="4"/>
      <c r="M341" s="3" t="s">
        <v>732</v>
      </c>
      <c r="N341" s="4"/>
      <c r="O341" s="4"/>
      <c r="P341" s="3" t="s">
        <v>733</v>
      </c>
      <c r="Q341" s="1" t="str">
        <f>IF($B341=0,$M341,_xlfn.TEXTBEFORE(Q340,"/",$B341,,,Q340)&amp;"/"&amp;$M341)&amp;IF(_xlfn.TEXTAFTER($D341,"..",,,,1)&lt;&gt;"1","[0]","")</f>
        <v>*/GoodsShipment[0]/GoodsShipmentItem[0]/ValuationAdjustment</v>
      </c>
    </row>
    <row r="342" spans="1:17" ht="12" customHeight="1" outlineLevel="4" x14ac:dyDescent="0.35">
      <c r="A342" s="2" t="str">
        <f>$E$2</f>
        <v>CC451B</v>
      </c>
      <c r="B342" s="1">
        <v>4</v>
      </c>
      <c r="C342" s="1" t="s">
        <v>19</v>
      </c>
      <c r="D342" s="2" t="s">
        <v>25</v>
      </c>
      <c r="E342" s="11" t="s">
        <v>734</v>
      </c>
      <c r="F342" s="7" t="s">
        <v>735</v>
      </c>
      <c r="G342" s="2" t="s">
        <v>27</v>
      </c>
      <c r="H342" s="2" t="s">
        <v>736</v>
      </c>
      <c r="M342" s="2" t="s">
        <v>737</v>
      </c>
      <c r="P342" s="2" t="s">
        <v>738</v>
      </c>
      <c r="Q342" s="1" t="str">
        <f>IF($B342=0,$M342,_xlfn.TEXTBEFORE(Q341,"/",$B342,,,Q341)&amp;"/"&amp;$M342)&amp;IF(_xlfn.TEXTAFTER($D342,"..",,,,1)&lt;&gt;"1","[0]","")</f>
        <v>*/GoodsShipment[0]/GoodsShipmentItem[0]/ValuationAdjustment/valuationIndicators</v>
      </c>
    </row>
    <row r="343" spans="1:17" ht="12" customHeight="1" outlineLevel="3" x14ac:dyDescent="0.35">
      <c r="A343" s="3" t="str">
        <f>$E$2</f>
        <v>CC451B</v>
      </c>
      <c r="B343" s="4">
        <v>3</v>
      </c>
      <c r="C343" s="3" t="s">
        <v>24</v>
      </c>
      <c r="D343" s="3" t="s">
        <v>193</v>
      </c>
      <c r="E343" s="10" t="s">
        <v>528</v>
      </c>
      <c r="F343" s="4"/>
      <c r="G343" s="3" t="s">
        <v>396</v>
      </c>
      <c r="H343" s="3" t="s">
        <v>595</v>
      </c>
      <c r="I343" s="16" t="s">
        <v>1314</v>
      </c>
      <c r="J343" s="4"/>
      <c r="K343" s="4"/>
      <c r="L343" s="4"/>
      <c r="M343" s="3" t="s">
        <v>530</v>
      </c>
      <c r="N343" s="4"/>
      <c r="O343" s="4"/>
      <c r="P343" s="3" t="s">
        <v>531</v>
      </c>
      <c r="Q343" s="1" t="str">
        <f>IF($B343=0,$M343,_xlfn.TEXTBEFORE(Q342,"/",$B343,,,Q342)&amp;"/"&amp;$M343)&amp;IF(_xlfn.TEXTAFTER($D343,"..",,,,1)&lt;&gt;"1","[0]","")</f>
        <v>*/GoodsShipment[0]/GoodsShipmentItem[0]/AdditionalFiscalReference[0]</v>
      </c>
    </row>
    <row r="344" spans="1:17" ht="12" customHeight="1" outlineLevel="4" x14ac:dyDescent="0.35">
      <c r="A344" s="2" t="str">
        <f>$E$2</f>
        <v>CC451B</v>
      </c>
      <c r="B344" s="1">
        <v>4</v>
      </c>
      <c r="C344" s="1" t="s">
        <v>19</v>
      </c>
      <c r="D344" s="2" t="s">
        <v>25</v>
      </c>
      <c r="E344" s="11" t="s">
        <v>56</v>
      </c>
      <c r="F344" s="7" t="s">
        <v>57</v>
      </c>
      <c r="G344" s="2" t="s">
        <v>27</v>
      </c>
      <c r="H344" s="2" t="s">
        <v>393</v>
      </c>
      <c r="M344" s="2" t="s">
        <v>58</v>
      </c>
      <c r="P344" s="2" t="s">
        <v>59</v>
      </c>
      <c r="Q344" s="1" t="str">
        <f>IF($B344=0,$M344,_xlfn.TEXTBEFORE(Q343,"/",$B344,,,Q343)&amp;"/"&amp;$M344)&amp;IF(_xlfn.TEXTAFTER($D344,"..",,,,1)&lt;&gt;"1","[0]","")</f>
        <v>*/GoodsShipment[0]/GoodsShipmentItem[0]/AdditionalFiscalReference[0]/sequenceNumber</v>
      </c>
    </row>
    <row r="345" spans="1:17" ht="12" customHeight="1" outlineLevel="4" x14ac:dyDescent="0.35">
      <c r="A345" s="2" t="str">
        <f>$E$2</f>
        <v>CC451B</v>
      </c>
      <c r="B345" s="1">
        <v>4</v>
      </c>
      <c r="C345" s="1" t="s">
        <v>19</v>
      </c>
      <c r="D345" s="2" t="s">
        <v>25</v>
      </c>
      <c r="E345" s="11" t="s">
        <v>197</v>
      </c>
      <c r="F345" s="7" t="s">
        <v>333</v>
      </c>
      <c r="G345" s="2" t="s">
        <v>27</v>
      </c>
      <c r="J345" s="2" t="s">
        <v>532</v>
      </c>
      <c r="M345" s="2" t="s">
        <v>199</v>
      </c>
      <c r="P345" s="2" t="s">
        <v>533</v>
      </c>
      <c r="Q345" s="1" t="str">
        <f>IF($B345=0,$M345,_xlfn.TEXTBEFORE(Q344,"/",$B345,,,Q344)&amp;"/"&amp;$M345)&amp;IF(_xlfn.TEXTAFTER($D345,"..",,,,1)&lt;&gt;"1","[0]","")</f>
        <v>*/GoodsShipment[0]/GoodsShipmentItem[0]/AdditionalFiscalReference[0]/role</v>
      </c>
    </row>
    <row r="346" spans="1:17" ht="12" customHeight="1" outlineLevel="4" x14ac:dyDescent="0.35">
      <c r="A346" s="2" t="str">
        <f>$E$2</f>
        <v>CC451B</v>
      </c>
      <c r="B346" s="1">
        <v>4</v>
      </c>
      <c r="C346" s="1" t="s">
        <v>19</v>
      </c>
      <c r="D346" s="2" t="s">
        <v>25</v>
      </c>
      <c r="E346" s="11" t="s">
        <v>534</v>
      </c>
      <c r="F346" s="7" t="s">
        <v>103</v>
      </c>
      <c r="G346" s="2" t="s">
        <v>27</v>
      </c>
      <c r="M346" s="2" t="s">
        <v>535</v>
      </c>
      <c r="P346" s="2" t="s">
        <v>536</v>
      </c>
      <c r="Q346" s="1" t="str">
        <f>IF($B346=0,$M346,_xlfn.TEXTBEFORE(Q345,"/",$B346,,,Q345)&amp;"/"&amp;$M346)&amp;IF(_xlfn.TEXTAFTER($D346,"..",,,,1)&lt;&gt;"1","[0]","")</f>
        <v>*/GoodsShipment[0]/GoodsShipmentItem[0]/AdditionalFiscalReference[0]/VATIdentificationNumber</v>
      </c>
    </row>
    <row r="347" spans="1:17" ht="12" customHeight="1" outlineLevel="1" x14ac:dyDescent="0.35">
      <c r="A347" s="3" t="str">
        <f>$E$2</f>
        <v>CC451B</v>
      </c>
      <c r="B347" s="4">
        <v>1</v>
      </c>
      <c r="C347" s="3" t="s">
        <v>24</v>
      </c>
      <c r="D347" s="3" t="s">
        <v>25</v>
      </c>
      <c r="E347" s="5" t="s">
        <v>1315</v>
      </c>
      <c r="F347" s="4"/>
      <c r="G347" s="3" t="s">
        <v>27</v>
      </c>
      <c r="H347" s="4"/>
      <c r="I347" s="4"/>
      <c r="J347" s="4"/>
      <c r="K347" s="4"/>
      <c r="L347" s="4"/>
      <c r="M347" s="3" t="s">
        <v>1316</v>
      </c>
      <c r="N347" s="4"/>
      <c r="O347" s="4"/>
      <c r="P347" s="3" t="s">
        <v>1317</v>
      </c>
      <c r="Q347" s="1" t="str">
        <f>IF($B347=0,$M347,_xlfn.TEXTBEFORE(Q346,"/",$B347,,,Q346)&amp;"/"&amp;$M347)&amp;IF(_xlfn.TEXTAFTER($D347,"..",,,,1)&lt;&gt;"1","[0]","")</f>
        <v>*/ControlResult</v>
      </c>
    </row>
    <row r="348" spans="1:17" ht="12" customHeight="1" outlineLevel="2" x14ac:dyDescent="0.35">
      <c r="A348" s="2" t="str">
        <f>$E$2</f>
        <v>CC451B</v>
      </c>
      <c r="B348" s="1">
        <v>2</v>
      </c>
      <c r="C348" s="1" t="s">
        <v>19</v>
      </c>
      <c r="D348" s="2" t="s">
        <v>25</v>
      </c>
      <c r="E348" s="6" t="s">
        <v>222</v>
      </c>
      <c r="F348" s="7" t="s">
        <v>325</v>
      </c>
      <c r="G348" s="2" t="s">
        <v>27</v>
      </c>
      <c r="H348" s="2" t="s">
        <v>1318</v>
      </c>
      <c r="J348" s="2" t="s">
        <v>1319</v>
      </c>
      <c r="M348" s="2" t="s">
        <v>224</v>
      </c>
      <c r="P348" s="2" t="s">
        <v>1320</v>
      </c>
      <c r="Q348" s="1" t="str">
        <f>IF($B348=0,$M348,_xlfn.TEXTBEFORE(Q347,"/",$B348,,,Q347)&amp;"/"&amp;$M348)&amp;IF(_xlfn.TEXTAFTER($D348,"..",,,,1)&lt;&gt;"1","[0]","")</f>
        <v>*/ControlResult/code</v>
      </c>
    </row>
    <row r="349" spans="1:17" ht="12" customHeight="1" outlineLevel="2" x14ac:dyDescent="0.35">
      <c r="A349" s="2" t="str">
        <f>$E$2</f>
        <v>CC451B</v>
      </c>
      <c r="B349" s="1">
        <v>2</v>
      </c>
      <c r="C349" s="1" t="s">
        <v>19</v>
      </c>
      <c r="D349" s="2" t="s">
        <v>25</v>
      </c>
      <c r="E349" s="6" t="s">
        <v>1321</v>
      </c>
      <c r="F349" s="2" t="s">
        <v>505</v>
      </c>
      <c r="G349" s="2" t="s">
        <v>27</v>
      </c>
      <c r="H349" s="2" t="s">
        <v>786</v>
      </c>
      <c r="M349" s="2" t="s">
        <v>1322</v>
      </c>
      <c r="P349" s="2" t="s">
        <v>507</v>
      </c>
      <c r="Q349" s="1" t="str">
        <f>IF($B349=0,$M349,_xlfn.TEXTBEFORE(Q348,"/",$B349,,,Q348)&amp;"/"&amp;$M349)&amp;IF(_xlfn.TEXTAFTER($D349,"..",,,,1)&lt;&gt;"1","[0]","")</f>
        <v>*/ControlResult/date</v>
      </c>
    </row>
    <row r="350" spans="1:17" ht="12" customHeight="1" outlineLevel="2" x14ac:dyDescent="0.35">
      <c r="A350" s="2" t="str">
        <f>$E$2</f>
        <v>CC451B</v>
      </c>
      <c r="B350" s="1">
        <v>2</v>
      </c>
      <c r="C350" s="1" t="s">
        <v>19</v>
      </c>
      <c r="D350" s="2" t="s">
        <v>30</v>
      </c>
      <c r="E350" s="6" t="s">
        <v>1323</v>
      </c>
      <c r="F350" s="7" t="s">
        <v>216</v>
      </c>
      <c r="G350" s="2" t="s">
        <v>22</v>
      </c>
      <c r="M350" s="2" t="s">
        <v>1324</v>
      </c>
      <c r="P350" s="2" t="s">
        <v>218</v>
      </c>
      <c r="Q350" s="1" t="str">
        <f>IF($B350=0,$M350,_xlfn.TEXTBEFORE(Q349,"/",$B350,,,Q349)&amp;"/"&amp;$M350)&amp;IF(_xlfn.TEXTAFTER($D350,"..",,,,1)&lt;&gt;"1","[0]","")</f>
        <v>*/ControlResult/remarks</v>
      </c>
    </row>
    <row r="351" spans="1:17" ht="12" customHeight="1" outlineLevel="2" x14ac:dyDescent="0.35">
      <c r="A351" s="2" t="str">
        <f>$E$2</f>
        <v>CC451B</v>
      </c>
      <c r="B351" s="1">
        <v>2</v>
      </c>
      <c r="C351" s="1" t="s">
        <v>19</v>
      </c>
      <c r="D351" s="2" t="s">
        <v>25</v>
      </c>
      <c r="E351" s="6" t="s">
        <v>1325</v>
      </c>
      <c r="F351" s="7" t="s">
        <v>123</v>
      </c>
      <c r="G351" s="2" t="s">
        <v>27</v>
      </c>
      <c r="J351" s="2" t="s">
        <v>539</v>
      </c>
      <c r="M351" s="2" t="s">
        <v>1326</v>
      </c>
      <c r="P351" s="2" t="s">
        <v>367</v>
      </c>
      <c r="Q351" s="1" t="str">
        <f>IF($B351=0,$M351,_xlfn.TEXTBEFORE(Q350,"/",$B351,,,Q350)&amp;"/"&amp;$M351)&amp;IF(_xlfn.TEXTAFTER($D351,"..",,,,1)&lt;&gt;"1","[0]","")</f>
        <v>*/ControlResult/pendingSamplingResults</v>
      </c>
    </row>
    <row r="352" spans="1:17" ht="12" customHeight="1" outlineLevel="1" x14ac:dyDescent="0.35">
      <c r="A352" s="3" t="str">
        <f>$E$2</f>
        <v>CC451B</v>
      </c>
      <c r="B352" s="4">
        <v>1</v>
      </c>
      <c r="C352" s="3" t="s">
        <v>24</v>
      </c>
      <c r="D352" s="3" t="s">
        <v>243</v>
      </c>
      <c r="E352" s="5" t="s">
        <v>1327</v>
      </c>
      <c r="F352" s="4"/>
      <c r="G352" s="3" t="s">
        <v>396</v>
      </c>
      <c r="H352" s="4"/>
      <c r="I352" s="3" t="s">
        <v>1328</v>
      </c>
      <c r="J352" s="4"/>
      <c r="K352" s="4"/>
      <c r="L352" s="4"/>
      <c r="M352" s="3" t="s">
        <v>1329</v>
      </c>
      <c r="N352" s="4"/>
      <c r="O352" s="4"/>
      <c r="P352" s="3" t="s">
        <v>1330</v>
      </c>
      <c r="Q352" s="1" t="str">
        <f>IF($B352=0,$M352,_xlfn.TEXTBEFORE(Q351,"/",$B352,,,Q351)&amp;"/"&amp;$M352)&amp;IF(_xlfn.TEXTAFTER($D352,"..",,,,1)&lt;&gt;"1","[0]","")</f>
        <v>*/ControlResults[0]</v>
      </c>
    </row>
    <row r="353" spans="1:17" ht="12" customHeight="1" outlineLevel="2" x14ac:dyDescent="0.35">
      <c r="A353" s="2" t="str">
        <f>$E$2</f>
        <v>CC451B</v>
      </c>
      <c r="B353" s="1">
        <v>2</v>
      </c>
      <c r="C353" s="1" t="s">
        <v>19</v>
      </c>
      <c r="D353" s="2" t="s">
        <v>25</v>
      </c>
      <c r="E353" s="6" t="s">
        <v>56</v>
      </c>
      <c r="F353" s="7" t="s">
        <v>57</v>
      </c>
      <c r="G353" s="2" t="s">
        <v>27</v>
      </c>
      <c r="H353" s="2" t="s">
        <v>393</v>
      </c>
      <c r="M353" s="2" t="s">
        <v>58</v>
      </c>
      <c r="P353" s="2" t="s">
        <v>59</v>
      </c>
      <c r="Q353" s="1" t="str">
        <f>IF($B353=0,$M353,_xlfn.TEXTBEFORE(Q352,"/",$B353,,,Q352)&amp;"/"&amp;$M353)&amp;IF(_xlfn.TEXTAFTER($D353,"..",,,,1)&lt;&gt;"1","[0]","")</f>
        <v>*/ControlResults[0]/sequenceNumber</v>
      </c>
    </row>
    <row r="354" spans="1:17" ht="12" customHeight="1" outlineLevel="2" x14ac:dyDescent="0.35">
      <c r="A354" s="2" t="str">
        <f>$E$2</f>
        <v>CC451B</v>
      </c>
      <c r="B354" s="1">
        <v>2</v>
      </c>
      <c r="C354" s="1" t="s">
        <v>19</v>
      </c>
      <c r="D354" s="2" t="s">
        <v>30</v>
      </c>
      <c r="E354" s="6" t="s">
        <v>1331</v>
      </c>
      <c r="F354" s="7" t="s">
        <v>1490</v>
      </c>
      <c r="G354" s="2" t="s">
        <v>22</v>
      </c>
      <c r="H354" s="2" t="s">
        <v>1332</v>
      </c>
      <c r="M354" s="2" t="s">
        <v>1333</v>
      </c>
      <c r="P354" s="2" t="s">
        <v>1334</v>
      </c>
      <c r="Q354" s="1" t="str">
        <f>IF($B354=0,$M354,_xlfn.TEXTBEFORE(Q353,"/",$B354,,,Q353)&amp;"/"&amp;$M354)&amp;IF(_xlfn.TEXTAFTER($D354,"..",,,,1)&lt;&gt;"1","[0]","")</f>
        <v>*/ControlResults[0]/goodsShipmentSequenceNumber</v>
      </c>
    </row>
    <row r="355" spans="1:17" ht="12" customHeight="1" outlineLevel="2" x14ac:dyDescent="0.35">
      <c r="A355" s="2" t="str">
        <f>$E$2</f>
        <v>CC451B</v>
      </c>
      <c r="B355" s="1">
        <v>2</v>
      </c>
      <c r="C355" s="1" t="s">
        <v>19</v>
      </c>
      <c r="D355" s="2" t="s">
        <v>30</v>
      </c>
      <c r="E355" s="6" t="s">
        <v>253</v>
      </c>
      <c r="F355" s="7" t="s">
        <v>1490</v>
      </c>
      <c r="G355" s="2" t="s">
        <v>22</v>
      </c>
      <c r="H355" s="2" t="s">
        <v>1332</v>
      </c>
      <c r="M355" s="2" t="s">
        <v>254</v>
      </c>
      <c r="P355" s="2" t="s">
        <v>1334</v>
      </c>
      <c r="Q355" s="1" t="str">
        <f>IF($B355=0,$M355,_xlfn.TEXTBEFORE(Q354,"/",$B355,,,Q354)&amp;"/"&amp;$M355)&amp;IF(_xlfn.TEXTAFTER($D355,"..",,,,1)&lt;&gt;"1","[0]","")</f>
        <v>*/ControlResults[0]/declarationGoodsItemNumber</v>
      </c>
    </row>
    <row r="356" spans="1:17" ht="12" customHeight="1" outlineLevel="2" x14ac:dyDescent="0.35">
      <c r="A356" s="2" t="str">
        <f>$E$2</f>
        <v>CC451B</v>
      </c>
      <c r="B356" s="1">
        <v>2</v>
      </c>
      <c r="C356" s="1" t="s">
        <v>19</v>
      </c>
      <c r="D356" s="2" t="s">
        <v>25</v>
      </c>
      <c r="E356" s="6" t="s">
        <v>1335</v>
      </c>
      <c r="F356" s="7" t="s">
        <v>325</v>
      </c>
      <c r="G356" s="2" t="s">
        <v>27</v>
      </c>
      <c r="J356" s="2" t="s">
        <v>1319</v>
      </c>
      <c r="M356" s="2" t="s">
        <v>1336</v>
      </c>
      <c r="P356" s="2" t="s">
        <v>1320</v>
      </c>
      <c r="Q356" s="1" t="str">
        <f>IF($B356=0,$M356,_xlfn.TEXTBEFORE(Q355,"/",$B356,,,Q355)&amp;"/"&amp;$M356)&amp;IF(_xlfn.TEXTAFTER($D356,"..",,,,1)&lt;&gt;"1","[0]","")</f>
        <v>*/ControlResults[0]/controlResultCode</v>
      </c>
    </row>
    <row r="357" spans="1:17" ht="12" customHeight="1" outlineLevel="2" x14ac:dyDescent="0.35">
      <c r="A357" s="3" t="str">
        <f>$E$2</f>
        <v>CC451B</v>
      </c>
      <c r="B357" s="4">
        <v>2</v>
      </c>
      <c r="C357" s="3" t="s">
        <v>24</v>
      </c>
      <c r="D357" s="3" t="s">
        <v>193</v>
      </c>
      <c r="E357" s="8" t="s">
        <v>1337</v>
      </c>
      <c r="F357" s="4"/>
      <c r="G357" s="3" t="s">
        <v>396</v>
      </c>
      <c r="H357" s="4"/>
      <c r="I357" s="3" t="s">
        <v>1338</v>
      </c>
      <c r="J357" s="4"/>
      <c r="K357" s="4"/>
      <c r="L357" s="4"/>
      <c r="M357" s="3" t="s">
        <v>1339</v>
      </c>
      <c r="N357" s="4"/>
      <c r="O357" s="4"/>
      <c r="P357" s="3" t="s">
        <v>1340</v>
      </c>
      <c r="Q357" s="1" t="str">
        <f>IF($B357=0,$M357,_xlfn.TEXTBEFORE(Q356,"/",$B357,,,Q356)&amp;"/"&amp;$M357)&amp;IF(_xlfn.TEXTAFTER($D357,"..",,,,1)&lt;&gt;"1","[0]","")</f>
        <v>*/ControlResults[0]/ResultsOfControl[0]</v>
      </c>
    </row>
    <row r="358" spans="1:17" ht="12" customHeight="1" outlineLevel="3" x14ac:dyDescent="0.35">
      <c r="A358" s="2" t="str">
        <f>$E$2</f>
        <v>CC451B</v>
      </c>
      <c r="B358" s="1">
        <v>3</v>
      </c>
      <c r="C358" s="1" t="s">
        <v>19</v>
      </c>
      <c r="D358" s="2" t="s">
        <v>25</v>
      </c>
      <c r="E358" s="9" t="s">
        <v>56</v>
      </c>
      <c r="F358" s="7" t="s">
        <v>57</v>
      </c>
      <c r="G358" s="2" t="s">
        <v>27</v>
      </c>
      <c r="H358" s="2" t="s">
        <v>393</v>
      </c>
      <c r="M358" s="2" t="s">
        <v>58</v>
      </c>
      <c r="P358" s="2" t="s">
        <v>59</v>
      </c>
      <c r="Q358" s="1" t="str">
        <f>IF($B358=0,$M358,_xlfn.TEXTBEFORE(Q357,"/",$B358,,,Q357)&amp;"/"&amp;$M358)&amp;IF(_xlfn.TEXTAFTER($D358,"..",,,,1)&lt;&gt;"1","[0]","")</f>
        <v>*/ControlResults[0]/ResultsOfControl[0]/sequenceNumber</v>
      </c>
    </row>
    <row r="359" spans="1:17" ht="12" customHeight="1" outlineLevel="3" x14ac:dyDescent="0.35">
      <c r="A359" s="2" t="str">
        <f>$E$2</f>
        <v>CC451B</v>
      </c>
      <c r="B359" s="1">
        <v>3</v>
      </c>
      <c r="C359" s="1" t="s">
        <v>19</v>
      </c>
      <c r="D359" s="2" t="s">
        <v>25</v>
      </c>
      <c r="E359" s="9" t="s">
        <v>1341</v>
      </c>
      <c r="F359" s="7" t="s">
        <v>1491</v>
      </c>
      <c r="G359" s="2" t="s">
        <v>27</v>
      </c>
      <c r="J359" s="2" t="s">
        <v>1342</v>
      </c>
      <c r="M359" s="2" t="s">
        <v>1343</v>
      </c>
      <c r="P359" s="2" t="s">
        <v>1344</v>
      </c>
      <c r="Q359" s="1" t="str">
        <f>IF($B359=0,$M359,_xlfn.TEXTBEFORE(Q358,"/",$B359,,,Q358)&amp;"/"&amp;$M359)&amp;IF(_xlfn.TEXTAFTER($D359,"..",,,,1)&lt;&gt;"1","[0]","")</f>
        <v>*/ControlResults[0]/ResultsOfControl[0]/riskAreaCode</v>
      </c>
    </row>
    <row r="360" spans="1:17" ht="12" customHeight="1" outlineLevel="3" x14ac:dyDescent="0.35">
      <c r="A360" s="2" t="str">
        <f>$E$2</f>
        <v>CC451B</v>
      </c>
      <c r="B360" s="1">
        <v>3</v>
      </c>
      <c r="C360" s="1" t="s">
        <v>19</v>
      </c>
      <c r="D360" s="2" t="s">
        <v>25</v>
      </c>
      <c r="E360" s="9" t="s">
        <v>1345</v>
      </c>
      <c r="F360" s="7" t="s">
        <v>1492</v>
      </c>
      <c r="G360" s="2" t="s">
        <v>27</v>
      </c>
      <c r="H360" s="2" t="s">
        <v>1346</v>
      </c>
      <c r="J360" s="2" t="s">
        <v>1347</v>
      </c>
      <c r="M360" s="2" t="s">
        <v>1348</v>
      </c>
      <c r="P360" s="2" t="s">
        <v>1349</v>
      </c>
      <c r="Q360" s="1" t="str">
        <f>IF($B360=0,$M360,_xlfn.TEXTBEFORE(Q359,"/",$B360,,,Q359)&amp;"/"&amp;$M360)&amp;IF(_xlfn.TEXTAFTER($D360,"..",,,,1)&lt;&gt;"1","[0]","")</f>
        <v>*/ControlResults[0]/ResultsOfControl[0]/controlType</v>
      </c>
    </row>
    <row r="361" spans="1:17" ht="12" customHeight="1" outlineLevel="3" x14ac:dyDescent="0.35">
      <c r="A361" s="2" t="str">
        <f>$E$2</f>
        <v>CC451B</v>
      </c>
      <c r="B361" s="1">
        <v>3</v>
      </c>
      <c r="C361" s="1" t="s">
        <v>19</v>
      </c>
      <c r="D361" s="2" t="s">
        <v>25</v>
      </c>
      <c r="E361" s="9" t="s">
        <v>1350</v>
      </c>
      <c r="F361" s="2" t="s">
        <v>505</v>
      </c>
      <c r="G361" s="2" t="s">
        <v>27</v>
      </c>
      <c r="H361" s="2" t="s">
        <v>786</v>
      </c>
      <c r="M361" s="2" t="s">
        <v>1351</v>
      </c>
      <c r="P361" s="2" t="s">
        <v>507</v>
      </c>
      <c r="Q361" s="1" t="str">
        <f>IF($B361=0,$M361,_xlfn.TEXTBEFORE(Q360,"/",$B361,,,Q360)&amp;"/"&amp;$M361)&amp;IF(_xlfn.TEXTAFTER($D361,"..",,,,1)&lt;&gt;"1","[0]","")</f>
        <v>*/ControlResults[0]/ResultsOfControl[0]/controlDate</v>
      </c>
    </row>
    <row r="362" spans="1:17" ht="12" customHeight="1" outlineLevel="3" x14ac:dyDescent="0.35">
      <c r="A362" s="2" t="str">
        <f>$E$2</f>
        <v>CC451B</v>
      </c>
      <c r="B362" s="1">
        <v>3</v>
      </c>
      <c r="C362" s="1" t="s">
        <v>19</v>
      </c>
      <c r="D362" s="2" t="s">
        <v>30</v>
      </c>
      <c r="E362" s="9" t="s">
        <v>1323</v>
      </c>
      <c r="F362" s="7" t="s">
        <v>216</v>
      </c>
      <c r="G362" s="2" t="s">
        <v>22</v>
      </c>
      <c r="M362" s="2" t="s">
        <v>1324</v>
      </c>
      <c r="P362" s="2" t="s">
        <v>218</v>
      </c>
      <c r="Q362" s="1" t="str">
        <f>IF($B362=0,$M362,_xlfn.TEXTBEFORE(Q361,"/",$B362,,,Q361)&amp;"/"&amp;$M362)&amp;IF(_xlfn.TEXTAFTER($D362,"..",,,,1)&lt;&gt;"1","[0]","")</f>
        <v>*/ControlResults[0]/ResultsOfControl[0]/remarks</v>
      </c>
    </row>
    <row r="363" spans="1:17" ht="12" customHeight="1" outlineLevel="3" x14ac:dyDescent="0.35">
      <c r="A363" s="3" t="str">
        <f>$E$2</f>
        <v>CC451B</v>
      </c>
      <c r="B363" s="4">
        <v>3</v>
      </c>
      <c r="C363" s="3" t="s">
        <v>24</v>
      </c>
      <c r="D363" s="3" t="s">
        <v>53</v>
      </c>
      <c r="E363" s="10" t="s">
        <v>1352</v>
      </c>
      <c r="F363" s="4"/>
      <c r="G363" s="3" t="s">
        <v>396</v>
      </c>
      <c r="H363" s="3" t="s">
        <v>1353</v>
      </c>
      <c r="I363" s="3" t="s">
        <v>1354</v>
      </c>
      <c r="J363" s="4"/>
      <c r="K363" s="4"/>
      <c r="L363" s="4"/>
      <c r="M363" s="3" t="s">
        <v>1355</v>
      </c>
      <c r="N363" s="4"/>
      <c r="O363" s="4"/>
      <c r="P363" s="3" t="s">
        <v>1356</v>
      </c>
      <c r="Q363" s="1" t="str">
        <f>IF($B363=0,$M363,_xlfn.TEXTBEFORE(Q362,"/",$B363,,,Q362)&amp;"/"&amp;$M363)&amp;IF(_xlfn.TEXTAFTER($D363,"..",,,,1)&lt;&gt;"1","[0]","")</f>
        <v>*/ControlResults[0]/ResultsOfControl[0]/ControlDetails[0]</v>
      </c>
    </row>
    <row r="364" spans="1:17" ht="12" customHeight="1" outlineLevel="4" x14ac:dyDescent="0.35">
      <c r="A364" s="2" t="str">
        <f>$E$2</f>
        <v>CC451B</v>
      </c>
      <c r="B364" s="1">
        <v>4</v>
      </c>
      <c r="C364" s="1" t="s">
        <v>19</v>
      </c>
      <c r="D364" s="2" t="s">
        <v>25</v>
      </c>
      <c r="E364" s="11" t="s">
        <v>56</v>
      </c>
      <c r="F364" s="7" t="s">
        <v>57</v>
      </c>
      <c r="G364" s="2" t="s">
        <v>27</v>
      </c>
      <c r="H364" s="2" t="s">
        <v>393</v>
      </c>
      <c r="M364" s="2" t="s">
        <v>58</v>
      </c>
      <c r="P364" s="2" t="s">
        <v>59</v>
      </c>
      <c r="Q364" s="1" t="str">
        <f>IF($B364=0,$M364,_xlfn.TEXTBEFORE(Q363,"/",$B364,,,Q363)&amp;"/"&amp;$M364)&amp;IF(_xlfn.TEXTAFTER($D364,"..",,,,1)&lt;&gt;"1","[0]","")</f>
        <v>*/ControlResults[0]/ResultsOfControl[0]/ControlDetails[0]/sequenceNumber</v>
      </c>
    </row>
    <row r="365" spans="1:17" ht="12" customHeight="1" outlineLevel="4" x14ac:dyDescent="0.35">
      <c r="A365" s="2" t="str">
        <f>$E$2</f>
        <v>CC451B</v>
      </c>
      <c r="B365" s="1">
        <v>4</v>
      </c>
      <c r="C365" s="1" t="s">
        <v>19</v>
      </c>
      <c r="D365" s="2" t="s">
        <v>25</v>
      </c>
      <c r="E365" s="11" t="s">
        <v>1357</v>
      </c>
      <c r="F365" s="7" t="s">
        <v>1493</v>
      </c>
      <c r="G365" s="2" t="s">
        <v>27</v>
      </c>
      <c r="J365" s="2" t="s">
        <v>1358</v>
      </c>
      <c r="M365" s="2" t="s">
        <v>1359</v>
      </c>
      <c r="P365" s="2" t="s">
        <v>1360</v>
      </c>
      <c r="Q365" s="1" t="str">
        <f>IF($B365=0,$M365,_xlfn.TEXTBEFORE(Q364,"/",$B365,,,Q364)&amp;"/"&amp;$M365)&amp;IF(_xlfn.TEXTAFTER($D365,"..",,,,1)&lt;&gt;"1","[0]","")</f>
        <v>*/ControlResults[0]/ResultsOfControl[0]/ControlDetails[0]/typeOfDiscrepancies</v>
      </c>
    </row>
    <row r="366" spans="1:17" ht="12" customHeight="1" outlineLevel="4" x14ac:dyDescent="0.35">
      <c r="A366" s="2" t="str">
        <f>$E$2</f>
        <v>CC451B</v>
      </c>
      <c r="B366" s="1">
        <v>4</v>
      </c>
      <c r="C366" s="1" t="s">
        <v>19</v>
      </c>
      <c r="D366" s="2" t="s">
        <v>25</v>
      </c>
      <c r="E366" s="11" t="s">
        <v>1361</v>
      </c>
      <c r="F366" s="7" t="s">
        <v>216</v>
      </c>
      <c r="G366" s="2" t="s">
        <v>27</v>
      </c>
      <c r="H366" s="2" t="s">
        <v>1362</v>
      </c>
      <c r="M366" s="2" t="s">
        <v>1363</v>
      </c>
      <c r="P366" s="2" t="s">
        <v>218</v>
      </c>
      <c r="Q366" s="1" t="str">
        <f>IF($B366=0,$M366,_xlfn.TEXTBEFORE(Q365,"/",$B366,,,Q365)&amp;"/"&amp;$M366)&amp;IF(_xlfn.TEXTAFTER($D366,"..",,,,1)&lt;&gt;"1","[0]","")</f>
        <v>*/ControlResults[0]/ResultsOfControl[0]/ControlDetails[0]/attributePointer</v>
      </c>
    </row>
    <row r="367" spans="1:17" ht="12" customHeight="1" outlineLevel="4" x14ac:dyDescent="0.35">
      <c r="A367" s="2" t="str">
        <f>$E$2</f>
        <v>CC451B</v>
      </c>
      <c r="B367" s="1">
        <v>4</v>
      </c>
      <c r="C367" s="1" t="s">
        <v>19</v>
      </c>
      <c r="D367" s="2" t="s">
        <v>30</v>
      </c>
      <c r="E367" s="11" t="s">
        <v>1364</v>
      </c>
      <c r="F367" s="7" t="s">
        <v>216</v>
      </c>
      <c r="G367" s="2" t="s">
        <v>22</v>
      </c>
      <c r="H367" s="2" t="s">
        <v>1365</v>
      </c>
      <c r="M367" s="2" t="s">
        <v>1366</v>
      </c>
      <c r="P367" s="2" t="s">
        <v>218</v>
      </c>
      <c r="Q367" s="1" t="str">
        <f>IF($B367=0,$M367,_xlfn.TEXTBEFORE(Q366,"/",$B367,,,Q366)&amp;"/"&amp;$M367)&amp;IF(_xlfn.TEXTAFTER($D367,"..",,,,1)&lt;&gt;"1","[0]","")</f>
        <v>*/ControlResults[0]/ResultsOfControl[0]/ControlDetails[0]/correctedValue</v>
      </c>
    </row>
    <row r="368" spans="1:17" ht="12" customHeight="1" outlineLevel="4" x14ac:dyDescent="0.35">
      <c r="A368" s="2" t="str">
        <f>$E$2</f>
        <v>CC451B</v>
      </c>
      <c r="B368" s="1">
        <v>4</v>
      </c>
      <c r="C368" s="1" t="s">
        <v>19</v>
      </c>
      <c r="D368" s="2" t="s">
        <v>30</v>
      </c>
      <c r="E368" s="11" t="s">
        <v>1323</v>
      </c>
      <c r="F368" s="7" t="s">
        <v>216</v>
      </c>
      <c r="G368" s="2" t="s">
        <v>396</v>
      </c>
      <c r="I368" s="2" t="s">
        <v>1367</v>
      </c>
      <c r="M368" s="2" t="s">
        <v>1324</v>
      </c>
      <c r="P368" s="2" t="s">
        <v>218</v>
      </c>
      <c r="Q368" s="1" t="str">
        <f>IF($B368=0,$M368,_xlfn.TEXTBEFORE(Q367,"/",$B368,,,Q367)&amp;"/"&amp;$M368)&amp;IF(_xlfn.TEXTAFTER($D368,"..",,,,1)&lt;&gt;"1","[0]","")</f>
        <v>*/ControlResults[0]/ResultsOfControl[0]/ControlDetails[0]/remarks</v>
      </c>
    </row>
    <row r="369" ht="12" customHeight="1" x14ac:dyDescent="0.35"/>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443D8-B250-48EF-A34B-E3B582DB1458}">
  <sheetPr codeName="Ark33">
    <tabColor rgb="FFC00000"/>
    <outlinePr summaryBelow="0" summaryRight="0"/>
  </sheetPr>
  <dimension ref="A1:R45"/>
  <sheetViews>
    <sheetView zoomScaleNormal="100" workbookViewId="0">
      <pane xSplit="1" ySplit="1" topLeftCell="D2" activePane="bottomRight" state="frozen"/>
      <selection activeCell="D2" sqref="D2"/>
      <selection pane="topRight" activeCell="D2" sqref="D2"/>
      <selection pane="bottomLeft" activeCell="D2" sqref="D2"/>
      <selection pane="bottomRight" activeCell="D2" sqref="D2"/>
    </sheetView>
  </sheetViews>
  <sheetFormatPr defaultColWidth="11.54296875" defaultRowHeight="12" outlineLevelRow="3" x14ac:dyDescent="0.35"/>
  <cols>
    <col min="1" max="3" width="0" style="1" hidden="1" customWidth="1"/>
    <col min="4" max="4" width="6.6328125" style="1" customWidth="1"/>
    <col min="5" max="5" width="70.6328125" style="1" customWidth="1"/>
    <col min="6" max="11" width="8.6328125" style="1" customWidth="1"/>
    <col min="12" max="14" width="24.6328125" style="1" customWidth="1"/>
    <col min="15" max="15" width="24.6328125" style="1" hidden="1" customWidth="1"/>
    <col min="16" max="17" width="24.6328125" style="1" customWidth="1"/>
    <col min="18" max="16384" width="11.54296875" style="1"/>
  </cols>
  <sheetData>
    <row r="1" spans="1:18" ht="12"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P1" s="1" t="s">
        <v>14</v>
      </c>
      <c r="Q1" s="1" t="s">
        <v>208</v>
      </c>
      <c r="R1" s="1" t="s">
        <v>209</v>
      </c>
    </row>
    <row r="2" spans="1:18" ht="12" customHeight="1" x14ac:dyDescent="0.35">
      <c r="A2" s="2" t="str">
        <f>$E$2</f>
        <v>CC456B</v>
      </c>
      <c r="B2" s="1">
        <v>0</v>
      </c>
      <c r="C2" s="2" t="s">
        <v>16</v>
      </c>
      <c r="E2" s="2" t="s">
        <v>1408</v>
      </c>
      <c r="M2" s="2" t="s">
        <v>17</v>
      </c>
      <c r="P2" s="2" t="s">
        <v>1409</v>
      </c>
      <c r="Q2" s="1" t="str">
        <f>IF($B2=0,$M2,_xlfn.TEXTBEFORE(Q1,"/",$B2,,,Q1)&amp;"/"&amp;$M2)&amp;IF(_xlfn.TEXTAFTER($D2,"..",,,,1)&lt;&gt;"1","[0]","")</f>
        <v>*</v>
      </c>
    </row>
    <row r="3" spans="1:18" ht="12" customHeight="1" outlineLevel="1" x14ac:dyDescent="0.35">
      <c r="A3" s="3" t="str">
        <f>$E$2</f>
        <v>CC456B</v>
      </c>
      <c r="B3" s="4">
        <v>1</v>
      </c>
      <c r="C3" s="3" t="s">
        <v>24</v>
      </c>
      <c r="D3" s="3" t="s">
        <v>20</v>
      </c>
      <c r="E3" s="5" t="s">
        <v>21</v>
      </c>
      <c r="F3" s="4"/>
      <c r="G3" s="3" t="s">
        <v>22</v>
      </c>
      <c r="H3" s="4"/>
      <c r="I3" s="4"/>
      <c r="J3" s="4"/>
      <c r="K3" s="4"/>
      <c r="L3" s="4"/>
      <c r="M3" s="3" t="s">
        <v>21</v>
      </c>
      <c r="N3" s="4"/>
      <c r="O3" s="4"/>
      <c r="P3" s="3" t="s">
        <v>23</v>
      </c>
      <c r="Q3" s="1" t="str">
        <f>IF($B3=0,$M3,_xlfn.TEXTBEFORE(Q2,"/",$B3,,,Q2)&amp;"/"&amp;$M3)&amp;IF(_xlfn.TEXTAFTER($D3,"..",,,,1)&lt;&gt;"1","[0]","")</f>
        <v>*/Extensions[0]</v>
      </c>
    </row>
    <row r="4" spans="1:18" ht="12" customHeight="1" outlineLevel="2" x14ac:dyDescent="0.35">
      <c r="A4" s="2" t="str">
        <f>$E$2</f>
        <v>CC456B</v>
      </c>
      <c r="B4" s="1">
        <v>2</v>
      </c>
      <c r="C4" s="1" t="s">
        <v>19</v>
      </c>
      <c r="D4" s="2" t="s">
        <v>25</v>
      </c>
      <c r="E4" s="6" t="s">
        <v>774</v>
      </c>
      <c r="F4" s="1" t="s">
        <v>775</v>
      </c>
      <c r="G4" s="2" t="s">
        <v>27</v>
      </c>
      <c r="M4" s="2" t="s">
        <v>776</v>
      </c>
      <c r="Q4" s="1" t="str">
        <f>IF($B4=0,$M4,_xlfn.TEXTBEFORE(Q3,"/",$B4,,,Q3)&amp;"/"&amp;$M4)&amp;IF(_xlfn.TEXTAFTER($D4,"..",,,,1)&lt;&gt;"1","[0]","")</f>
        <v>*/Extensions[0]/SequenceNumeric</v>
      </c>
    </row>
    <row r="5" spans="1:18" ht="12" customHeight="1" outlineLevel="2" x14ac:dyDescent="0.35">
      <c r="A5" s="2" t="str">
        <f>$E$2</f>
        <v>CC456B</v>
      </c>
      <c r="B5" s="1">
        <v>2</v>
      </c>
      <c r="C5" s="1" t="s">
        <v>19</v>
      </c>
      <c r="D5" s="2" t="s">
        <v>30</v>
      </c>
      <c r="E5" s="6" t="s">
        <v>777</v>
      </c>
      <c r="F5" s="1" t="s">
        <v>778</v>
      </c>
      <c r="G5" s="2" t="s">
        <v>22</v>
      </c>
      <c r="M5" s="2" t="s">
        <v>779</v>
      </c>
      <c r="Q5" s="1" t="str">
        <f>IF($B5=0,$M5,_xlfn.TEXTBEFORE(Q4,"/",$B5,,,Q4)&amp;"/"&amp;$M5)&amp;IF(_xlfn.TEXTAFTER($D5,"..",,,,1)&lt;&gt;"1","[0]","")</f>
        <v>*/Extensions[0]/ID</v>
      </c>
    </row>
    <row r="6" spans="1:18" ht="12" customHeight="1" outlineLevel="2" x14ac:dyDescent="0.35">
      <c r="A6" s="2" t="str">
        <f>$E$2</f>
        <v>CC456B</v>
      </c>
      <c r="B6" s="1">
        <v>2</v>
      </c>
      <c r="C6" s="1" t="s">
        <v>19</v>
      </c>
      <c r="D6" s="2" t="s">
        <v>25</v>
      </c>
      <c r="E6" s="6" t="s">
        <v>780</v>
      </c>
      <c r="F6" s="1" t="s">
        <v>778</v>
      </c>
      <c r="G6" s="2" t="s">
        <v>27</v>
      </c>
      <c r="M6" s="2" t="s">
        <v>780</v>
      </c>
      <c r="Q6" s="1" t="str">
        <f>IF($B6=0,$M6,_xlfn.TEXTBEFORE(Q5,"/",$B6,,,Q5)&amp;"/"&amp;$M6)&amp;IF(_xlfn.TEXTAFTER($D6,"..",,,,1)&lt;&gt;"1","[0]","")</f>
        <v>*/Extensions[0]/Key</v>
      </c>
    </row>
    <row r="7" spans="1:18" ht="12" customHeight="1" outlineLevel="2" x14ac:dyDescent="0.35">
      <c r="A7" s="2" t="str">
        <f>$E$2</f>
        <v>CC456B</v>
      </c>
      <c r="B7" s="1">
        <v>2</v>
      </c>
      <c r="C7" s="1" t="s">
        <v>19</v>
      </c>
      <c r="D7" s="2" t="s">
        <v>25</v>
      </c>
      <c r="E7" s="6" t="s">
        <v>781</v>
      </c>
      <c r="F7" s="1" t="s">
        <v>778</v>
      </c>
      <c r="G7" s="2" t="s">
        <v>27</v>
      </c>
      <c r="M7" s="2" t="s">
        <v>781</v>
      </c>
      <c r="Q7" s="1" t="str">
        <f>IF($B7=0,$M7,_xlfn.TEXTBEFORE(Q6,"/",$B7,,,Q6)&amp;"/"&amp;$M7)&amp;IF(_xlfn.TEXTAFTER($D7,"..",,,,1)&lt;&gt;"1","[0]","")</f>
        <v>*/Extensions[0]/Value</v>
      </c>
    </row>
    <row r="8" spans="1:18" ht="12" customHeight="1" outlineLevel="2" x14ac:dyDescent="0.35">
      <c r="A8" s="2" t="str">
        <f>$E$2</f>
        <v>CC456B</v>
      </c>
      <c r="B8" s="1">
        <v>2</v>
      </c>
      <c r="C8" s="1" t="s">
        <v>19</v>
      </c>
      <c r="D8" s="2" t="s">
        <v>25</v>
      </c>
      <c r="E8" s="6" t="s">
        <v>782</v>
      </c>
      <c r="F8" s="7" t="s">
        <v>783</v>
      </c>
      <c r="G8" s="2" t="s">
        <v>27</v>
      </c>
      <c r="M8" s="2" t="s">
        <v>784</v>
      </c>
      <c r="Q8" s="1" t="str">
        <f>IF($B8=0,$M8,_xlfn.TEXTBEFORE(Q7,"/",$B8,,,Q7)&amp;"/"&amp;$M8)&amp;IF(_xlfn.TEXTAFTER($D8,"..",,,,1)&lt;&gt;"1","[0]","")</f>
        <v>*/Extensions[0]/DataType</v>
      </c>
    </row>
    <row r="9" spans="1:18" ht="12" customHeight="1" outlineLevel="2" x14ac:dyDescent="0.35">
      <c r="A9" s="21" t="str">
        <f>$E$2</f>
        <v>CC456B</v>
      </c>
      <c r="B9" s="22">
        <v>2</v>
      </c>
      <c r="C9" s="22" t="s">
        <v>19</v>
      </c>
      <c r="D9" s="21" t="s">
        <v>20</v>
      </c>
      <c r="E9" s="23" t="s">
        <v>21</v>
      </c>
      <c r="F9" s="22"/>
      <c r="G9" s="21" t="s">
        <v>22</v>
      </c>
      <c r="H9" s="22"/>
      <c r="I9" s="22"/>
      <c r="J9" s="22"/>
      <c r="K9" s="22"/>
      <c r="L9" s="22"/>
      <c r="M9" s="21" t="s">
        <v>21</v>
      </c>
      <c r="N9" s="22"/>
      <c r="O9" s="22"/>
      <c r="P9" s="21" t="s">
        <v>785</v>
      </c>
      <c r="Q9" s="1" t="str">
        <f>IF($B9=0,$M9,_xlfn.TEXTBEFORE(Q8,"/",$B9,,,Q8)&amp;"/"&amp;$M9)&amp;IF(_xlfn.TEXTAFTER($D9,"..",,,,1)&lt;&gt;"1","[0]","")</f>
        <v>*/Extensions[0]/Extensions[0]</v>
      </c>
    </row>
    <row r="10" spans="1:18" ht="12" customHeight="1" outlineLevel="1" x14ac:dyDescent="0.35">
      <c r="A10" s="3" t="str">
        <f>$E$2</f>
        <v>CC456B</v>
      </c>
      <c r="B10" s="4">
        <v>1</v>
      </c>
      <c r="C10" s="3" t="s">
        <v>24</v>
      </c>
      <c r="D10" s="3" t="s">
        <v>25</v>
      </c>
      <c r="E10" s="5" t="s">
        <v>26</v>
      </c>
      <c r="F10" s="4"/>
      <c r="G10" s="3" t="s">
        <v>27</v>
      </c>
      <c r="H10" s="4"/>
      <c r="I10" s="4"/>
      <c r="J10" s="4"/>
      <c r="K10" s="4"/>
      <c r="L10" s="4"/>
      <c r="M10" s="3" t="s">
        <v>28</v>
      </c>
      <c r="N10" s="4"/>
      <c r="O10" s="4"/>
      <c r="P10" s="3" t="s">
        <v>1410</v>
      </c>
      <c r="Q10" s="1" t="str">
        <f>IF($B10=0,$M10,_xlfn.TEXTBEFORE(Q9,"/",$B10,,,Q9)&amp;"/"&amp;$M10)&amp;IF(_xlfn.TEXTAFTER($D10,"..",,,,1)&lt;&gt;"1","[0]","")</f>
        <v>*/ImportOperation</v>
      </c>
    </row>
    <row r="11" spans="1:18" ht="12" customHeight="1" outlineLevel="2" x14ac:dyDescent="0.35">
      <c r="A11" s="2" t="str">
        <f>$E$2</f>
        <v>CC456B</v>
      </c>
      <c r="B11" s="1">
        <v>2</v>
      </c>
      <c r="C11" s="1" t="s">
        <v>19</v>
      </c>
      <c r="D11" s="2" t="s">
        <v>30</v>
      </c>
      <c r="E11" s="6" t="s">
        <v>31</v>
      </c>
      <c r="F11" s="7" t="s">
        <v>32</v>
      </c>
      <c r="G11" s="2" t="s">
        <v>396</v>
      </c>
      <c r="I11" s="2" t="s">
        <v>1411</v>
      </c>
      <c r="M11" s="2" t="s">
        <v>33</v>
      </c>
      <c r="P11" s="2" t="s">
        <v>34</v>
      </c>
      <c r="Q11" s="1" t="str">
        <f>IF($B11=0,$M11,_xlfn.TEXTBEFORE(Q10,"/",$B11,,,Q10)&amp;"/"&amp;$M11)&amp;IF(_xlfn.TEXTAFTER($D11,"..",,,,1)&lt;&gt;"1","[0]","")</f>
        <v>*/ImportOperation/LRN</v>
      </c>
    </row>
    <row r="12" spans="1:18" ht="12" customHeight="1" outlineLevel="2" x14ac:dyDescent="0.35">
      <c r="A12" s="2" t="str">
        <f>$E$2</f>
        <v>CC456B</v>
      </c>
      <c r="B12" s="1">
        <v>2</v>
      </c>
      <c r="C12" s="1" t="s">
        <v>19</v>
      </c>
      <c r="D12" s="2" t="s">
        <v>30</v>
      </c>
      <c r="E12" s="6" t="s">
        <v>35</v>
      </c>
      <c r="F12" s="7" t="s">
        <v>36</v>
      </c>
      <c r="G12" s="2" t="s">
        <v>396</v>
      </c>
      <c r="I12" s="2" t="s">
        <v>1411</v>
      </c>
      <c r="M12" s="2" t="s">
        <v>37</v>
      </c>
      <c r="P12" s="2" t="s">
        <v>38</v>
      </c>
      <c r="Q12" s="1" t="str">
        <f>IF($B12=0,$M12,_xlfn.TEXTBEFORE(Q11,"/",$B12,,,Q11)&amp;"/"&amp;$M12)&amp;IF(_xlfn.TEXTAFTER($D12,"..",,,,1)&lt;&gt;"1","[0]","")</f>
        <v>*/ImportOperation/MRN</v>
      </c>
    </row>
    <row r="13" spans="1:18" ht="12" customHeight="1" outlineLevel="2" x14ac:dyDescent="0.35">
      <c r="A13" s="2" t="str">
        <f>$E$2</f>
        <v>CC456B</v>
      </c>
      <c r="B13" s="1">
        <v>2</v>
      </c>
      <c r="C13" s="1" t="s">
        <v>19</v>
      </c>
      <c r="D13" s="2" t="s">
        <v>25</v>
      </c>
      <c r="E13" s="6" t="s">
        <v>1412</v>
      </c>
      <c r="F13" s="7" t="s">
        <v>333</v>
      </c>
      <c r="G13" s="2" t="s">
        <v>27</v>
      </c>
      <c r="J13" s="2" t="s">
        <v>1413</v>
      </c>
      <c r="M13" s="2" t="s">
        <v>1414</v>
      </c>
      <c r="P13" s="2" t="s">
        <v>1415</v>
      </c>
      <c r="Q13" s="1" t="str">
        <f>IF($B13=0,$M13,_xlfn.TEXTBEFORE(Q12,"/",$B13,,,Q12)&amp;"/"&amp;$M13)&amp;IF(_xlfn.TEXTAFTER($D13,"..",,,,1)&lt;&gt;"1","[0]","")</f>
        <v>*/ImportOperation/businessRejectionType</v>
      </c>
    </row>
    <row r="14" spans="1:18" ht="12" customHeight="1" outlineLevel="2" x14ac:dyDescent="0.35">
      <c r="A14" s="2" t="str">
        <f>$E$2</f>
        <v>CC456B</v>
      </c>
      <c r="B14" s="1">
        <v>2</v>
      </c>
      <c r="C14" s="1" t="s">
        <v>19</v>
      </c>
      <c r="D14" s="2" t="s">
        <v>25</v>
      </c>
      <c r="E14" s="6" t="s">
        <v>1416</v>
      </c>
      <c r="F14" s="2" t="s">
        <v>47</v>
      </c>
      <c r="G14" s="2" t="s">
        <v>27</v>
      </c>
      <c r="H14" s="2" t="s">
        <v>786</v>
      </c>
      <c r="M14" s="2" t="s">
        <v>1417</v>
      </c>
      <c r="P14" s="2" t="s">
        <v>188</v>
      </c>
      <c r="Q14" s="1" t="str">
        <f>IF($B14=0,$M14,_xlfn.TEXTBEFORE(Q13,"/",$B14,,,Q13)&amp;"/"&amp;$M14)&amp;IF(_xlfn.TEXTAFTER($D14,"..",,,,1)&lt;&gt;"1","[0]","")</f>
        <v>*/ImportOperation/rejectionDateAndTime</v>
      </c>
    </row>
    <row r="15" spans="1:18" ht="12" customHeight="1" outlineLevel="2" x14ac:dyDescent="0.35">
      <c r="A15" s="2" t="str">
        <f>$E$2</f>
        <v>CC456B</v>
      </c>
      <c r="B15" s="1">
        <v>2</v>
      </c>
      <c r="C15" s="1" t="s">
        <v>19</v>
      </c>
      <c r="D15" s="2" t="s">
        <v>25</v>
      </c>
      <c r="E15" s="6" t="s">
        <v>1418</v>
      </c>
      <c r="F15" s="7" t="s">
        <v>177</v>
      </c>
      <c r="G15" s="2" t="s">
        <v>27</v>
      </c>
      <c r="H15" s="2" t="s">
        <v>1419</v>
      </c>
      <c r="J15" s="2" t="s">
        <v>1420</v>
      </c>
      <c r="M15" s="2" t="s">
        <v>1421</v>
      </c>
      <c r="P15" s="2" t="s">
        <v>1422</v>
      </c>
      <c r="Q15" s="1" t="str">
        <f>IF($B15=0,$M15,_xlfn.TEXTBEFORE(Q14,"/",$B15,,,Q14)&amp;"/"&amp;$M15)&amp;IF(_xlfn.TEXTAFTER($D15,"..",,,,1)&lt;&gt;"1","[0]","")</f>
        <v>*/ImportOperation/rejectionCode</v>
      </c>
    </row>
    <row r="16" spans="1:18" ht="12" customHeight="1" outlineLevel="2" x14ac:dyDescent="0.35">
      <c r="A16" s="2" t="str">
        <f>$E$2</f>
        <v>CC456B</v>
      </c>
      <c r="B16" s="1">
        <v>2</v>
      </c>
      <c r="C16" s="1" t="s">
        <v>19</v>
      </c>
      <c r="D16" s="2" t="s">
        <v>30</v>
      </c>
      <c r="E16" s="6" t="s">
        <v>1423</v>
      </c>
      <c r="F16" s="7" t="s">
        <v>216</v>
      </c>
      <c r="G16" s="2" t="s">
        <v>396</v>
      </c>
      <c r="I16" s="2" t="s">
        <v>1424</v>
      </c>
      <c r="M16" s="2" t="s">
        <v>1425</v>
      </c>
      <c r="P16" s="2" t="s">
        <v>218</v>
      </c>
      <c r="Q16" s="1" t="str">
        <f>IF($B16=0,$M16,_xlfn.TEXTBEFORE(Q15,"/",$B16,,,Q15)&amp;"/"&amp;$M16)&amp;IF(_xlfn.TEXTAFTER($D16,"..",,,,1)&lt;&gt;"1","[0]","")</f>
        <v>*/ImportOperation/rejectionReason</v>
      </c>
    </row>
    <row r="17" spans="1:17" ht="12" customHeight="1" outlineLevel="1" x14ac:dyDescent="0.35">
      <c r="A17" s="3" t="str">
        <f>$E$2</f>
        <v>CC456B</v>
      </c>
      <c r="B17" s="4">
        <v>1</v>
      </c>
      <c r="C17" s="3" t="s">
        <v>24</v>
      </c>
      <c r="D17" s="3" t="s">
        <v>30</v>
      </c>
      <c r="E17" s="5" t="s">
        <v>76</v>
      </c>
      <c r="F17" s="4"/>
      <c r="G17" s="3" t="s">
        <v>22</v>
      </c>
      <c r="H17" s="4"/>
      <c r="I17" s="4"/>
      <c r="J17" s="4"/>
      <c r="K17" s="4"/>
      <c r="L17" s="4"/>
      <c r="M17" s="3" t="s">
        <v>77</v>
      </c>
      <c r="N17" s="4"/>
      <c r="O17" s="4"/>
      <c r="P17" s="3" t="s">
        <v>78</v>
      </c>
      <c r="Q17" s="1" t="str">
        <f>IF($B17=0,$M17,_xlfn.TEXTBEFORE(Q16,"/",$B17,,,Q16)&amp;"/"&amp;$M17)&amp;IF(_xlfn.TEXTAFTER($D17,"..",,,,1)&lt;&gt;"1","[0]","")</f>
        <v>*/SupervisingCustomsOffice</v>
      </c>
    </row>
    <row r="18" spans="1:17" ht="12" customHeight="1" outlineLevel="2" x14ac:dyDescent="0.35">
      <c r="A18" s="2" t="str">
        <f>$E$2</f>
        <v>CC456B</v>
      </c>
      <c r="B18" s="1">
        <v>2</v>
      </c>
      <c r="C18" s="1" t="s">
        <v>19</v>
      </c>
      <c r="D18" s="2" t="s">
        <v>25</v>
      </c>
      <c r="E18" s="6" t="s">
        <v>63</v>
      </c>
      <c r="F18" s="7" t="s">
        <v>74</v>
      </c>
      <c r="G18" s="2" t="s">
        <v>27</v>
      </c>
      <c r="J18" s="2" t="s">
        <v>399</v>
      </c>
      <c r="M18" s="2" t="s">
        <v>65</v>
      </c>
      <c r="P18" s="2" t="s">
        <v>75</v>
      </c>
      <c r="Q18" s="1" t="str">
        <f>IF($B18=0,$M18,_xlfn.TEXTBEFORE(Q17,"/",$B18,,,Q17)&amp;"/"&amp;$M18)&amp;IF(_xlfn.TEXTAFTER($D18,"..",,,,1)&lt;&gt;"1","[0]","")</f>
        <v>*/SupervisingCustomsOffice/referenceNumber</v>
      </c>
    </row>
    <row r="19" spans="1:17" ht="12" customHeight="1" outlineLevel="1" x14ac:dyDescent="0.35">
      <c r="A19" s="3" t="str">
        <f>$E$2</f>
        <v>CC456B</v>
      </c>
      <c r="B19" s="4">
        <v>1</v>
      </c>
      <c r="C19" s="3" t="s">
        <v>24</v>
      </c>
      <c r="D19" s="3" t="s">
        <v>25</v>
      </c>
      <c r="E19" s="5" t="s">
        <v>101</v>
      </c>
      <c r="F19" s="4"/>
      <c r="G19" s="3" t="s">
        <v>27</v>
      </c>
      <c r="H19" s="4"/>
      <c r="I19" s="4"/>
      <c r="J19" s="4"/>
      <c r="K19" s="4"/>
      <c r="L19" s="4"/>
      <c r="M19" s="3" t="s">
        <v>101</v>
      </c>
      <c r="N19" s="4"/>
      <c r="O19" s="4"/>
      <c r="P19" s="3" t="s">
        <v>1496</v>
      </c>
      <c r="Q19" s="1" t="str">
        <f>IF($B19=0,$M19,_xlfn.TEXTBEFORE(Q18,"/",$B19,,,Q18)&amp;"/"&amp;$M19)&amp;IF(_xlfn.TEXTAFTER($D19,"..",,,,1)&lt;&gt;"1","[0]","")</f>
        <v>*/Declarant</v>
      </c>
    </row>
    <row r="20" spans="1:17" ht="12" customHeight="1" outlineLevel="2" x14ac:dyDescent="0.35">
      <c r="A20" s="2" t="str">
        <f>$E$2</f>
        <v>CC456B</v>
      </c>
      <c r="B20" s="1">
        <v>2</v>
      </c>
      <c r="C20" s="1" t="s">
        <v>19</v>
      </c>
      <c r="D20" s="2" t="s">
        <v>25</v>
      </c>
      <c r="E20" s="6" t="s">
        <v>81</v>
      </c>
      <c r="F20" s="7" t="s">
        <v>68</v>
      </c>
      <c r="G20" s="2" t="s">
        <v>27</v>
      </c>
      <c r="H20" s="2" t="s">
        <v>397</v>
      </c>
      <c r="M20" s="2" t="s">
        <v>82</v>
      </c>
      <c r="P20" s="2" t="s">
        <v>70</v>
      </c>
      <c r="Q20" s="1" t="str">
        <f>IF($B20=0,$M20,_xlfn.TEXTBEFORE(Q19,"/",$B20,,,Q19)&amp;"/"&amp;$M20)&amp;IF(_xlfn.TEXTAFTER($D20,"..",,,,1)&lt;&gt;"1","[0]","")</f>
        <v>*/Declarant/identificationNumber</v>
      </c>
    </row>
    <row r="21" spans="1:17" ht="12" customHeight="1" outlineLevel="2" x14ac:dyDescent="0.35">
      <c r="A21" s="2" t="str">
        <f>$E$2</f>
        <v>CC456B</v>
      </c>
      <c r="B21" s="1">
        <v>2</v>
      </c>
      <c r="C21" s="1" t="s">
        <v>19</v>
      </c>
      <c r="D21" s="2" t="s">
        <v>30</v>
      </c>
      <c r="E21" s="6" t="s">
        <v>4</v>
      </c>
      <c r="F21" s="7" t="s">
        <v>83</v>
      </c>
      <c r="G21" s="2" t="s">
        <v>396</v>
      </c>
      <c r="I21" s="2" t="s">
        <v>401</v>
      </c>
      <c r="M21" s="2" t="s">
        <v>84</v>
      </c>
      <c r="P21" s="2" t="s">
        <v>85</v>
      </c>
      <c r="Q21" s="1" t="str">
        <f>IF($B21=0,$M21,_xlfn.TEXTBEFORE(Q20,"/",$B21,,,Q20)&amp;"/"&amp;$M21)&amp;IF(_xlfn.TEXTAFTER($D21,"..",,,,1)&lt;&gt;"1","[0]","")</f>
        <v>*/Declarant/name</v>
      </c>
    </row>
    <row r="22" spans="1:17" ht="12" customHeight="1" outlineLevel="2" x14ac:dyDescent="0.35">
      <c r="A22" s="3" t="str">
        <f>$E$2</f>
        <v>CC456B</v>
      </c>
      <c r="B22" s="4">
        <v>2</v>
      </c>
      <c r="C22" s="3" t="s">
        <v>24</v>
      </c>
      <c r="D22" s="3" t="s">
        <v>30</v>
      </c>
      <c r="E22" s="8" t="s">
        <v>86</v>
      </c>
      <c r="F22" s="4"/>
      <c r="G22" s="3" t="s">
        <v>396</v>
      </c>
      <c r="H22" s="4"/>
      <c r="I22" s="3" t="s">
        <v>401</v>
      </c>
      <c r="J22" s="4"/>
      <c r="K22" s="4"/>
      <c r="L22" s="4"/>
      <c r="M22" s="3" t="s">
        <v>86</v>
      </c>
      <c r="N22" s="4"/>
      <c r="O22" s="4"/>
      <c r="P22" s="3" t="s">
        <v>87</v>
      </c>
      <c r="Q22" s="1" t="str">
        <f>IF($B22=0,$M22,_xlfn.TEXTBEFORE(Q21,"/",$B22,,,Q21)&amp;"/"&amp;$M22)&amp;IF(_xlfn.TEXTAFTER($D22,"..",,,,1)&lt;&gt;"1","[0]","")</f>
        <v>*/Declarant/Address</v>
      </c>
    </row>
    <row r="23" spans="1:17" ht="12" customHeight="1" outlineLevel="3" x14ac:dyDescent="0.35">
      <c r="A23" s="2" t="str">
        <f>$E$2</f>
        <v>CC456B</v>
      </c>
      <c r="B23" s="1">
        <v>3</v>
      </c>
      <c r="C23" s="1" t="s">
        <v>19</v>
      </c>
      <c r="D23" s="2" t="s">
        <v>25</v>
      </c>
      <c r="E23" s="9" t="s">
        <v>88</v>
      </c>
      <c r="F23" s="7" t="s">
        <v>83</v>
      </c>
      <c r="G23" s="2" t="s">
        <v>27</v>
      </c>
      <c r="M23" s="2" t="s">
        <v>89</v>
      </c>
      <c r="P23" s="2" t="s">
        <v>90</v>
      </c>
      <c r="Q23" s="1" t="str">
        <f>IF($B23=0,$M23,_xlfn.TEXTBEFORE(Q22,"/",$B23,,,Q22)&amp;"/"&amp;$M23)&amp;IF(_xlfn.TEXTAFTER($D23,"..",,,,1)&lt;&gt;"1","[0]","")</f>
        <v>*/Declarant/Address/streetAndNumber</v>
      </c>
    </row>
    <row r="24" spans="1:17" ht="12" customHeight="1" outlineLevel="3" x14ac:dyDescent="0.35">
      <c r="A24" s="2" t="str">
        <f>$E$2</f>
        <v>CC456B</v>
      </c>
      <c r="B24" s="1">
        <v>3</v>
      </c>
      <c r="C24" s="1" t="s">
        <v>19</v>
      </c>
      <c r="D24" s="2" t="s">
        <v>30</v>
      </c>
      <c r="E24" s="9" t="s">
        <v>91</v>
      </c>
      <c r="F24" s="7" t="s">
        <v>92</v>
      </c>
      <c r="G24" s="2" t="s">
        <v>396</v>
      </c>
      <c r="I24" s="2" t="s">
        <v>402</v>
      </c>
      <c r="M24" s="2" t="s">
        <v>93</v>
      </c>
      <c r="P24" s="2" t="s">
        <v>94</v>
      </c>
      <c r="Q24" s="1" t="str">
        <f>IF($B24=0,$M24,_xlfn.TEXTBEFORE(Q23,"/",$B24,,,Q23)&amp;"/"&amp;$M24)&amp;IF(_xlfn.TEXTAFTER($D24,"..",,,,1)&lt;&gt;"1","[0]","")</f>
        <v>*/Declarant/Address/postcode</v>
      </c>
    </row>
    <row r="25" spans="1:17" ht="12" customHeight="1" outlineLevel="3" x14ac:dyDescent="0.35">
      <c r="A25" s="2" t="str">
        <f>$E$2</f>
        <v>CC456B</v>
      </c>
      <c r="B25" s="1">
        <v>3</v>
      </c>
      <c r="C25" s="1" t="s">
        <v>19</v>
      </c>
      <c r="D25" s="2" t="s">
        <v>25</v>
      </c>
      <c r="E25" s="9" t="s">
        <v>95</v>
      </c>
      <c r="F25" s="7" t="s">
        <v>96</v>
      </c>
      <c r="G25" s="2" t="s">
        <v>27</v>
      </c>
      <c r="M25" s="2" t="s">
        <v>97</v>
      </c>
      <c r="P25" s="2" t="s">
        <v>98</v>
      </c>
      <c r="Q25" s="1" t="str">
        <f>IF($B25=0,$M25,_xlfn.TEXTBEFORE(Q24,"/",$B25,,,Q24)&amp;"/"&amp;$M25)&amp;IF(_xlfn.TEXTAFTER($D25,"..",,,,1)&lt;&gt;"1","[0]","")</f>
        <v>*/Declarant/Address/city</v>
      </c>
    </row>
    <row r="26" spans="1:17" ht="12" customHeight="1" outlineLevel="3" x14ac:dyDescent="0.35">
      <c r="A26" s="2" t="str">
        <f>$E$2</f>
        <v>CC456B</v>
      </c>
      <c r="B26" s="1">
        <v>3</v>
      </c>
      <c r="C26" s="1" t="s">
        <v>19</v>
      </c>
      <c r="D26" s="2" t="s">
        <v>25</v>
      </c>
      <c r="E26" s="9" t="s">
        <v>99</v>
      </c>
      <c r="F26" s="7" t="s">
        <v>50</v>
      </c>
      <c r="G26" s="2" t="s">
        <v>27</v>
      </c>
      <c r="J26" s="2" t="s">
        <v>403</v>
      </c>
      <c r="M26" s="2" t="s">
        <v>100</v>
      </c>
      <c r="P26" s="2" t="s">
        <v>52</v>
      </c>
      <c r="Q26" s="1" t="str">
        <f>IF($B26=0,$M26,_xlfn.TEXTBEFORE(Q25,"/",$B26,,,Q25)&amp;"/"&amp;$M26)&amp;IF(_xlfn.TEXTAFTER($D26,"..",,,,1)&lt;&gt;"1","[0]","")</f>
        <v>*/Declarant/Address/country</v>
      </c>
    </row>
    <row r="27" spans="1:17" ht="12" customHeight="1" outlineLevel="2" x14ac:dyDescent="0.35">
      <c r="A27" s="3" t="str">
        <f>$E$2</f>
        <v>CC456B</v>
      </c>
      <c r="B27" s="4">
        <v>2</v>
      </c>
      <c r="C27" s="3" t="s">
        <v>24</v>
      </c>
      <c r="D27" s="3" t="s">
        <v>30</v>
      </c>
      <c r="E27" s="8" t="s">
        <v>105</v>
      </c>
      <c r="F27" s="4"/>
      <c r="G27" s="3" t="s">
        <v>22</v>
      </c>
      <c r="H27" s="3" t="s">
        <v>409</v>
      </c>
      <c r="I27" s="4"/>
      <c r="J27" s="4"/>
      <c r="K27" s="4"/>
      <c r="L27" s="4"/>
      <c r="M27" s="3" t="s">
        <v>106</v>
      </c>
      <c r="N27" s="4"/>
      <c r="O27" s="4"/>
      <c r="P27" s="3" t="s">
        <v>107</v>
      </c>
      <c r="Q27" s="1" t="str">
        <f>IF($B27=0,$M27,_xlfn.TEXTBEFORE(Q26,"/",$B27,,,Q26)&amp;"/"&amp;$M27)&amp;IF(_xlfn.TEXTAFTER($D27,"..",,,,1)&lt;&gt;"1","[0]","")</f>
        <v>*/Declarant/ContactPerson</v>
      </c>
    </row>
    <row r="28" spans="1:17" ht="12" customHeight="1" outlineLevel="3" x14ac:dyDescent="0.35">
      <c r="A28" s="2" t="str">
        <f>$E$2</f>
        <v>CC456B</v>
      </c>
      <c r="B28" s="1">
        <v>3</v>
      </c>
      <c r="C28" s="1" t="s">
        <v>19</v>
      </c>
      <c r="D28" s="2" t="s">
        <v>25</v>
      </c>
      <c r="E28" s="9" t="s">
        <v>4</v>
      </c>
      <c r="F28" s="7" t="s">
        <v>83</v>
      </c>
      <c r="G28" s="2" t="s">
        <v>27</v>
      </c>
      <c r="M28" s="2" t="s">
        <v>84</v>
      </c>
      <c r="P28" s="2" t="s">
        <v>85</v>
      </c>
      <c r="Q28" s="1" t="str">
        <f>IF($B28=0,$M28,_xlfn.TEXTBEFORE(Q27,"/",$B28,,,Q27)&amp;"/"&amp;$M28)&amp;IF(_xlfn.TEXTAFTER($D28,"..",,,,1)&lt;&gt;"1","[0]","")</f>
        <v>*/Declarant/ContactPerson/name</v>
      </c>
    </row>
    <row r="29" spans="1:17" ht="12" customHeight="1" outlineLevel="3" x14ac:dyDescent="0.35">
      <c r="A29" s="2" t="str">
        <f>$E$2</f>
        <v>CC456B</v>
      </c>
      <c r="B29" s="1">
        <v>3</v>
      </c>
      <c r="C29" s="1" t="s">
        <v>19</v>
      </c>
      <c r="D29" s="2" t="s">
        <v>25</v>
      </c>
      <c r="E29" s="9" t="s">
        <v>108</v>
      </c>
      <c r="F29" s="7" t="s">
        <v>96</v>
      </c>
      <c r="G29" s="2" t="s">
        <v>27</v>
      </c>
      <c r="M29" s="2" t="s">
        <v>109</v>
      </c>
      <c r="P29" s="2" t="s">
        <v>110</v>
      </c>
      <c r="Q29" s="1" t="str">
        <f>IF($B29=0,$M29,_xlfn.TEXTBEFORE(Q28,"/",$B29,,,Q28)&amp;"/"&amp;$M29)&amp;IF(_xlfn.TEXTAFTER($D29,"..",,,,1)&lt;&gt;"1","[0]","")</f>
        <v>*/Declarant/ContactPerson/phoneNumber</v>
      </c>
    </row>
    <row r="30" spans="1:17" ht="12" customHeight="1" outlineLevel="3" x14ac:dyDescent="0.35">
      <c r="A30" s="2" t="str">
        <f>$E$2</f>
        <v>CC456B</v>
      </c>
      <c r="B30" s="1">
        <v>3</v>
      </c>
      <c r="C30" s="1" t="s">
        <v>19</v>
      </c>
      <c r="D30" s="2" t="s">
        <v>25</v>
      </c>
      <c r="E30" s="9" t="s">
        <v>111</v>
      </c>
      <c r="F30" s="7" t="s">
        <v>112</v>
      </c>
      <c r="G30" s="2" t="s">
        <v>27</v>
      </c>
      <c r="M30" s="2" t="s">
        <v>113</v>
      </c>
      <c r="P30" s="2" t="s">
        <v>114</v>
      </c>
      <c r="Q30" s="1" t="str">
        <f>IF($B30=0,$M30,_xlfn.TEXTBEFORE(Q29,"/",$B30,,,Q29)&amp;"/"&amp;$M30)&amp;IF(_xlfn.TEXTAFTER($D30,"..",,,,1)&lt;&gt;"1","[0]","")</f>
        <v>*/Declarant/ContactPerson/eMailAddress</v>
      </c>
    </row>
    <row r="31" spans="1:17" ht="12" customHeight="1" outlineLevel="1" x14ac:dyDescent="0.35">
      <c r="A31" s="3" t="str">
        <f>$E$2</f>
        <v>CC456B</v>
      </c>
      <c r="B31" s="4">
        <v>1</v>
      </c>
      <c r="C31" s="3" t="s">
        <v>24</v>
      </c>
      <c r="D31" s="3" t="s">
        <v>30</v>
      </c>
      <c r="E31" s="5" t="s">
        <v>121</v>
      </c>
      <c r="F31" s="4"/>
      <c r="G31" s="3" t="s">
        <v>22</v>
      </c>
      <c r="H31" s="4"/>
      <c r="I31" s="4"/>
      <c r="J31" s="4"/>
      <c r="K31" s="4"/>
      <c r="L31" s="4"/>
      <c r="M31" s="3" t="s">
        <v>121</v>
      </c>
      <c r="N31" s="4"/>
      <c r="O31" s="4"/>
      <c r="P31" s="3" t="s">
        <v>1240</v>
      </c>
      <c r="Q31" s="1" t="str">
        <f>IF($B31=0,$M31,_xlfn.TEXTBEFORE(Q30,"/",$B31,,,Q30)&amp;"/"&amp;$M31)&amp;IF(_xlfn.TEXTAFTER($D31,"..",,,,1)&lt;&gt;"1","[0]","")</f>
        <v>*/Representative</v>
      </c>
    </row>
    <row r="32" spans="1:17" ht="12" customHeight="1" outlineLevel="2" x14ac:dyDescent="0.35">
      <c r="A32" s="2" t="str">
        <f>$E$2</f>
        <v>CC456B</v>
      </c>
      <c r="B32" s="1">
        <v>2</v>
      </c>
      <c r="C32" s="1" t="s">
        <v>19</v>
      </c>
      <c r="D32" s="2" t="s">
        <v>25</v>
      </c>
      <c r="E32" s="6" t="s">
        <v>81</v>
      </c>
      <c r="F32" s="7" t="s">
        <v>68</v>
      </c>
      <c r="G32" s="2" t="s">
        <v>27</v>
      </c>
      <c r="H32" s="2" t="s">
        <v>788</v>
      </c>
      <c r="M32" s="2" t="s">
        <v>82</v>
      </c>
      <c r="P32" s="2" t="s">
        <v>70</v>
      </c>
      <c r="Q32" s="1" t="str">
        <f>IF($B32=0,$M32,_xlfn.TEXTBEFORE(Q31,"/",$B32,,,Q31)&amp;"/"&amp;$M32)&amp;IF(_xlfn.TEXTAFTER($D32,"..",,,,1)&lt;&gt;"1","[0]","")</f>
        <v>*/Representative/identificationNumber</v>
      </c>
    </row>
    <row r="33" spans="1:17" ht="12" customHeight="1" outlineLevel="2" x14ac:dyDescent="0.35">
      <c r="A33" s="2" t="str">
        <f>$E$2</f>
        <v>CC456B</v>
      </c>
      <c r="B33" s="1">
        <v>2</v>
      </c>
      <c r="C33" s="1" t="s">
        <v>19</v>
      </c>
      <c r="D33" s="2" t="s">
        <v>25</v>
      </c>
      <c r="E33" s="6" t="s">
        <v>6</v>
      </c>
      <c r="F33" s="7" t="s">
        <v>123</v>
      </c>
      <c r="G33" s="2" t="s">
        <v>27</v>
      </c>
      <c r="H33" s="2" t="s">
        <v>407</v>
      </c>
      <c r="J33" s="2" t="s">
        <v>408</v>
      </c>
      <c r="M33" s="2" t="s">
        <v>124</v>
      </c>
      <c r="P33" s="2" t="s">
        <v>125</v>
      </c>
      <c r="Q33" s="1" t="str">
        <f>IF($B33=0,$M33,_xlfn.TEXTBEFORE(Q32,"/",$B33,,,Q32)&amp;"/"&amp;$M33)&amp;IF(_xlfn.TEXTAFTER($D33,"..",,,,1)&lt;&gt;"1","[0]","")</f>
        <v>*/Representative/status</v>
      </c>
    </row>
    <row r="34" spans="1:17" ht="12" customHeight="1" outlineLevel="2" x14ac:dyDescent="0.35">
      <c r="A34" s="3" t="str">
        <f>$E$2</f>
        <v>CC456B</v>
      </c>
      <c r="B34" s="4">
        <v>2</v>
      </c>
      <c r="C34" s="3" t="s">
        <v>24</v>
      </c>
      <c r="D34" s="3" t="s">
        <v>30</v>
      </c>
      <c r="E34" s="8" t="s">
        <v>105</v>
      </c>
      <c r="F34" s="4"/>
      <c r="G34" s="3" t="s">
        <v>22</v>
      </c>
      <c r="H34" s="3" t="s">
        <v>409</v>
      </c>
      <c r="I34" s="4"/>
      <c r="J34" s="4"/>
      <c r="K34" s="4"/>
      <c r="L34" s="4"/>
      <c r="M34" s="3" t="s">
        <v>106</v>
      </c>
      <c r="N34" s="4"/>
      <c r="O34" s="4"/>
      <c r="P34" s="3" t="s">
        <v>107</v>
      </c>
      <c r="Q34" s="1" t="str">
        <f>IF($B34=0,$M34,_xlfn.TEXTBEFORE(Q33,"/",$B34,,,Q33)&amp;"/"&amp;$M34)&amp;IF(_xlfn.TEXTAFTER($D34,"..",,,,1)&lt;&gt;"1","[0]","")</f>
        <v>*/Representative/ContactPerson</v>
      </c>
    </row>
    <row r="35" spans="1:17" ht="12" customHeight="1" outlineLevel="3" x14ac:dyDescent="0.35">
      <c r="A35" s="2" t="str">
        <f>$E$2</f>
        <v>CC456B</v>
      </c>
      <c r="B35" s="1">
        <v>3</v>
      </c>
      <c r="C35" s="1" t="s">
        <v>19</v>
      </c>
      <c r="D35" s="2" t="s">
        <v>25</v>
      </c>
      <c r="E35" s="9" t="s">
        <v>4</v>
      </c>
      <c r="F35" s="7" t="s">
        <v>83</v>
      </c>
      <c r="G35" s="2" t="s">
        <v>27</v>
      </c>
      <c r="M35" s="2" t="s">
        <v>84</v>
      </c>
      <c r="P35" s="2" t="s">
        <v>85</v>
      </c>
      <c r="Q35" s="1" t="str">
        <f>IF($B35=0,$M35,_xlfn.TEXTBEFORE(Q34,"/",$B35,,,Q34)&amp;"/"&amp;$M35)&amp;IF(_xlfn.TEXTAFTER($D35,"..",,,,1)&lt;&gt;"1","[0]","")</f>
        <v>*/Representative/ContactPerson/name</v>
      </c>
    </row>
    <row r="36" spans="1:17" ht="12" customHeight="1" outlineLevel="3" x14ac:dyDescent="0.35">
      <c r="A36" s="2" t="str">
        <f>$E$2</f>
        <v>CC456B</v>
      </c>
      <c r="B36" s="1">
        <v>3</v>
      </c>
      <c r="C36" s="1" t="s">
        <v>19</v>
      </c>
      <c r="D36" s="2" t="s">
        <v>25</v>
      </c>
      <c r="E36" s="9" t="s">
        <v>108</v>
      </c>
      <c r="F36" s="7" t="s">
        <v>96</v>
      </c>
      <c r="G36" s="2" t="s">
        <v>27</v>
      </c>
      <c r="M36" s="2" t="s">
        <v>109</v>
      </c>
      <c r="P36" s="2" t="s">
        <v>110</v>
      </c>
      <c r="Q36" s="1" t="str">
        <f>IF($B36=0,$M36,_xlfn.TEXTBEFORE(Q35,"/",$B36,,,Q35)&amp;"/"&amp;$M36)&amp;IF(_xlfn.TEXTAFTER($D36,"..",,,,1)&lt;&gt;"1","[0]","")</f>
        <v>*/Representative/ContactPerson/phoneNumber</v>
      </c>
    </row>
    <row r="37" spans="1:17" ht="12" customHeight="1" outlineLevel="3" x14ac:dyDescent="0.35">
      <c r="A37" s="2" t="str">
        <f>$E$2</f>
        <v>CC456B</v>
      </c>
      <c r="B37" s="1">
        <v>3</v>
      </c>
      <c r="C37" s="1" t="s">
        <v>19</v>
      </c>
      <c r="D37" s="2" t="s">
        <v>25</v>
      </c>
      <c r="E37" s="9" t="s">
        <v>111</v>
      </c>
      <c r="F37" s="7" t="s">
        <v>112</v>
      </c>
      <c r="G37" s="2" t="s">
        <v>27</v>
      </c>
      <c r="M37" s="2" t="s">
        <v>113</v>
      </c>
      <c r="P37" s="2" t="s">
        <v>114</v>
      </c>
      <c r="Q37" s="1" t="str">
        <f>IF($B37=0,$M37,_xlfn.TEXTBEFORE(Q36,"/",$B37,,,Q36)&amp;"/"&amp;$M37)&amp;IF(_xlfn.TEXTAFTER($D37,"..",,,,1)&lt;&gt;"1","[0]","")</f>
        <v>*/Representative/ContactPerson/eMailAddress</v>
      </c>
    </row>
    <row r="38" spans="1:17" ht="12" customHeight="1" outlineLevel="1" x14ac:dyDescent="0.35">
      <c r="A38" s="3" t="str">
        <f>$E$2</f>
        <v>CC456B</v>
      </c>
      <c r="B38" s="4">
        <v>1</v>
      </c>
      <c r="C38" s="3" t="s">
        <v>24</v>
      </c>
      <c r="D38" s="3" t="s">
        <v>314</v>
      </c>
      <c r="E38" s="5" t="s">
        <v>1426</v>
      </c>
      <c r="F38" s="4"/>
      <c r="G38" s="3" t="s">
        <v>396</v>
      </c>
      <c r="H38" s="3" t="s">
        <v>1427</v>
      </c>
      <c r="I38" s="3" t="s">
        <v>1428</v>
      </c>
      <c r="J38" s="4"/>
      <c r="K38" s="4"/>
      <c r="L38" s="4"/>
      <c r="M38" s="3" t="s">
        <v>1429</v>
      </c>
      <c r="N38" s="4"/>
      <c r="O38" s="4"/>
      <c r="P38" s="3" t="s">
        <v>1430</v>
      </c>
      <c r="Q38" s="1" t="str">
        <f>IF($B38=0,$M38,_xlfn.TEXTBEFORE(Q37,"/",$B38,,,Q37)&amp;"/"&amp;$M38)&amp;IF(_xlfn.TEXTAFTER($D38,"..",,,,1)&lt;&gt;"1","[0]","")</f>
        <v>*/FunctionalError[0]</v>
      </c>
    </row>
    <row r="39" spans="1:17" ht="12" customHeight="1" outlineLevel="2" x14ac:dyDescent="0.35">
      <c r="A39" s="2" t="str">
        <f>$E$2</f>
        <v>CC456B</v>
      </c>
      <c r="B39" s="1">
        <v>2</v>
      </c>
      <c r="C39" s="1" t="s">
        <v>19</v>
      </c>
      <c r="D39" s="2" t="s">
        <v>25</v>
      </c>
      <c r="E39" s="6" t="s">
        <v>56</v>
      </c>
      <c r="F39" s="7" t="s">
        <v>57</v>
      </c>
      <c r="G39" s="2" t="s">
        <v>27</v>
      </c>
      <c r="H39" s="2" t="s">
        <v>393</v>
      </c>
      <c r="M39" s="2" t="s">
        <v>58</v>
      </c>
      <c r="P39" s="2" t="s">
        <v>59</v>
      </c>
      <c r="Q39" s="1" t="str">
        <f>IF($B39=0,$M39,_xlfn.TEXTBEFORE(Q38,"/",$B39,,,Q38)&amp;"/"&amp;$M39)&amp;IF(_xlfn.TEXTAFTER($D39,"..",,,,1)&lt;&gt;"1","[0]","")</f>
        <v>*/FunctionalError[0]/sequenceNumber</v>
      </c>
    </row>
    <row r="40" spans="1:17" ht="12" customHeight="1" outlineLevel="2" x14ac:dyDescent="0.35">
      <c r="A40" s="2" t="str">
        <f>$E$2</f>
        <v>CC456B</v>
      </c>
      <c r="B40" s="1">
        <v>2</v>
      </c>
      <c r="C40" s="1" t="s">
        <v>19</v>
      </c>
      <c r="D40" s="2" t="s">
        <v>25</v>
      </c>
      <c r="E40" s="6" t="s">
        <v>1431</v>
      </c>
      <c r="F40" s="7" t="s">
        <v>216</v>
      </c>
      <c r="G40" s="2" t="s">
        <v>27</v>
      </c>
      <c r="H40" s="2" t="s">
        <v>1432</v>
      </c>
      <c r="M40" s="2" t="s">
        <v>1433</v>
      </c>
      <c r="P40" s="2" t="s">
        <v>218</v>
      </c>
      <c r="Q40" s="1" t="str">
        <f>IF($B40=0,$M40,_xlfn.TEXTBEFORE(Q39,"/",$B40,,,Q39)&amp;"/"&amp;$M40)&amp;IF(_xlfn.TEXTAFTER($D40,"..",,,,1)&lt;&gt;"1","[0]","")</f>
        <v>*/FunctionalError[0]/errorPointer</v>
      </c>
    </row>
    <row r="41" spans="1:17" ht="12" customHeight="1" outlineLevel="2" x14ac:dyDescent="0.35">
      <c r="A41" s="2" t="str">
        <f>$E$2</f>
        <v>CC456B</v>
      </c>
      <c r="B41" s="1">
        <v>2</v>
      </c>
      <c r="C41" s="1" t="s">
        <v>19</v>
      </c>
      <c r="D41" s="2" t="s">
        <v>25</v>
      </c>
      <c r="E41" s="6" t="s">
        <v>1434</v>
      </c>
      <c r="F41" s="7" t="s">
        <v>132</v>
      </c>
      <c r="G41" s="2" t="s">
        <v>27</v>
      </c>
      <c r="J41" s="2" t="s">
        <v>1435</v>
      </c>
      <c r="M41" s="2" t="s">
        <v>1436</v>
      </c>
      <c r="P41" s="2" t="s">
        <v>1437</v>
      </c>
      <c r="Q41" s="1" t="str">
        <f>IF($B41=0,$M41,_xlfn.TEXTBEFORE(Q40,"/",$B41,,,Q40)&amp;"/"&amp;$M41)&amp;IF(_xlfn.TEXTAFTER($D41,"..",,,,1)&lt;&gt;"1","[0]","")</f>
        <v>*/FunctionalError[0]/errorCode</v>
      </c>
    </row>
    <row r="42" spans="1:17" ht="12" customHeight="1" outlineLevel="2" x14ac:dyDescent="0.35">
      <c r="A42" s="2" t="str">
        <f>$E$2</f>
        <v>CC456B</v>
      </c>
      <c r="B42" s="1">
        <v>2</v>
      </c>
      <c r="C42" s="1" t="s">
        <v>19</v>
      </c>
      <c r="D42" s="2" t="s">
        <v>25</v>
      </c>
      <c r="E42" s="6" t="s">
        <v>1438</v>
      </c>
      <c r="F42" s="7" t="s">
        <v>1494</v>
      </c>
      <c r="G42" s="2" t="s">
        <v>27</v>
      </c>
      <c r="H42" s="2" t="s">
        <v>1439</v>
      </c>
      <c r="M42" s="2" t="s">
        <v>1440</v>
      </c>
      <c r="P42" s="2" t="s">
        <v>1441</v>
      </c>
      <c r="Q42" s="1" t="str">
        <f>IF($B42=0,$M42,_xlfn.TEXTBEFORE(Q41,"/",$B42,,,Q41)&amp;"/"&amp;$M42)&amp;IF(_xlfn.TEXTAFTER($D42,"..",,,,1)&lt;&gt;"1","[0]","")</f>
        <v>*/FunctionalError[0]/errorReason</v>
      </c>
    </row>
    <row r="43" spans="1:17" ht="12" customHeight="1" outlineLevel="2" x14ac:dyDescent="0.35">
      <c r="A43" s="2" t="str">
        <f>$E$2</f>
        <v>CC456B</v>
      </c>
      <c r="B43" s="1">
        <v>2</v>
      </c>
      <c r="C43" s="1" t="s">
        <v>19</v>
      </c>
      <c r="D43" s="2" t="s">
        <v>30</v>
      </c>
      <c r="E43" s="6" t="s">
        <v>1323</v>
      </c>
      <c r="F43" s="7" t="s">
        <v>216</v>
      </c>
      <c r="G43" s="2" t="s">
        <v>396</v>
      </c>
      <c r="I43" s="2" t="s">
        <v>1442</v>
      </c>
      <c r="M43" s="2" t="s">
        <v>1324</v>
      </c>
      <c r="P43" s="2" t="s">
        <v>218</v>
      </c>
      <c r="Q43" s="1" t="str">
        <f>IF($B43=0,$M43,_xlfn.TEXTBEFORE(Q42,"/",$B43,,,Q42)&amp;"/"&amp;$M43)&amp;IF(_xlfn.TEXTAFTER($D43,"..",,,,1)&lt;&gt;"1","[0]","")</f>
        <v>*/FunctionalError[0]/remarks</v>
      </c>
    </row>
    <row r="44" spans="1:17" ht="12" customHeight="1" outlineLevel="2" x14ac:dyDescent="0.35">
      <c r="A44" s="2" t="str">
        <f>$E$2</f>
        <v>CC456B</v>
      </c>
      <c r="B44" s="1">
        <v>2</v>
      </c>
      <c r="C44" s="1" t="s">
        <v>19</v>
      </c>
      <c r="D44" s="2" t="s">
        <v>30</v>
      </c>
      <c r="E44" s="6" t="s">
        <v>1443</v>
      </c>
      <c r="F44" s="7" t="s">
        <v>216</v>
      </c>
      <c r="G44" s="2" t="s">
        <v>22</v>
      </c>
      <c r="M44" s="2" t="s">
        <v>1444</v>
      </c>
      <c r="P44" s="2" t="s">
        <v>218</v>
      </c>
      <c r="Q44" s="1" t="str">
        <f>IF($B44=0,$M44,_xlfn.TEXTBEFORE(Q43,"/",$B44,,,Q43)&amp;"/"&amp;$M44)&amp;IF(_xlfn.TEXTAFTER($D44,"..",,,,1)&lt;&gt;"1","[0]","")</f>
        <v>*/FunctionalError[0]/originalAttributeValue</v>
      </c>
    </row>
    <row r="45" spans="1:17" ht="12" customHeight="1" x14ac:dyDescent="0.35"/>
  </sheetData>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D8E8B-57AC-435D-92AF-2B268CC5E8E1}">
  <sheetPr codeName="Ark34">
    <tabColor rgb="FFC00000"/>
    <outlinePr summaryBelow="0" summaryRight="0"/>
  </sheetPr>
  <dimension ref="A1:R27"/>
  <sheetViews>
    <sheetView zoomScaleNormal="100" workbookViewId="0">
      <pane xSplit="1" ySplit="1" topLeftCell="D2" activePane="bottomRight" state="frozen"/>
      <selection activeCell="D2" sqref="D2"/>
      <selection pane="topRight" activeCell="D2" sqref="D2"/>
      <selection pane="bottomLeft" activeCell="D2" sqref="D2"/>
      <selection pane="bottomRight" activeCell="D2" sqref="D2"/>
    </sheetView>
  </sheetViews>
  <sheetFormatPr defaultColWidth="11.54296875" defaultRowHeight="12" outlineLevelRow="3" x14ac:dyDescent="0.35"/>
  <cols>
    <col min="1" max="3" width="0" style="1" hidden="1" customWidth="1"/>
    <col min="4" max="4" width="6.6328125" style="1" customWidth="1"/>
    <col min="5" max="5" width="70.6328125" style="1" customWidth="1"/>
    <col min="6" max="11" width="8.6328125" style="1" customWidth="1"/>
    <col min="12" max="14" width="24.6328125" style="1" customWidth="1"/>
    <col min="15" max="15" width="24.6328125" style="1" hidden="1" customWidth="1"/>
    <col min="16" max="17" width="24.6328125" style="1" customWidth="1"/>
    <col min="18" max="16384" width="11.54296875" style="1"/>
  </cols>
  <sheetData>
    <row r="1" spans="1:18" ht="12"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P1" s="1" t="s">
        <v>14</v>
      </c>
      <c r="Q1" s="1" t="s">
        <v>208</v>
      </c>
      <c r="R1" s="1" t="s">
        <v>209</v>
      </c>
    </row>
    <row r="2" spans="1:18" ht="12" customHeight="1" x14ac:dyDescent="0.35">
      <c r="A2" s="2" t="str">
        <f>$E$2</f>
        <v>CC457B</v>
      </c>
      <c r="B2" s="1">
        <v>0</v>
      </c>
      <c r="C2" s="2" t="s">
        <v>16</v>
      </c>
      <c r="E2" s="2" t="s">
        <v>1445</v>
      </c>
      <c r="M2" s="2" t="s">
        <v>17</v>
      </c>
      <c r="P2" s="2" t="s">
        <v>1446</v>
      </c>
      <c r="Q2" s="1" t="str">
        <f>IF($B2=0,$M2,_xlfn.TEXTBEFORE(Q1,"/",$B2,,,Q1)&amp;"/"&amp;$M2)&amp;IF(_xlfn.TEXTAFTER($D2,"..",,,,1)&lt;&gt;"1","[0]","")</f>
        <v>*</v>
      </c>
    </row>
    <row r="3" spans="1:18" ht="12" customHeight="1" outlineLevel="1" x14ac:dyDescent="0.35">
      <c r="A3" s="3" t="str">
        <f>$E$2</f>
        <v>CC457B</v>
      </c>
      <c r="B3" s="4">
        <v>1</v>
      </c>
      <c r="C3" s="3" t="s">
        <v>24</v>
      </c>
      <c r="D3" s="3" t="s">
        <v>20</v>
      </c>
      <c r="E3" s="5" t="s">
        <v>21</v>
      </c>
      <c r="F3" s="4"/>
      <c r="G3" s="3" t="s">
        <v>22</v>
      </c>
      <c r="H3" s="4"/>
      <c r="I3" s="4"/>
      <c r="J3" s="4"/>
      <c r="K3" s="4"/>
      <c r="L3" s="4"/>
      <c r="M3" s="3" t="s">
        <v>21</v>
      </c>
      <c r="N3" s="4"/>
      <c r="O3" s="4"/>
      <c r="P3" s="3" t="s">
        <v>23</v>
      </c>
      <c r="Q3" s="1" t="str">
        <f>IF($B3=0,$M3,_xlfn.TEXTBEFORE(Q2,"/",$B3,,,Q2)&amp;"/"&amp;$M3)&amp;IF(_xlfn.TEXTAFTER($D3,"..",,,,1)&lt;&gt;"1","[0]","")</f>
        <v>*/Extensions[0]</v>
      </c>
    </row>
    <row r="4" spans="1:18" ht="12" customHeight="1" outlineLevel="2" x14ac:dyDescent="0.35">
      <c r="A4" s="2" t="str">
        <f>$E$2</f>
        <v>CC457B</v>
      </c>
      <c r="B4" s="1">
        <v>2</v>
      </c>
      <c r="C4" s="1" t="s">
        <v>19</v>
      </c>
      <c r="D4" s="2" t="s">
        <v>25</v>
      </c>
      <c r="E4" s="6" t="s">
        <v>774</v>
      </c>
      <c r="F4" s="1" t="s">
        <v>775</v>
      </c>
      <c r="G4" s="2" t="s">
        <v>27</v>
      </c>
      <c r="M4" s="2" t="s">
        <v>776</v>
      </c>
      <c r="Q4" s="1" t="str">
        <f>IF($B4=0,$M4,_xlfn.TEXTBEFORE(Q3,"/",$B4,,,Q3)&amp;"/"&amp;$M4)&amp;IF(_xlfn.TEXTAFTER($D4,"..",,,,1)&lt;&gt;"1","[0]","")</f>
        <v>*/Extensions[0]/SequenceNumeric</v>
      </c>
    </row>
    <row r="5" spans="1:18" ht="12" customHeight="1" outlineLevel="2" x14ac:dyDescent="0.35">
      <c r="A5" s="2" t="str">
        <f>$E$2</f>
        <v>CC457B</v>
      </c>
      <c r="B5" s="1">
        <v>2</v>
      </c>
      <c r="C5" s="1" t="s">
        <v>19</v>
      </c>
      <c r="D5" s="2" t="s">
        <v>30</v>
      </c>
      <c r="E5" s="6" t="s">
        <v>777</v>
      </c>
      <c r="F5" s="1" t="s">
        <v>778</v>
      </c>
      <c r="G5" s="2" t="s">
        <v>22</v>
      </c>
      <c r="M5" s="2" t="s">
        <v>779</v>
      </c>
      <c r="Q5" s="1" t="str">
        <f>IF($B5=0,$M5,_xlfn.TEXTBEFORE(Q4,"/",$B5,,,Q4)&amp;"/"&amp;$M5)&amp;IF(_xlfn.TEXTAFTER($D5,"..",,,,1)&lt;&gt;"1","[0]","")</f>
        <v>*/Extensions[0]/ID</v>
      </c>
    </row>
    <row r="6" spans="1:18" ht="12" customHeight="1" outlineLevel="2" x14ac:dyDescent="0.35">
      <c r="A6" s="2" t="str">
        <f>$E$2</f>
        <v>CC457B</v>
      </c>
      <c r="B6" s="1">
        <v>2</v>
      </c>
      <c r="C6" s="1" t="s">
        <v>19</v>
      </c>
      <c r="D6" s="2" t="s">
        <v>25</v>
      </c>
      <c r="E6" s="6" t="s">
        <v>780</v>
      </c>
      <c r="F6" s="1" t="s">
        <v>778</v>
      </c>
      <c r="G6" s="2" t="s">
        <v>27</v>
      </c>
      <c r="M6" s="2" t="s">
        <v>780</v>
      </c>
      <c r="Q6" s="1" t="str">
        <f>IF($B6=0,$M6,_xlfn.TEXTBEFORE(Q5,"/",$B6,,,Q5)&amp;"/"&amp;$M6)&amp;IF(_xlfn.TEXTAFTER($D6,"..",,,,1)&lt;&gt;"1","[0]","")</f>
        <v>*/Extensions[0]/Key</v>
      </c>
    </row>
    <row r="7" spans="1:18" ht="12" customHeight="1" outlineLevel="2" x14ac:dyDescent="0.35">
      <c r="A7" s="2" t="str">
        <f>$E$2</f>
        <v>CC457B</v>
      </c>
      <c r="B7" s="1">
        <v>2</v>
      </c>
      <c r="C7" s="1" t="s">
        <v>19</v>
      </c>
      <c r="D7" s="2" t="s">
        <v>25</v>
      </c>
      <c r="E7" s="6" t="s">
        <v>781</v>
      </c>
      <c r="F7" s="1" t="s">
        <v>778</v>
      </c>
      <c r="G7" s="2" t="s">
        <v>27</v>
      </c>
      <c r="M7" s="2" t="s">
        <v>781</v>
      </c>
      <c r="Q7" s="1" t="str">
        <f>IF($B7=0,$M7,_xlfn.TEXTBEFORE(Q6,"/",$B7,,,Q6)&amp;"/"&amp;$M7)&amp;IF(_xlfn.TEXTAFTER($D7,"..",,,,1)&lt;&gt;"1","[0]","")</f>
        <v>*/Extensions[0]/Value</v>
      </c>
    </row>
    <row r="8" spans="1:18" ht="12" customHeight="1" outlineLevel="2" x14ac:dyDescent="0.35">
      <c r="A8" s="2" t="str">
        <f>$E$2</f>
        <v>CC457B</v>
      </c>
      <c r="B8" s="1">
        <v>2</v>
      </c>
      <c r="C8" s="1" t="s">
        <v>19</v>
      </c>
      <c r="D8" s="2" t="s">
        <v>25</v>
      </c>
      <c r="E8" s="6" t="s">
        <v>782</v>
      </c>
      <c r="F8" s="7" t="s">
        <v>783</v>
      </c>
      <c r="G8" s="2" t="s">
        <v>27</v>
      </c>
      <c r="M8" s="2" t="s">
        <v>784</v>
      </c>
      <c r="Q8" s="1" t="str">
        <f>IF($B8=0,$M8,_xlfn.TEXTBEFORE(Q7,"/",$B8,,,Q7)&amp;"/"&amp;$M8)&amp;IF(_xlfn.TEXTAFTER($D8,"..",,,,1)&lt;&gt;"1","[0]","")</f>
        <v>*/Extensions[0]/DataType</v>
      </c>
    </row>
    <row r="9" spans="1:18" ht="12" customHeight="1" outlineLevel="2" x14ac:dyDescent="0.35">
      <c r="A9" s="21" t="str">
        <f>$E$2</f>
        <v>CC457B</v>
      </c>
      <c r="B9" s="22">
        <v>2</v>
      </c>
      <c r="C9" s="22" t="s">
        <v>19</v>
      </c>
      <c r="D9" s="21" t="s">
        <v>20</v>
      </c>
      <c r="E9" s="23" t="s">
        <v>21</v>
      </c>
      <c r="F9" s="22"/>
      <c r="G9" s="21" t="s">
        <v>22</v>
      </c>
      <c r="H9" s="22"/>
      <c r="I9" s="22"/>
      <c r="J9" s="22"/>
      <c r="K9" s="22"/>
      <c r="L9" s="22"/>
      <c r="M9" s="21" t="s">
        <v>21</v>
      </c>
      <c r="N9" s="22"/>
      <c r="O9" s="22"/>
      <c r="P9" s="21" t="s">
        <v>785</v>
      </c>
      <c r="Q9" s="1" t="str">
        <f>IF($B9=0,$M9,_xlfn.TEXTBEFORE(Q8,"/",$B9,,,Q8)&amp;"/"&amp;$M9)&amp;IF(_xlfn.TEXTAFTER($D9,"..",,,,1)&lt;&gt;"1","[0]","")</f>
        <v>*/Extensions[0]/Extensions[0]</v>
      </c>
    </row>
    <row r="10" spans="1:18" ht="12" customHeight="1" outlineLevel="1" x14ac:dyDescent="0.35">
      <c r="A10" s="3" t="str">
        <f>$E$2</f>
        <v>CC457B</v>
      </c>
      <c r="B10" s="4">
        <v>1</v>
      </c>
      <c r="C10" s="3" t="s">
        <v>24</v>
      </c>
      <c r="D10" s="3" t="s">
        <v>25</v>
      </c>
      <c r="E10" s="5" t="s">
        <v>26</v>
      </c>
      <c r="F10" s="4"/>
      <c r="G10" s="3" t="s">
        <v>27</v>
      </c>
      <c r="H10" s="4"/>
      <c r="I10" s="4"/>
      <c r="J10" s="4"/>
      <c r="K10" s="4"/>
      <c r="L10" s="4"/>
      <c r="M10" s="3" t="s">
        <v>28</v>
      </c>
      <c r="N10" s="4"/>
      <c r="O10" s="4"/>
      <c r="P10" s="3" t="s">
        <v>1447</v>
      </c>
      <c r="Q10" s="1" t="str">
        <f>IF($B10=0,$M10,_xlfn.TEXTBEFORE(Q9,"/",$B10,,,Q9)&amp;"/"&amp;$M10)&amp;IF(_xlfn.TEXTAFTER($D10,"..",,,,1)&lt;&gt;"1","[0]","")</f>
        <v>*/ImportOperation</v>
      </c>
    </row>
    <row r="11" spans="1:18" ht="12" customHeight="1" outlineLevel="2" x14ac:dyDescent="0.35">
      <c r="A11" s="2" t="str">
        <f>$E$2</f>
        <v>CC457B</v>
      </c>
      <c r="B11" s="1">
        <v>2</v>
      </c>
      <c r="C11" s="1" t="s">
        <v>19</v>
      </c>
      <c r="D11" s="2" t="s">
        <v>25</v>
      </c>
      <c r="E11" s="6" t="s">
        <v>31</v>
      </c>
      <c r="F11" s="7" t="s">
        <v>32</v>
      </c>
      <c r="G11" s="2" t="s">
        <v>27</v>
      </c>
      <c r="M11" s="2" t="s">
        <v>33</v>
      </c>
      <c r="P11" s="2" t="s">
        <v>34</v>
      </c>
      <c r="Q11" s="1" t="str">
        <f>IF($B11=0,$M11,_xlfn.TEXTBEFORE(Q10,"/",$B11,,,Q10)&amp;"/"&amp;$M11)&amp;IF(_xlfn.TEXTAFTER($D11,"..",,,,1)&lt;&gt;"1","[0]","")</f>
        <v>*/ImportOperation/LRN</v>
      </c>
    </row>
    <row r="12" spans="1:18" ht="12" customHeight="1" outlineLevel="2" x14ac:dyDescent="0.35">
      <c r="A12" s="2" t="str">
        <f>$E$2</f>
        <v>CC457B</v>
      </c>
      <c r="B12" s="1">
        <v>2</v>
      </c>
      <c r="C12" s="1" t="s">
        <v>19</v>
      </c>
      <c r="D12" s="2" t="s">
        <v>25</v>
      </c>
      <c r="E12" s="6" t="s">
        <v>35</v>
      </c>
      <c r="F12" s="7" t="s">
        <v>36</v>
      </c>
      <c r="G12" s="2" t="s">
        <v>27</v>
      </c>
      <c r="M12" s="2" t="s">
        <v>37</v>
      </c>
      <c r="P12" s="2" t="s">
        <v>38</v>
      </c>
      <c r="Q12" s="1" t="str">
        <f>IF($B12=0,$M12,_xlfn.TEXTBEFORE(Q11,"/",$B12,,,Q11)&amp;"/"&amp;$M12)&amp;IF(_xlfn.TEXTAFTER($D12,"..",,,,1)&lt;&gt;"1","[0]","")</f>
        <v>*/ImportOperation/MRN</v>
      </c>
    </row>
    <row r="13" spans="1:18" ht="12" customHeight="1" outlineLevel="2" x14ac:dyDescent="0.35">
      <c r="A13" s="2" t="str">
        <f>$E$2</f>
        <v>CC457B</v>
      </c>
      <c r="B13" s="1">
        <v>2</v>
      </c>
      <c r="C13" s="1" t="s">
        <v>19</v>
      </c>
      <c r="D13" s="2" t="s">
        <v>25</v>
      </c>
      <c r="E13" s="6" t="s">
        <v>1448</v>
      </c>
      <c r="F13" s="2" t="s">
        <v>47</v>
      </c>
      <c r="G13" s="2" t="s">
        <v>27</v>
      </c>
      <c r="M13" s="2" t="s">
        <v>1449</v>
      </c>
      <c r="P13" s="2" t="s">
        <v>188</v>
      </c>
      <c r="Q13" s="1" t="str">
        <f>IF($B13=0,$M13,_xlfn.TEXTBEFORE(Q12,"/",$B13,,,Q12)&amp;"/"&amp;$M13)&amp;IF(_xlfn.TEXTAFTER($D13,"..",,,,1)&lt;&gt;"1","[0]","")</f>
        <v>*/ImportOperation/presentationNotificationRegistrationDateAndTime</v>
      </c>
    </row>
    <row r="14" spans="1:18" ht="12" customHeight="1" outlineLevel="1" x14ac:dyDescent="0.35">
      <c r="A14" s="3" t="str">
        <f>$E$2</f>
        <v>CC457B</v>
      </c>
      <c r="B14" s="4">
        <v>1</v>
      </c>
      <c r="C14" s="3" t="s">
        <v>24</v>
      </c>
      <c r="D14" s="3" t="s">
        <v>25</v>
      </c>
      <c r="E14" s="5" t="s">
        <v>71</v>
      </c>
      <c r="F14" s="4"/>
      <c r="G14" s="3" t="s">
        <v>27</v>
      </c>
      <c r="H14" s="4"/>
      <c r="I14" s="4"/>
      <c r="J14" s="4"/>
      <c r="K14" s="4"/>
      <c r="L14" s="4"/>
      <c r="M14" s="3" t="s">
        <v>72</v>
      </c>
      <c r="N14" s="4"/>
      <c r="O14" s="4"/>
      <c r="P14" s="3" t="s">
        <v>73</v>
      </c>
      <c r="Q14" s="1" t="str">
        <f>IF($B14=0,$M14,_xlfn.TEXTBEFORE(Q13,"/",$B14,,,Q13)&amp;"/"&amp;$M14)&amp;IF(_xlfn.TEXTAFTER($D14,"..",,,,1)&lt;&gt;"1","[0]","")</f>
        <v>*/CustomsOfficeOfPresentation</v>
      </c>
    </row>
    <row r="15" spans="1:18" ht="12" customHeight="1" outlineLevel="2" x14ac:dyDescent="0.35">
      <c r="A15" s="2" t="str">
        <f>$E$2</f>
        <v>CC457B</v>
      </c>
      <c r="B15" s="1">
        <v>2</v>
      </c>
      <c r="C15" s="1" t="s">
        <v>19</v>
      </c>
      <c r="D15" s="2" t="s">
        <v>25</v>
      </c>
      <c r="E15" s="6" t="s">
        <v>63</v>
      </c>
      <c r="F15" s="7" t="s">
        <v>74</v>
      </c>
      <c r="G15" s="2" t="s">
        <v>27</v>
      </c>
      <c r="J15" s="2" t="s">
        <v>399</v>
      </c>
      <c r="M15" s="2" t="s">
        <v>65</v>
      </c>
      <c r="P15" s="2" t="s">
        <v>75</v>
      </c>
      <c r="Q15" s="1" t="str">
        <f>IF($B15=0,$M15,_xlfn.TEXTBEFORE(Q14,"/",$B15,,,Q14)&amp;"/"&amp;$M15)&amp;IF(_xlfn.TEXTAFTER($D15,"..",,,,1)&lt;&gt;"1","[0]","")</f>
        <v>*/CustomsOfficeOfPresentation/referenceNumber</v>
      </c>
    </row>
    <row r="16" spans="1:18" ht="12" customHeight="1" outlineLevel="1" x14ac:dyDescent="0.35">
      <c r="A16" s="3" t="str">
        <f>$E$2</f>
        <v>CC457B</v>
      </c>
      <c r="B16" s="4">
        <v>1</v>
      </c>
      <c r="C16" s="3" t="s">
        <v>24</v>
      </c>
      <c r="D16" s="3" t="s">
        <v>25</v>
      </c>
      <c r="E16" s="5" t="s">
        <v>101</v>
      </c>
      <c r="F16" s="4"/>
      <c r="G16" s="3" t="s">
        <v>27</v>
      </c>
      <c r="H16" s="4"/>
      <c r="I16" s="4"/>
      <c r="J16" s="4"/>
      <c r="K16" s="4"/>
      <c r="L16" s="4"/>
      <c r="M16" s="3" t="s">
        <v>101</v>
      </c>
      <c r="N16" s="4"/>
      <c r="O16" s="4"/>
      <c r="P16" s="3" t="s">
        <v>300</v>
      </c>
      <c r="Q16" s="1" t="str">
        <f>IF($B16=0,$M16,_xlfn.TEXTBEFORE(Q15,"/",$B16,,,Q15)&amp;"/"&amp;$M16)&amp;IF(_xlfn.TEXTAFTER($D16,"..",,,,1)&lt;&gt;"1","[0]","")</f>
        <v>*/Declarant</v>
      </c>
    </row>
    <row r="17" spans="1:17" ht="12" customHeight="1" outlineLevel="2" x14ac:dyDescent="0.35">
      <c r="A17" s="2" t="str">
        <f>$E$2</f>
        <v>CC457B</v>
      </c>
      <c r="B17" s="1">
        <v>2</v>
      </c>
      <c r="C17" s="1" t="s">
        <v>19</v>
      </c>
      <c r="D17" s="2" t="s">
        <v>25</v>
      </c>
      <c r="E17" s="6" t="s">
        <v>81</v>
      </c>
      <c r="F17" s="7" t="s">
        <v>68</v>
      </c>
      <c r="G17" s="2" t="s">
        <v>27</v>
      </c>
      <c r="H17" s="2" t="s">
        <v>397</v>
      </c>
      <c r="M17" s="2" t="s">
        <v>82</v>
      </c>
      <c r="P17" s="2" t="s">
        <v>70</v>
      </c>
      <c r="Q17" s="1" t="str">
        <f>IF($B17=0,$M17,_xlfn.TEXTBEFORE(Q16,"/",$B17,,,Q16)&amp;"/"&amp;$M17)&amp;IF(_xlfn.TEXTAFTER($D17,"..",,,,1)&lt;&gt;"1","[0]","")</f>
        <v>*/Declarant/identificationNumber</v>
      </c>
    </row>
    <row r="18" spans="1:17" ht="12" customHeight="1" outlineLevel="2" x14ac:dyDescent="0.35">
      <c r="A18" s="2" t="str">
        <f>$E$2</f>
        <v>CC457B</v>
      </c>
      <c r="B18" s="1">
        <v>2</v>
      </c>
      <c r="C18" s="1" t="s">
        <v>19</v>
      </c>
      <c r="D18" s="2" t="s">
        <v>30</v>
      </c>
      <c r="E18" s="6" t="s">
        <v>4</v>
      </c>
      <c r="F18" s="7" t="s">
        <v>83</v>
      </c>
      <c r="G18" s="2" t="s">
        <v>396</v>
      </c>
      <c r="I18" s="2" t="s">
        <v>401</v>
      </c>
      <c r="M18" s="2" t="s">
        <v>84</v>
      </c>
      <c r="P18" s="2" t="s">
        <v>85</v>
      </c>
      <c r="Q18" s="1" t="str">
        <f>IF($B18=0,$M18,_xlfn.TEXTBEFORE(Q17,"/",$B18,,,Q17)&amp;"/"&amp;$M18)&amp;IF(_xlfn.TEXTAFTER($D18,"..",,,,1)&lt;&gt;"1","[0]","")</f>
        <v>*/Declarant/name</v>
      </c>
    </row>
    <row r="19" spans="1:17" ht="12" customHeight="1" outlineLevel="2" x14ac:dyDescent="0.35">
      <c r="A19" s="3" t="str">
        <f>$E$2</f>
        <v>CC457B</v>
      </c>
      <c r="B19" s="4">
        <v>2</v>
      </c>
      <c r="C19" s="3" t="s">
        <v>24</v>
      </c>
      <c r="D19" s="3" t="s">
        <v>30</v>
      </c>
      <c r="E19" s="8" t="s">
        <v>86</v>
      </c>
      <c r="F19" s="4"/>
      <c r="G19" s="3" t="s">
        <v>396</v>
      </c>
      <c r="H19" s="4"/>
      <c r="I19" s="3" t="s">
        <v>401</v>
      </c>
      <c r="J19" s="4"/>
      <c r="K19" s="4"/>
      <c r="L19" s="4"/>
      <c r="M19" s="3" t="s">
        <v>86</v>
      </c>
      <c r="N19" s="4"/>
      <c r="O19" s="4"/>
      <c r="P19" s="3" t="s">
        <v>87</v>
      </c>
      <c r="Q19" s="1" t="str">
        <f>IF($B19=0,$M19,_xlfn.TEXTBEFORE(Q18,"/",$B19,,,Q18)&amp;"/"&amp;$M19)&amp;IF(_xlfn.TEXTAFTER($D19,"..",,,,1)&lt;&gt;"1","[0]","")</f>
        <v>*/Declarant/Address</v>
      </c>
    </row>
    <row r="20" spans="1:17" ht="12" customHeight="1" outlineLevel="3" x14ac:dyDescent="0.35">
      <c r="A20" s="2" t="str">
        <f>$E$2</f>
        <v>CC457B</v>
      </c>
      <c r="B20" s="1">
        <v>3</v>
      </c>
      <c r="C20" s="1" t="s">
        <v>19</v>
      </c>
      <c r="D20" s="2" t="s">
        <v>25</v>
      </c>
      <c r="E20" s="9" t="s">
        <v>88</v>
      </c>
      <c r="F20" s="7" t="s">
        <v>83</v>
      </c>
      <c r="G20" s="2" t="s">
        <v>27</v>
      </c>
      <c r="M20" s="2" t="s">
        <v>89</v>
      </c>
      <c r="P20" s="2" t="s">
        <v>90</v>
      </c>
      <c r="Q20" s="1" t="str">
        <f>IF($B20=0,$M20,_xlfn.TEXTBEFORE(Q19,"/",$B20,,,Q19)&amp;"/"&amp;$M20)&amp;IF(_xlfn.TEXTAFTER($D20,"..",,,,1)&lt;&gt;"1","[0]","")</f>
        <v>*/Declarant/Address/streetAndNumber</v>
      </c>
    </row>
    <row r="21" spans="1:17" ht="12" customHeight="1" outlineLevel="3" x14ac:dyDescent="0.35">
      <c r="A21" s="2" t="str">
        <f>$E$2</f>
        <v>CC457B</v>
      </c>
      <c r="B21" s="1">
        <v>3</v>
      </c>
      <c r="C21" s="1" t="s">
        <v>19</v>
      </c>
      <c r="D21" s="2" t="s">
        <v>30</v>
      </c>
      <c r="E21" s="9" t="s">
        <v>91</v>
      </c>
      <c r="F21" s="7" t="s">
        <v>92</v>
      </c>
      <c r="G21" s="2" t="s">
        <v>396</v>
      </c>
      <c r="I21" s="2" t="s">
        <v>402</v>
      </c>
      <c r="M21" s="2" t="s">
        <v>93</v>
      </c>
      <c r="P21" s="2" t="s">
        <v>94</v>
      </c>
      <c r="Q21" s="1" t="str">
        <f>IF($B21=0,$M21,_xlfn.TEXTBEFORE(Q20,"/",$B21,,,Q20)&amp;"/"&amp;$M21)&amp;IF(_xlfn.TEXTAFTER($D21,"..",,,,1)&lt;&gt;"1","[0]","")</f>
        <v>*/Declarant/Address/postcode</v>
      </c>
    </row>
    <row r="22" spans="1:17" ht="12" customHeight="1" outlineLevel="3" x14ac:dyDescent="0.35">
      <c r="A22" s="2" t="str">
        <f>$E$2</f>
        <v>CC457B</v>
      </c>
      <c r="B22" s="1">
        <v>3</v>
      </c>
      <c r="C22" s="1" t="s">
        <v>19</v>
      </c>
      <c r="D22" s="2" t="s">
        <v>25</v>
      </c>
      <c r="E22" s="9" t="s">
        <v>95</v>
      </c>
      <c r="F22" s="7" t="s">
        <v>96</v>
      </c>
      <c r="G22" s="2" t="s">
        <v>27</v>
      </c>
      <c r="M22" s="2" t="s">
        <v>97</v>
      </c>
      <c r="P22" s="2" t="s">
        <v>98</v>
      </c>
      <c r="Q22" s="1" t="str">
        <f>IF($B22=0,$M22,_xlfn.TEXTBEFORE(Q21,"/",$B22,,,Q21)&amp;"/"&amp;$M22)&amp;IF(_xlfn.TEXTAFTER($D22,"..",,,,1)&lt;&gt;"1","[0]","")</f>
        <v>*/Declarant/Address/city</v>
      </c>
    </row>
    <row r="23" spans="1:17" ht="12" customHeight="1" outlineLevel="3" x14ac:dyDescent="0.35">
      <c r="A23" s="2" t="str">
        <f>$E$2</f>
        <v>CC457B</v>
      </c>
      <c r="B23" s="1">
        <v>3</v>
      </c>
      <c r="C23" s="1" t="s">
        <v>19</v>
      </c>
      <c r="D23" s="2" t="s">
        <v>25</v>
      </c>
      <c r="E23" s="9" t="s">
        <v>99</v>
      </c>
      <c r="F23" s="7" t="s">
        <v>50</v>
      </c>
      <c r="G23" s="2" t="s">
        <v>27</v>
      </c>
      <c r="J23" s="2" t="s">
        <v>403</v>
      </c>
      <c r="M23" s="2" t="s">
        <v>100</v>
      </c>
      <c r="P23" s="2" t="s">
        <v>52</v>
      </c>
      <c r="Q23" s="1" t="str">
        <f>IF($B23=0,$M23,_xlfn.TEXTBEFORE(Q22,"/",$B23,,,Q22)&amp;"/"&amp;$M23)&amp;IF(_xlfn.TEXTAFTER($D23,"..",,,,1)&lt;&gt;"1","[0]","")</f>
        <v>*/Declarant/Address/country</v>
      </c>
    </row>
    <row r="24" spans="1:17" ht="12" customHeight="1" outlineLevel="1" x14ac:dyDescent="0.35">
      <c r="A24" s="3" t="str">
        <f>$E$2</f>
        <v>CC457B</v>
      </c>
      <c r="B24" s="4">
        <v>1</v>
      </c>
      <c r="C24" s="3" t="s">
        <v>24</v>
      </c>
      <c r="D24" s="3" t="s">
        <v>30</v>
      </c>
      <c r="E24" s="5" t="s">
        <v>121</v>
      </c>
      <c r="F24" s="4"/>
      <c r="G24" s="3" t="s">
        <v>22</v>
      </c>
      <c r="H24" s="4"/>
      <c r="I24" s="4"/>
      <c r="J24" s="4"/>
      <c r="K24" s="4"/>
      <c r="L24" s="4"/>
      <c r="M24" s="3" t="s">
        <v>121</v>
      </c>
      <c r="N24" s="4"/>
      <c r="O24" s="4"/>
      <c r="P24" s="3" t="s">
        <v>301</v>
      </c>
      <c r="Q24" s="1" t="str">
        <f>IF($B24=0,$M24,_xlfn.TEXTBEFORE(Q23,"/",$B24,,,Q23)&amp;"/"&amp;$M24)&amp;IF(_xlfn.TEXTAFTER($D24,"..",,,,1)&lt;&gt;"1","[0]","")</f>
        <v>*/Representative</v>
      </c>
    </row>
    <row r="25" spans="1:17" ht="12" customHeight="1" outlineLevel="2" x14ac:dyDescent="0.35">
      <c r="A25" s="2" t="str">
        <f>$E$2</f>
        <v>CC457B</v>
      </c>
      <c r="B25" s="1">
        <v>2</v>
      </c>
      <c r="C25" s="1" t="s">
        <v>19</v>
      </c>
      <c r="D25" s="2" t="s">
        <v>25</v>
      </c>
      <c r="E25" s="6" t="s">
        <v>81</v>
      </c>
      <c r="F25" s="7" t="s">
        <v>68</v>
      </c>
      <c r="G25" s="2" t="s">
        <v>27</v>
      </c>
      <c r="H25" s="2" t="s">
        <v>788</v>
      </c>
      <c r="M25" s="2" t="s">
        <v>82</v>
      </c>
      <c r="P25" s="2" t="s">
        <v>70</v>
      </c>
      <c r="Q25" s="1" t="str">
        <f>IF($B25=0,$M25,_xlfn.TEXTBEFORE(Q24,"/",$B25,,,Q24)&amp;"/"&amp;$M25)&amp;IF(_xlfn.TEXTAFTER($D25,"..",,,,1)&lt;&gt;"1","[0]","")</f>
        <v>*/Representative/identificationNumber</v>
      </c>
    </row>
    <row r="26" spans="1:17" ht="12" customHeight="1" outlineLevel="2" x14ac:dyDescent="0.35">
      <c r="A26" s="2" t="str">
        <f>$E$2</f>
        <v>CC457B</v>
      </c>
      <c r="B26" s="1">
        <v>2</v>
      </c>
      <c r="C26" s="1" t="s">
        <v>19</v>
      </c>
      <c r="D26" s="2" t="s">
        <v>25</v>
      </c>
      <c r="E26" s="6" t="s">
        <v>6</v>
      </c>
      <c r="F26" s="7" t="s">
        <v>123</v>
      </c>
      <c r="G26" s="2" t="s">
        <v>27</v>
      </c>
      <c r="H26" s="2" t="s">
        <v>407</v>
      </c>
      <c r="J26" s="2" t="s">
        <v>408</v>
      </c>
      <c r="M26" s="2" t="s">
        <v>124</v>
      </c>
      <c r="P26" s="2" t="s">
        <v>125</v>
      </c>
      <c r="Q26" s="1" t="str">
        <f>IF($B26=0,$M26,_xlfn.TEXTBEFORE(Q25,"/",$B26,,,Q25)&amp;"/"&amp;$M26)&amp;IF(_xlfn.TEXTAFTER($D26,"..",,,,1)&lt;&gt;"1","[0]","")</f>
        <v>*/Representative/status</v>
      </c>
    </row>
    <row r="27" spans="1:17" ht="12" customHeight="1" x14ac:dyDescent="0.35"/>
  </sheetData>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FCCAB-E8CC-481D-93C1-D61108A82670}">
  <sheetPr codeName="Ark35">
    <tabColor rgb="FFC00000"/>
    <outlinePr summaryBelow="0" summaryRight="0"/>
  </sheetPr>
  <dimension ref="A1:R48"/>
  <sheetViews>
    <sheetView zoomScaleNormal="100" workbookViewId="0">
      <pane xSplit="1" ySplit="1" topLeftCell="D2" activePane="bottomRight" state="frozen"/>
      <selection activeCell="D2" sqref="D2"/>
      <selection pane="topRight" activeCell="D2" sqref="D2"/>
      <selection pane="bottomLeft" activeCell="D2" sqref="D2"/>
      <selection pane="bottomRight" activeCell="D2" sqref="D2"/>
    </sheetView>
  </sheetViews>
  <sheetFormatPr defaultColWidth="11.54296875" defaultRowHeight="12" outlineLevelRow="3" x14ac:dyDescent="0.35"/>
  <cols>
    <col min="1" max="3" width="0" style="1" hidden="1" customWidth="1"/>
    <col min="4" max="4" width="6.6328125" style="1" customWidth="1"/>
    <col min="5" max="5" width="70.6328125" style="1" customWidth="1"/>
    <col min="6" max="11" width="8.6328125" style="1" customWidth="1"/>
    <col min="12" max="14" width="24.6328125" style="1" customWidth="1"/>
    <col min="15" max="15" width="24.6328125" style="1" hidden="1" customWidth="1"/>
    <col min="16" max="17" width="24.6328125" style="1" customWidth="1"/>
    <col min="18" max="16384" width="11.54296875" style="1"/>
  </cols>
  <sheetData>
    <row r="1" spans="1:18" ht="12"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P1" s="1" t="s">
        <v>14</v>
      </c>
      <c r="Q1" s="1" t="s">
        <v>208</v>
      </c>
      <c r="R1" s="1" t="s">
        <v>209</v>
      </c>
    </row>
    <row r="2" spans="1:18" ht="12" customHeight="1" x14ac:dyDescent="0.35">
      <c r="A2" s="2" t="str">
        <f>$E$2</f>
        <v>CC460B</v>
      </c>
      <c r="B2" s="1">
        <v>0</v>
      </c>
      <c r="C2" s="2" t="s">
        <v>16</v>
      </c>
      <c r="E2" s="2" t="s">
        <v>1467</v>
      </c>
      <c r="M2" s="2" t="s">
        <v>17</v>
      </c>
      <c r="P2" s="2" t="s">
        <v>1466</v>
      </c>
      <c r="Q2" s="1" t="str">
        <f>IF($B2=0,$M2,_xlfn.TEXTBEFORE(Q1,"/",$B2,,,Q1)&amp;"/"&amp;$M2)&amp;IF(_xlfn.TEXTAFTER($D2,"..",,,,1)&lt;&gt;"1","[0]","")</f>
        <v>*</v>
      </c>
    </row>
    <row r="3" spans="1:18" ht="12" customHeight="1" outlineLevel="1" x14ac:dyDescent="0.35">
      <c r="A3" s="3" t="str">
        <f>$E$2</f>
        <v>CC460B</v>
      </c>
      <c r="B3" s="4">
        <v>1</v>
      </c>
      <c r="C3" s="3" t="s">
        <v>24</v>
      </c>
      <c r="D3" s="3" t="s">
        <v>20</v>
      </c>
      <c r="E3" s="5" t="s">
        <v>21</v>
      </c>
      <c r="F3" s="4"/>
      <c r="G3" s="3" t="s">
        <v>22</v>
      </c>
      <c r="H3" s="4"/>
      <c r="I3" s="4"/>
      <c r="J3" s="4"/>
      <c r="K3" s="4"/>
      <c r="L3" s="4"/>
      <c r="M3" s="3" t="s">
        <v>21</v>
      </c>
      <c r="N3" s="4"/>
      <c r="O3" s="4"/>
      <c r="P3" s="3" t="s">
        <v>23</v>
      </c>
      <c r="Q3" s="1" t="str">
        <f>IF($B3=0,$M3,_xlfn.TEXTBEFORE(Q2,"/",$B3,,,Q2)&amp;"/"&amp;$M3)&amp;IF(_xlfn.TEXTAFTER($D3,"..",,,,1)&lt;&gt;"1","[0]","")</f>
        <v>*/Extensions[0]</v>
      </c>
    </row>
    <row r="4" spans="1:18" ht="12" customHeight="1" outlineLevel="2" x14ac:dyDescent="0.35">
      <c r="A4" s="2" t="str">
        <f>$E$2</f>
        <v>CC460B</v>
      </c>
      <c r="B4" s="1">
        <v>2</v>
      </c>
      <c r="C4" s="1" t="s">
        <v>19</v>
      </c>
      <c r="D4" s="2" t="s">
        <v>25</v>
      </c>
      <c r="E4" s="6" t="s">
        <v>774</v>
      </c>
      <c r="F4" s="1" t="s">
        <v>775</v>
      </c>
      <c r="G4" s="2" t="s">
        <v>27</v>
      </c>
      <c r="M4" s="2" t="s">
        <v>776</v>
      </c>
      <c r="Q4" s="1" t="str">
        <f>IF($B4=0,$M4,_xlfn.TEXTBEFORE(Q3,"/",$B4,,,Q3)&amp;"/"&amp;$M4)&amp;IF(_xlfn.TEXTAFTER($D4,"..",,,,1)&lt;&gt;"1","[0]","")</f>
        <v>*/Extensions[0]/SequenceNumeric</v>
      </c>
    </row>
    <row r="5" spans="1:18" ht="12" customHeight="1" outlineLevel="2" x14ac:dyDescent="0.35">
      <c r="A5" s="2" t="str">
        <f>$E$2</f>
        <v>CC460B</v>
      </c>
      <c r="B5" s="1">
        <v>2</v>
      </c>
      <c r="C5" s="1" t="s">
        <v>19</v>
      </c>
      <c r="D5" s="2" t="s">
        <v>30</v>
      </c>
      <c r="E5" s="6" t="s">
        <v>777</v>
      </c>
      <c r="F5" s="1" t="s">
        <v>778</v>
      </c>
      <c r="G5" s="2" t="s">
        <v>22</v>
      </c>
      <c r="M5" s="2" t="s">
        <v>779</v>
      </c>
      <c r="Q5" s="1" t="str">
        <f>IF($B5=0,$M5,_xlfn.TEXTBEFORE(Q4,"/",$B5,,,Q4)&amp;"/"&amp;$M5)&amp;IF(_xlfn.TEXTAFTER($D5,"..",,,,1)&lt;&gt;"1","[0]","")</f>
        <v>*/Extensions[0]/ID</v>
      </c>
    </row>
    <row r="6" spans="1:18" ht="12" customHeight="1" outlineLevel="2" x14ac:dyDescent="0.35">
      <c r="A6" s="2" t="str">
        <f>$E$2</f>
        <v>CC460B</v>
      </c>
      <c r="B6" s="1">
        <v>2</v>
      </c>
      <c r="C6" s="1" t="s">
        <v>19</v>
      </c>
      <c r="D6" s="2" t="s">
        <v>25</v>
      </c>
      <c r="E6" s="6" t="s">
        <v>780</v>
      </c>
      <c r="F6" s="1" t="s">
        <v>778</v>
      </c>
      <c r="G6" s="2" t="s">
        <v>27</v>
      </c>
      <c r="M6" s="2" t="s">
        <v>780</v>
      </c>
      <c r="Q6" s="1" t="str">
        <f>IF($B6=0,$M6,_xlfn.TEXTBEFORE(Q5,"/",$B6,,,Q5)&amp;"/"&amp;$M6)&amp;IF(_xlfn.TEXTAFTER($D6,"..",,,,1)&lt;&gt;"1","[0]","")</f>
        <v>*/Extensions[0]/Key</v>
      </c>
    </row>
    <row r="7" spans="1:18" ht="12" customHeight="1" outlineLevel="2" x14ac:dyDescent="0.35">
      <c r="A7" s="2" t="str">
        <f>$E$2</f>
        <v>CC460B</v>
      </c>
      <c r="B7" s="1">
        <v>2</v>
      </c>
      <c r="C7" s="1" t="s">
        <v>19</v>
      </c>
      <c r="D7" s="2" t="s">
        <v>25</v>
      </c>
      <c r="E7" s="6" t="s">
        <v>781</v>
      </c>
      <c r="F7" s="1" t="s">
        <v>778</v>
      </c>
      <c r="G7" s="2" t="s">
        <v>27</v>
      </c>
      <c r="M7" s="2" t="s">
        <v>781</v>
      </c>
      <c r="Q7" s="1" t="str">
        <f>IF($B7=0,$M7,_xlfn.TEXTBEFORE(Q6,"/",$B7,,,Q6)&amp;"/"&amp;$M7)&amp;IF(_xlfn.TEXTAFTER($D7,"..",,,,1)&lt;&gt;"1","[0]","")</f>
        <v>*/Extensions[0]/Value</v>
      </c>
    </row>
    <row r="8" spans="1:18" ht="12" customHeight="1" outlineLevel="2" x14ac:dyDescent="0.35">
      <c r="A8" s="2" t="str">
        <f>$E$2</f>
        <v>CC460B</v>
      </c>
      <c r="B8" s="1">
        <v>2</v>
      </c>
      <c r="C8" s="1" t="s">
        <v>19</v>
      </c>
      <c r="D8" s="2" t="s">
        <v>25</v>
      </c>
      <c r="E8" s="6" t="s">
        <v>782</v>
      </c>
      <c r="F8" s="7" t="s">
        <v>783</v>
      </c>
      <c r="G8" s="2" t="s">
        <v>27</v>
      </c>
      <c r="M8" s="2" t="s">
        <v>784</v>
      </c>
      <c r="Q8" s="1" t="str">
        <f>IF($B8=0,$M8,_xlfn.TEXTBEFORE(Q7,"/",$B8,,,Q7)&amp;"/"&amp;$M8)&amp;IF(_xlfn.TEXTAFTER($D8,"..",,,,1)&lt;&gt;"1","[0]","")</f>
        <v>*/Extensions[0]/DataType</v>
      </c>
    </row>
    <row r="9" spans="1:18" ht="12" customHeight="1" outlineLevel="2" x14ac:dyDescent="0.35">
      <c r="A9" s="21" t="str">
        <f>$E$2</f>
        <v>CC460B</v>
      </c>
      <c r="B9" s="22">
        <v>2</v>
      </c>
      <c r="C9" s="22" t="s">
        <v>19</v>
      </c>
      <c r="D9" s="21" t="s">
        <v>20</v>
      </c>
      <c r="E9" s="23" t="s">
        <v>21</v>
      </c>
      <c r="F9" s="22"/>
      <c r="G9" s="21" t="s">
        <v>22</v>
      </c>
      <c r="H9" s="22"/>
      <c r="I9" s="22"/>
      <c r="J9" s="22"/>
      <c r="K9" s="22"/>
      <c r="L9" s="22"/>
      <c r="M9" s="21" t="s">
        <v>21</v>
      </c>
      <c r="N9" s="22"/>
      <c r="O9" s="22"/>
      <c r="P9" s="21" t="s">
        <v>785</v>
      </c>
      <c r="Q9" s="1" t="str">
        <f>IF($B9=0,$M9,_xlfn.TEXTBEFORE(Q8,"/",$B9,,,Q8)&amp;"/"&amp;$M9)&amp;IF(_xlfn.TEXTAFTER($D9,"..",,,,1)&lt;&gt;"1","[0]","")</f>
        <v>*/Extensions[0]/Extensions[0]</v>
      </c>
    </row>
    <row r="10" spans="1:18" ht="12" customHeight="1" outlineLevel="1" x14ac:dyDescent="0.35">
      <c r="A10" s="3" t="str">
        <f>$E$2</f>
        <v>CC460B</v>
      </c>
      <c r="B10" s="4">
        <v>1</v>
      </c>
      <c r="C10" s="3" t="s">
        <v>24</v>
      </c>
      <c r="D10" s="3" t="s">
        <v>25</v>
      </c>
      <c r="E10" s="5" t="s">
        <v>26</v>
      </c>
      <c r="F10" s="4"/>
      <c r="G10" s="3" t="s">
        <v>27</v>
      </c>
      <c r="H10" s="4"/>
      <c r="I10" s="4"/>
      <c r="J10" s="4"/>
      <c r="K10" s="4"/>
      <c r="L10" s="4"/>
      <c r="M10" s="3" t="s">
        <v>28</v>
      </c>
      <c r="N10" s="4"/>
      <c r="O10" s="4"/>
      <c r="P10" s="3" t="s">
        <v>1465</v>
      </c>
      <c r="Q10" s="1" t="str">
        <f>IF($B10=0,$M10,_xlfn.TEXTBEFORE(Q9,"/",$B10,,,Q9)&amp;"/"&amp;$M10)&amp;IF(_xlfn.TEXTAFTER($D10,"..",,,,1)&lt;&gt;"1","[0]","")</f>
        <v>*/ImportOperation</v>
      </c>
    </row>
    <row r="11" spans="1:18" ht="12" customHeight="1" outlineLevel="2" x14ac:dyDescent="0.35">
      <c r="A11" s="2" t="str">
        <f>$E$2</f>
        <v>CC460B</v>
      </c>
      <c r="B11" s="1">
        <v>2</v>
      </c>
      <c r="C11" s="1" t="s">
        <v>19</v>
      </c>
      <c r="D11" s="2" t="s">
        <v>30</v>
      </c>
      <c r="E11" s="6" t="s">
        <v>31</v>
      </c>
      <c r="F11" s="7" t="s">
        <v>32</v>
      </c>
      <c r="G11" s="2" t="s">
        <v>396</v>
      </c>
      <c r="I11" s="2" t="s">
        <v>441</v>
      </c>
      <c r="M11" s="2" t="s">
        <v>33</v>
      </c>
      <c r="P11" s="2" t="s">
        <v>34</v>
      </c>
      <c r="Q11" s="1" t="str">
        <f>IF($B11=0,$M11,_xlfn.TEXTBEFORE(Q10,"/",$B11,,,Q10)&amp;"/"&amp;$M11)&amp;IF(_xlfn.TEXTAFTER($D11,"..",,,,1)&lt;&gt;"1","[0]","")</f>
        <v>*/ImportOperation/LRN</v>
      </c>
    </row>
    <row r="12" spans="1:18" ht="12" customHeight="1" outlineLevel="2" x14ac:dyDescent="0.35">
      <c r="A12" s="2" t="str">
        <f>$E$2</f>
        <v>CC460B</v>
      </c>
      <c r="B12" s="1">
        <v>2</v>
      </c>
      <c r="C12" s="1" t="s">
        <v>19</v>
      </c>
      <c r="D12" s="2" t="s">
        <v>30</v>
      </c>
      <c r="E12" s="6" t="s">
        <v>35</v>
      </c>
      <c r="F12" s="7" t="s">
        <v>36</v>
      </c>
      <c r="G12" s="2" t="s">
        <v>396</v>
      </c>
      <c r="I12" s="2" t="s">
        <v>441</v>
      </c>
      <c r="M12" s="2" t="s">
        <v>37</v>
      </c>
      <c r="P12" s="2" t="s">
        <v>38</v>
      </c>
      <c r="Q12" s="1" t="str">
        <f>IF($B12=0,$M12,_xlfn.TEXTBEFORE(Q11,"/",$B12,,,Q11)&amp;"/"&amp;$M12)&amp;IF(_xlfn.TEXTAFTER($D12,"..",,,,1)&lt;&gt;"1","[0]","")</f>
        <v>*/ImportOperation/MRN</v>
      </c>
    </row>
    <row r="13" spans="1:18" ht="12" customHeight="1" outlineLevel="2" x14ac:dyDescent="0.35">
      <c r="A13" s="2" t="str">
        <f>$E$2</f>
        <v>CC460B</v>
      </c>
      <c r="B13" s="1">
        <v>2</v>
      </c>
      <c r="C13" s="1" t="s">
        <v>19</v>
      </c>
      <c r="D13" s="2" t="s">
        <v>25</v>
      </c>
      <c r="E13" s="6" t="s">
        <v>1464</v>
      </c>
      <c r="F13" s="2" t="s">
        <v>505</v>
      </c>
      <c r="G13" s="2" t="s">
        <v>27</v>
      </c>
      <c r="H13" s="2" t="s">
        <v>786</v>
      </c>
      <c r="M13" s="2" t="s">
        <v>1463</v>
      </c>
      <c r="P13" s="2" t="s">
        <v>507</v>
      </c>
      <c r="Q13" s="1" t="str">
        <f>IF($B13=0,$M13,_xlfn.TEXTBEFORE(Q12,"/",$B13,,,Q12)&amp;"/"&amp;$M13)&amp;IF(_xlfn.TEXTAFTER($D13,"..",,,,1)&lt;&gt;"1","[0]","")</f>
        <v>*/ImportOperation/notificationDate</v>
      </c>
    </row>
    <row r="14" spans="1:18" ht="12" customHeight="1" outlineLevel="2" x14ac:dyDescent="0.35">
      <c r="A14" s="2" t="str">
        <f>$E$2</f>
        <v>CC460B</v>
      </c>
      <c r="B14" s="1">
        <v>2</v>
      </c>
      <c r="C14" s="1" t="s">
        <v>19</v>
      </c>
      <c r="D14" s="2" t="s">
        <v>25</v>
      </c>
      <c r="E14" s="6" t="s">
        <v>1462</v>
      </c>
      <c r="F14" s="7" t="s">
        <v>123</v>
      </c>
      <c r="G14" s="2" t="s">
        <v>27</v>
      </c>
      <c r="J14" s="2" t="s">
        <v>1461</v>
      </c>
      <c r="M14" s="2" t="s">
        <v>1460</v>
      </c>
      <c r="P14" s="2" t="s">
        <v>1459</v>
      </c>
      <c r="Q14" s="1" t="str">
        <f>IF($B14=0,$M14,_xlfn.TEXTBEFORE(Q13,"/",$B14,,,Q13)&amp;"/"&amp;$M14)&amp;IF(_xlfn.TEXTAFTER($D14,"..",,,,1)&lt;&gt;"1","[0]","")</f>
        <v>*/ImportOperation/notificationType</v>
      </c>
    </row>
    <row r="15" spans="1:18" ht="12" customHeight="1" outlineLevel="2" x14ac:dyDescent="0.35">
      <c r="A15" s="2" t="str">
        <f>$E$2</f>
        <v>CC460B</v>
      </c>
      <c r="B15" s="1">
        <v>2</v>
      </c>
      <c r="C15" s="1" t="s">
        <v>19</v>
      </c>
      <c r="D15" s="2" t="s">
        <v>30</v>
      </c>
      <c r="E15" s="6" t="s">
        <v>1458</v>
      </c>
      <c r="F15" s="2" t="s">
        <v>505</v>
      </c>
      <c r="G15" s="2" t="s">
        <v>22</v>
      </c>
      <c r="M15" s="2" t="s">
        <v>1457</v>
      </c>
      <c r="P15" s="2" t="s">
        <v>507</v>
      </c>
      <c r="Q15" s="1" t="str">
        <f>IF($B15=0,$M15,_xlfn.TEXTBEFORE(Q14,"/",$B15,,,Q14)&amp;"/"&amp;$M15)&amp;IF(_xlfn.TEXTAFTER($D15,"..",,,,1)&lt;&gt;"1","[0]","")</f>
        <v>*/ImportOperation/anticipatedControlDate</v>
      </c>
    </row>
    <row r="16" spans="1:18" ht="12" customHeight="1" outlineLevel="2" x14ac:dyDescent="0.35">
      <c r="A16" s="2" t="str">
        <f>$E$2</f>
        <v>CC460B</v>
      </c>
      <c r="B16" s="1">
        <v>2</v>
      </c>
      <c r="C16" s="1" t="s">
        <v>19</v>
      </c>
      <c r="D16" s="2" t="s">
        <v>30</v>
      </c>
      <c r="E16" s="6" t="s">
        <v>226</v>
      </c>
      <c r="F16" s="7" t="s">
        <v>216</v>
      </c>
      <c r="G16" s="2" t="s">
        <v>22</v>
      </c>
      <c r="M16" s="2" t="s">
        <v>227</v>
      </c>
      <c r="P16" s="2" t="s">
        <v>218</v>
      </c>
      <c r="Q16" s="1" t="str">
        <f>IF($B16=0,$M16,_xlfn.TEXTBEFORE(Q15,"/",$B16,,,Q15)&amp;"/"&amp;$M16)&amp;IF(_xlfn.TEXTAFTER($D16,"..",,,,1)&lt;&gt;"1","[0]","")</f>
        <v>*/ImportOperation/text</v>
      </c>
    </row>
    <row r="17" spans="1:17" ht="12" customHeight="1" outlineLevel="1" x14ac:dyDescent="0.35">
      <c r="A17" s="3" t="str">
        <f>$E$2</f>
        <v>CC460B</v>
      </c>
      <c r="B17" s="4">
        <v>1</v>
      </c>
      <c r="C17" s="3" t="s">
        <v>24</v>
      </c>
      <c r="D17" s="3" t="s">
        <v>30</v>
      </c>
      <c r="E17" s="5" t="s">
        <v>76</v>
      </c>
      <c r="F17" s="4"/>
      <c r="G17" s="3" t="s">
        <v>22</v>
      </c>
      <c r="H17" s="4"/>
      <c r="I17" s="4"/>
      <c r="J17" s="4"/>
      <c r="K17" s="4"/>
      <c r="L17" s="4"/>
      <c r="M17" s="3" t="s">
        <v>77</v>
      </c>
      <c r="N17" s="4"/>
      <c r="O17" s="4"/>
      <c r="P17" s="3" t="s">
        <v>78</v>
      </c>
      <c r="Q17" s="1" t="str">
        <f>IF($B17=0,$M17,_xlfn.TEXTBEFORE(Q16,"/",$B17,,,Q16)&amp;"/"&amp;$M17)&amp;IF(_xlfn.TEXTAFTER($D17,"..",,,,1)&lt;&gt;"1","[0]","")</f>
        <v>*/SupervisingCustomsOffice</v>
      </c>
    </row>
    <row r="18" spans="1:17" ht="12" customHeight="1" outlineLevel="2" x14ac:dyDescent="0.35">
      <c r="A18" s="2" t="str">
        <f>$E$2</f>
        <v>CC460B</v>
      </c>
      <c r="B18" s="1">
        <v>2</v>
      </c>
      <c r="C18" s="1" t="s">
        <v>19</v>
      </c>
      <c r="D18" s="2" t="s">
        <v>25</v>
      </c>
      <c r="E18" s="6" t="s">
        <v>63</v>
      </c>
      <c r="F18" s="7" t="s">
        <v>74</v>
      </c>
      <c r="G18" s="2" t="s">
        <v>27</v>
      </c>
      <c r="J18" s="2" t="s">
        <v>399</v>
      </c>
      <c r="M18" s="2" t="s">
        <v>65</v>
      </c>
      <c r="P18" s="2" t="s">
        <v>75</v>
      </c>
      <c r="Q18" s="1" t="str">
        <f>IF($B18=0,$M18,_xlfn.TEXTBEFORE(Q17,"/",$B18,,,Q17)&amp;"/"&amp;$M18)&amp;IF(_xlfn.TEXTAFTER($D18,"..",,,,1)&lt;&gt;"1","[0]","")</f>
        <v>*/SupervisingCustomsOffice/referenceNumber</v>
      </c>
    </row>
    <row r="19" spans="1:17" ht="12" customHeight="1" outlineLevel="1" x14ac:dyDescent="0.35">
      <c r="A19" s="3" t="str">
        <f>$E$2</f>
        <v>CC460B</v>
      </c>
      <c r="B19" s="4">
        <v>1</v>
      </c>
      <c r="C19" s="3" t="s">
        <v>24</v>
      </c>
      <c r="D19" s="3" t="s">
        <v>25</v>
      </c>
      <c r="E19" s="5" t="s">
        <v>101</v>
      </c>
      <c r="F19" s="4"/>
      <c r="G19" s="3" t="s">
        <v>27</v>
      </c>
      <c r="H19" s="4"/>
      <c r="I19" s="4"/>
      <c r="J19" s="4"/>
      <c r="K19" s="4"/>
      <c r="L19" s="4"/>
      <c r="M19" s="3" t="s">
        <v>101</v>
      </c>
      <c r="N19" s="4"/>
      <c r="O19" s="4"/>
      <c r="P19" s="3" t="s">
        <v>1496</v>
      </c>
      <c r="Q19" s="1" t="str">
        <f>IF($B19=0,$M19,_xlfn.TEXTBEFORE(Q18,"/",$B19,,,Q18)&amp;"/"&amp;$M19)&amp;IF(_xlfn.TEXTAFTER($D19,"..",,,,1)&lt;&gt;"1","[0]","")</f>
        <v>*/Declarant</v>
      </c>
    </row>
    <row r="20" spans="1:17" ht="12" customHeight="1" outlineLevel="2" x14ac:dyDescent="0.35">
      <c r="A20" s="2" t="str">
        <f>$E$2</f>
        <v>CC460B</v>
      </c>
      <c r="B20" s="1">
        <v>2</v>
      </c>
      <c r="C20" s="1" t="s">
        <v>19</v>
      </c>
      <c r="D20" s="2" t="s">
        <v>25</v>
      </c>
      <c r="E20" s="6" t="s">
        <v>81</v>
      </c>
      <c r="F20" s="7" t="s">
        <v>68</v>
      </c>
      <c r="G20" s="2" t="s">
        <v>27</v>
      </c>
      <c r="H20" s="2" t="s">
        <v>397</v>
      </c>
      <c r="M20" s="2" t="s">
        <v>82</v>
      </c>
      <c r="P20" s="2" t="s">
        <v>70</v>
      </c>
      <c r="Q20" s="1" t="str">
        <f>IF($B20=0,$M20,_xlfn.TEXTBEFORE(Q19,"/",$B20,,,Q19)&amp;"/"&amp;$M20)&amp;IF(_xlfn.TEXTAFTER($D20,"..",,,,1)&lt;&gt;"1","[0]","")</f>
        <v>*/Declarant/identificationNumber</v>
      </c>
    </row>
    <row r="21" spans="1:17" ht="12" customHeight="1" outlineLevel="2" x14ac:dyDescent="0.35">
      <c r="A21" s="2" t="str">
        <f>$E$2</f>
        <v>CC460B</v>
      </c>
      <c r="B21" s="1">
        <v>2</v>
      </c>
      <c r="C21" s="1" t="s">
        <v>19</v>
      </c>
      <c r="D21" s="2" t="s">
        <v>30</v>
      </c>
      <c r="E21" s="6" t="s">
        <v>4</v>
      </c>
      <c r="F21" s="7" t="s">
        <v>83</v>
      </c>
      <c r="G21" s="2" t="s">
        <v>396</v>
      </c>
      <c r="I21" s="2" t="s">
        <v>401</v>
      </c>
      <c r="M21" s="2" t="s">
        <v>84</v>
      </c>
      <c r="P21" s="2" t="s">
        <v>85</v>
      </c>
      <c r="Q21" s="1" t="str">
        <f>IF($B21=0,$M21,_xlfn.TEXTBEFORE(Q20,"/",$B21,,,Q20)&amp;"/"&amp;$M21)&amp;IF(_xlfn.TEXTAFTER($D21,"..",,,,1)&lt;&gt;"1","[0]","")</f>
        <v>*/Declarant/name</v>
      </c>
    </row>
    <row r="22" spans="1:17" ht="12" customHeight="1" outlineLevel="2" x14ac:dyDescent="0.35">
      <c r="A22" s="3" t="str">
        <f>$E$2</f>
        <v>CC460B</v>
      </c>
      <c r="B22" s="4">
        <v>2</v>
      </c>
      <c r="C22" s="3" t="s">
        <v>24</v>
      </c>
      <c r="D22" s="3" t="s">
        <v>30</v>
      </c>
      <c r="E22" s="8" t="s">
        <v>86</v>
      </c>
      <c r="F22" s="4"/>
      <c r="G22" s="3" t="s">
        <v>396</v>
      </c>
      <c r="H22" s="4"/>
      <c r="I22" s="3" t="s">
        <v>401</v>
      </c>
      <c r="J22" s="4"/>
      <c r="K22" s="4"/>
      <c r="L22" s="4"/>
      <c r="M22" s="3" t="s">
        <v>86</v>
      </c>
      <c r="N22" s="4"/>
      <c r="O22" s="4"/>
      <c r="P22" s="3" t="s">
        <v>87</v>
      </c>
      <c r="Q22" s="1" t="str">
        <f>IF($B22=0,$M22,_xlfn.TEXTBEFORE(Q21,"/",$B22,,,Q21)&amp;"/"&amp;$M22)&amp;IF(_xlfn.TEXTAFTER($D22,"..",,,,1)&lt;&gt;"1","[0]","")</f>
        <v>*/Declarant/Address</v>
      </c>
    </row>
    <row r="23" spans="1:17" ht="12" customHeight="1" outlineLevel="3" x14ac:dyDescent="0.35">
      <c r="A23" s="2" t="str">
        <f>$E$2</f>
        <v>CC460B</v>
      </c>
      <c r="B23" s="1">
        <v>3</v>
      </c>
      <c r="C23" s="1" t="s">
        <v>19</v>
      </c>
      <c r="D23" s="2" t="s">
        <v>25</v>
      </c>
      <c r="E23" s="9" t="s">
        <v>88</v>
      </c>
      <c r="F23" s="7" t="s">
        <v>83</v>
      </c>
      <c r="G23" s="2" t="s">
        <v>27</v>
      </c>
      <c r="M23" s="2" t="s">
        <v>89</v>
      </c>
      <c r="P23" s="2" t="s">
        <v>90</v>
      </c>
      <c r="Q23" s="1" t="str">
        <f>IF($B23=0,$M23,_xlfn.TEXTBEFORE(Q22,"/",$B23,,,Q22)&amp;"/"&amp;$M23)&amp;IF(_xlfn.TEXTAFTER($D23,"..",,,,1)&lt;&gt;"1","[0]","")</f>
        <v>*/Declarant/Address/streetAndNumber</v>
      </c>
    </row>
    <row r="24" spans="1:17" ht="12" customHeight="1" outlineLevel="3" x14ac:dyDescent="0.35">
      <c r="A24" s="2" t="str">
        <f>$E$2</f>
        <v>CC460B</v>
      </c>
      <c r="B24" s="1">
        <v>3</v>
      </c>
      <c r="C24" s="1" t="s">
        <v>19</v>
      </c>
      <c r="D24" s="2" t="s">
        <v>30</v>
      </c>
      <c r="E24" s="9" t="s">
        <v>91</v>
      </c>
      <c r="F24" s="7" t="s">
        <v>92</v>
      </c>
      <c r="G24" s="2" t="s">
        <v>396</v>
      </c>
      <c r="I24" s="2" t="s">
        <v>402</v>
      </c>
      <c r="M24" s="2" t="s">
        <v>93</v>
      </c>
      <c r="P24" s="2" t="s">
        <v>94</v>
      </c>
      <c r="Q24" s="1" t="str">
        <f>IF($B24=0,$M24,_xlfn.TEXTBEFORE(Q23,"/",$B24,,,Q23)&amp;"/"&amp;$M24)&amp;IF(_xlfn.TEXTAFTER($D24,"..",,,,1)&lt;&gt;"1","[0]","")</f>
        <v>*/Declarant/Address/postcode</v>
      </c>
    </row>
    <row r="25" spans="1:17" ht="12" customHeight="1" outlineLevel="3" x14ac:dyDescent="0.35">
      <c r="A25" s="2" t="str">
        <f>$E$2</f>
        <v>CC460B</v>
      </c>
      <c r="B25" s="1">
        <v>3</v>
      </c>
      <c r="C25" s="1" t="s">
        <v>19</v>
      </c>
      <c r="D25" s="2" t="s">
        <v>25</v>
      </c>
      <c r="E25" s="9" t="s">
        <v>95</v>
      </c>
      <c r="F25" s="7" t="s">
        <v>96</v>
      </c>
      <c r="G25" s="2" t="s">
        <v>27</v>
      </c>
      <c r="M25" s="2" t="s">
        <v>97</v>
      </c>
      <c r="P25" s="2" t="s">
        <v>98</v>
      </c>
      <c r="Q25" s="1" t="str">
        <f>IF($B25=0,$M25,_xlfn.TEXTBEFORE(Q24,"/",$B25,,,Q24)&amp;"/"&amp;$M25)&amp;IF(_xlfn.TEXTAFTER($D25,"..",,,,1)&lt;&gt;"1","[0]","")</f>
        <v>*/Declarant/Address/city</v>
      </c>
    </row>
    <row r="26" spans="1:17" ht="12" customHeight="1" outlineLevel="3" x14ac:dyDescent="0.35">
      <c r="A26" s="2" t="str">
        <f>$E$2</f>
        <v>CC460B</v>
      </c>
      <c r="B26" s="1">
        <v>3</v>
      </c>
      <c r="C26" s="1" t="s">
        <v>19</v>
      </c>
      <c r="D26" s="2" t="s">
        <v>25</v>
      </c>
      <c r="E26" s="9" t="s">
        <v>99</v>
      </c>
      <c r="F26" s="7" t="s">
        <v>50</v>
      </c>
      <c r="G26" s="2" t="s">
        <v>27</v>
      </c>
      <c r="J26" s="2" t="s">
        <v>403</v>
      </c>
      <c r="M26" s="2" t="s">
        <v>100</v>
      </c>
      <c r="P26" s="2" t="s">
        <v>52</v>
      </c>
      <c r="Q26" s="1" t="str">
        <f>IF($B26=0,$M26,_xlfn.TEXTBEFORE(Q25,"/",$B26,,,Q25)&amp;"/"&amp;$M26)&amp;IF(_xlfn.TEXTAFTER($D26,"..",,,,1)&lt;&gt;"1","[0]","")</f>
        <v>*/Declarant/Address/country</v>
      </c>
    </row>
    <row r="27" spans="1:17" ht="12" customHeight="1" outlineLevel="2" x14ac:dyDescent="0.35">
      <c r="A27" s="3" t="str">
        <f>$E$2</f>
        <v>CC460B</v>
      </c>
      <c r="B27" s="4">
        <v>2</v>
      </c>
      <c r="C27" s="3" t="s">
        <v>24</v>
      </c>
      <c r="D27" s="3" t="s">
        <v>30</v>
      </c>
      <c r="E27" s="8" t="s">
        <v>105</v>
      </c>
      <c r="F27" s="4"/>
      <c r="G27" s="3" t="s">
        <v>22</v>
      </c>
      <c r="H27" s="3" t="s">
        <v>409</v>
      </c>
      <c r="I27" s="4"/>
      <c r="J27" s="4"/>
      <c r="K27" s="4"/>
      <c r="L27" s="4"/>
      <c r="M27" s="3" t="s">
        <v>106</v>
      </c>
      <c r="N27" s="4"/>
      <c r="O27" s="4"/>
      <c r="P27" s="3" t="s">
        <v>107</v>
      </c>
      <c r="Q27" s="1" t="str">
        <f>IF($B27=0,$M27,_xlfn.TEXTBEFORE(Q26,"/",$B27,,,Q26)&amp;"/"&amp;$M27)&amp;IF(_xlfn.TEXTAFTER($D27,"..",,,,1)&lt;&gt;"1","[0]","")</f>
        <v>*/Declarant/ContactPerson</v>
      </c>
    </row>
    <row r="28" spans="1:17" ht="12" customHeight="1" outlineLevel="3" x14ac:dyDescent="0.35">
      <c r="A28" s="2" t="str">
        <f>$E$2</f>
        <v>CC460B</v>
      </c>
      <c r="B28" s="1">
        <v>3</v>
      </c>
      <c r="C28" s="1" t="s">
        <v>19</v>
      </c>
      <c r="D28" s="2" t="s">
        <v>25</v>
      </c>
      <c r="E28" s="9" t="s">
        <v>4</v>
      </c>
      <c r="F28" s="7" t="s">
        <v>83</v>
      </c>
      <c r="G28" s="2" t="s">
        <v>27</v>
      </c>
      <c r="M28" s="2" t="s">
        <v>84</v>
      </c>
      <c r="P28" s="2" t="s">
        <v>85</v>
      </c>
      <c r="Q28" s="1" t="str">
        <f>IF($B28=0,$M28,_xlfn.TEXTBEFORE(Q27,"/",$B28,,,Q27)&amp;"/"&amp;$M28)&amp;IF(_xlfn.TEXTAFTER($D28,"..",,,,1)&lt;&gt;"1","[0]","")</f>
        <v>*/Declarant/ContactPerson/name</v>
      </c>
    </row>
    <row r="29" spans="1:17" ht="12" customHeight="1" outlineLevel="3" x14ac:dyDescent="0.35">
      <c r="A29" s="2" t="str">
        <f>$E$2</f>
        <v>CC460B</v>
      </c>
      <c r="B29" s="1">
        <v>3</v>
      </c>
      <c r="C29" s="1" t="s">
        <v>19</v>
      </c>
      <c r="D29" s="2" t="s">
        <v>25</v>
      </c>
      <c r="E29" s="9" t="s">
        <v>108</v>
      </c>
      <c r="F29" s="7" t="s">
        <v>96</v>
      </c>
      <c r="G29" s="2" t="s">
        <v>27</v>
      </c>
      <c r="M29" s="2" t="s">
        <v>109</v>
      </c>
      <c r="P29" s="2" t="s">
        <v>110</v>
      </c>
      <c r="Q29" s="1" t="str">
        <f>IF($B29=0,$M29,_xlfn.TEXTBEFORE(Q28,"/",$B29,,,Q28)&amp;"/"&amp;$M29)&amp;IF(_xlfn.TEXTAFTER($D29,"..",,,,1)&lt;&gt;"1","[0]","")</f>
        <v>*/Declarant/ContactPerson/phoneNumber</v>
      </c>
    </row>
    <row r="30" spans="1:17" ht="12" customHeight="1" outlineLevel="3" x14ac:dyDescent="0.35">
      <c r="A30" s="2" t="str">
        <f>$E$2</f>
        <v>CC460B</v>
      </c>
      <c r="B30" s="1">
        <v>3</v>
      </c>
      <c r="C30" s="1" t="s">
        <v>19</v>
      </c>
      <c r="D30" s="2" t="s">
        <v>25</v>
      </c>
      <c r="E30" s="9" t="s">
        <v>111</v>
      </c>
      <c r="F30" s="7" t="s">
        <v>112</v>
      </c>
      <c r="G30" s="2" t="s">
        <v>27</v>
      </c>
      <c r="M30" s="2" t="s">
        <v>113</v>
      </c>
      <c r="P30" s="2" t="s">
        <v>114</v>
      </c>
      <c r="Q30" s="1" t="str">
        <f>IF($B30=0,$M30,_xlfn.TEXTBEFORE(Q29,"/",$B30,,,Q29)&amp;"/"&amp;$M30)&amp;IF(_xlfn.TEXTAFTER($D30,"..",,,,1)&lt;&gt;"1","[0]","")</f>
        <v>*/Declarant/ContactPerson/eMailAddress</v>
      </c>
    </row>
    <row r="31" spans="1:17" ht="12" customHeight="1" outlineLevel="1" x14ac:dyDescent="0.35">
      <c r="A31" s="3" t="str">
        <f>$E$2</f>
        <v>CC460B</v>
      </c>
      <c r="B31" s="4">
        <v>1</v>
      </c>
      <c r="C31" s="3" t="s">
        <v>24</v>
      </c>
      <c r="D31" s="3" t="s">
        <v>30</v>
      </c>
      <c r="E31" s="5" t="s">
        <v>121</v>
      </c>
      <c r="F31" s="4"/>
      <c r="G31" s="3" t="s">
        <v>22</v>
      </c>
      <c r="H31" s="4"/>
      <c r="I31" s="4"/>
      <c r="J31" s="4"/>
      <c r="K31" s="4"/>
      <c r="L31" s="4"/>
      <c r="M31" s="3" t="s">
        <v>121</v>
      </c>
      <c r="N31" s="4"/>
      <c r="O31" s="4"/>
      <c r="P31" s="3" t="s">
        <v>1240</v>
      </c>
      <c r="Q31" s="1" t="str">
        <f>IF($B31=0,$M31,_xlfn.TEXTBEFORE(Q30,"/",$B31,,,Q30)&amp;"/"&amp;$M31)&amp;IF(_xlfn.TEXTAFTER($D31,"..",,,,1)&lt;&gt;"1","[0]","")</f>
        <v>*/Representative</v>
      </c>
    </row>
    <row r="32" spans="1:17" ht="12" customHeight="1" outlineLevel="2" x14ac:dyDescent="0.35">
      <c r="A32" s="2" t="str">
        <f>$E$2</f>
        <v>CC460B</v>
      </c>
      <c r="B32" s="1">
        <v>2</v>
      </c>
      <c r="C32" s="1" t="s">
        <v>19</v>
      </c>
      <c r="D32" s="2" t="s">
        <v>25</v>
      </c>
      <c r="E32" s="6" t="s">
        <v>81</v>
      </c>
      <c r="F32" s="7" t="s">
        <v>68</v>
      </c>
      <c r="G32" s="2" t="s">
        <v>27</v>
      </c>
      <c r="H32" s="2" t="s">
        <v>788</v>
      </c>
      <c r="M32" s="2" t="s">
        <v>82</v>
      </c>
      <c r="P32" s="2" t="s">
        <v>70</v>
      </c>
      <c r="Q32" s="1" t="str">
        <f>IF($B32=0,$M32,_xlfn.TEXTBEFORE(Q31,"/",$B32,,,Q31)&amp;"/"&amp;$M32)&amp;IF(_xlfn.TEXTAFTER($D32,"..",,,,1)&lt;&gt;"1","[0]","")</f>
        <v>*/Representative/identificationNumber</v>
      </c>
    </row>
    <row r="33" spans="1:17" ht="12" customHeight="1" outlineLevel="2" x14ac:dyDescent="0.35">
      <c r="A33" s="2" t="str">
        <f>$E$2</f>
        <v>CC460B</v>
      </c>
      <c r="B33" s="1">
        <v>2</v>
      </c>
      <c r="C33" s="1" t="s">
        <v>19</v>
      </c>
      <c r="D33" s="2" t="s">
        <v>25</v>
      </c>
      <c r="E33" s="6" t="s">
        <v>6</v>
      </c>
      <c r="F33" s="7" t="s">
        <v>123</v>
      </c>
      <c r="G33" s="2" t="s">
        <v>27</v>
      </c>
      <c r="H33" s="2" t="s">
        <v>407</v>
      </c>
      <c r="J33" s="2" t="s">
        <v>408</v>
      </c>
      <c r="M33" s="2" t="s">
        <v>124</v>
      </c>
      <c r="P33" s="2" t="s">
        <v>125</v>
      </c>
      <c r="Q33" s="1" t="str">
        <f>IF($B33=0,$M33,_xlfn.TEXTBEFORE(Q32,"/",$B33,,,Q32)&amp;"/"&amp;$M33)&amp;IF(_xlfn.TEXTAFTER($D33,"..",,,,1)&lt;&gt;"1","[0]","")</f>
        <v>*/Representative/status</v>
      </c>
    </row>
    <row r="34" spans="1:17" ht="12" customHeight="1" outlineLevel="2" x14ac:dyDescent="0.35">
      <c r="A34" s="3" t="str">
        <f>$E$2</f>
        <v>CC460B</v>
      </c>
      <c r="B34" s="4">
        <v>2</v>
      </c>
      <c r="C34" s="3" t="s">
        <v>24</v>
      </c>
      <c r="D34" s="3" t="s">
        <v>30</v>
      </c>
      <c r="E34" s="8" t="s">
        <v>105</v>
      </c>
      <c r="F34" s="4"/>
      <c r="G34" s="3" t="s">
        <v>22</v>
      </c>
      <c r="H34" s="3" t="s">
        <v>409</v>
      </c>
      <c r="I34" s="4"/>
      <c r="J34" s="4"/>
      <c r="K34" s="4"/>
      <c r="L34" s="4"/>
      <c r="M34" s="3" t="s">
        <v>106</v>
      </c>
      <c r="N34" s="4"/>
      <c r="O34" s="4"/>
      <c r="P34" s="3" t="s">
        <v>107</v>
      </c>
      <c r="Q34" s="1" t="str">
        <f>IF($B34=0,$M34,_xlfn.TEXTBEFORE(Q33,"/",$B34,,,Q33)&amp;"/"&amp;$M34)&amp;IF(_xlfn.TEXTAFTER($D34,"..",,,,1)&lt;&gt;"1","[0]","")</f>
        <v>*/Representative/ContactPerson</v>
      </c>
    </row>
    <row r="35" spans="1:17" ht="12" customHeight="1" outlineLevel="3" x14ac:dyDescent="0.35">
      <c r="A35" s="2" t="str">
        <f>$E$2</f>
        <v>CC460B</v>
      </c>
      <c r="B35" s="1">
        <v>3</v>
      </c>
      <c r="C35" s="1" t="s">
        <v>19</v>
      </c>
      <c r="D35" s="2" t="s">
        <v>25</v>
      </c>
      <c r="E35" s="9" t="s">
        <v>4</v>
      </c>
      <c r="F35" s="7" t="s">
        <v>83</v>
      </c>
      <c r="G35" s="2" t="s">
        <v>27</v>
      </c>
      <c r="M35" s="2" t="s">
        <v>84</v>
      </c>
      <c r="P35" s="2" t="s">
        <v>85</v>
      </c>
      <c r="Q35" s="1" t="str">
        <f>IF($B35=0,$M35,_xlfn.TEXTBEFORE(Q34,"/",$B35,,,Q34)&amp;"/"&amp;$M35)&amp;IF(_xlfn.TEXTAFTER($D35,"..",,,,1)&lt;&gt;"1","[0]","")</f>
        <v>*/Representative/ContactPerson/name</v>
      </c>
    </row>
    <row r="36" spans="1:17" ht="12" customHeight="1" outlineLevel="3" x14ac:dyDescent="0.35">
      <c r="A36" s="2" t="str">
        <f>$E$2</f>
        <v>CC460B</v>
      </c>
      <c r="B36" s="1">
        <v>3</v>
      </c>
      <c r="C36" s="1" t="s">
        <v>19</v>
      </c>
      <c r="D36" s="2" t="s">
        <v>25</v>
      </c>
      <c r="E36" s="9" t="s">
        <v>108</v>
      </c>
      <c r="F36" s="7" t="s">
        <v>96</v>
      </c>
      <c r="G36" s="2" t="s">
        <v>27</v>
      </c>
      <c r="M36" s="2" t="s">
        <v>109</v>
      </c>
      <c r="P36" s="2" t="s">
        <v>110</v>
      </c>
      <c r="Q36" s="1" t="str">
        <f>IF($B36=0,$M36,_xlfn.TEXTBEFORE(Q35,"/",$B36,,,Q35)&amp;"/"&amp;$M36)&amp;IF(_xlfn.TEXTAFTER($D36,"..",,,,1)&lt;&gt;"1","[0]","")</f>
        <v>*/Representative/ContactPerson/phoneNumber</v>
      </c>
    </row>
    <row r="37" spans="1:17" ht="12" customHeight="1" outlineLevel="3" x14ac:dyDescent="0.35">
      <c r="A37" s="2" t="str">
        <f>$E$2</f>
        <v>CC460B</v>
      </c>
      <c r="B37" s="1">
        <v>3</v>
      </c>
      <c r="C37" s="1" t="s">
        <v>19</v>
      </c>
      <c r="D37" s="2" t="s">
        <v>25</v>
      </c>
      <c r="E37" s="9" t="s">
        <v>111</v>
      </c>
      <c r="F37" s="7" t="s">
        <v>112</v>
      </c>
      <c r="G37" s="2" t="s">
        <v>27</v>
      </c>
      <c r="M37" s="2" t="s">
        <v>113</v>
      </c>
      <c r="P37" s="2" t="s">
        <v>114</v>
      </c>
      <c r="Q37" s="1" t="str">
        <f>IF($B37=0,$M37,_xlfn.TEXTBEFORE(Q36,"/",$B37,,,Q36)&amp;"/"&amp;$M37)&amp;IF(_xlfn.TEXTAFTER($D37,"..",,,,1)&lt;&gt;"1","[0]","")</f>
        <v>*/Representative/ContactPerson/eMailAddress</v>
      </c>
    </row>
    <row r="38" spans="1:17" ht="12" customHeight="1" outlineLevel="1" x14ac:dyDescent="0.35">
      <c r="A38" s="3" t="str">
        <f>$E$2</f>
        <v>CC460B</v>
      </c>
      <c r="B38" s="4">
        <v>1</v>
      </c>
      <c r="C38" s="3" t="s">
        <v>24</v>
      </c>
      <c r="D38" s="3" t="s">
        <v>193</v>
      </c>
      <c r="E38" s="5" t="s">
        <v>1456</v>
      </c>
      <c r="F38" s="4"/>
      <c r="G38" s="3" t="s">
        <v>396</v>
      </c>
      <c r="H38" s="4"/>
      <c r="I38" s="3" t="s">
        <v>1455</v>
      </c>
      <c r="J38" s="4"/>
      <c r="K38" s="4"/>
      <c r="L38" s="4"/>
      <c r="M38" s="3" t="s">
        <v>1454</v>
      </c>
      <c r="N38" s="4"/>
      <c r="O38" s="4"/>
      <c r="P38" s="3" t="s">
        <v>1453</v>
      </c>
      <c r="Q38" s="1" t="str">
        <f>IF($B38=0,$M38,_xlfn.TEXTBEFORE(Q37,"/",$B38,,,Q37)&amp;"/"&amp;$M38)&amp;IF(_xlfn.TEXTAFTER($D38,"..",,,,1)&lt;&gt;"1","[0]","")</f>
        <v>*/TypeOfControls[0]</v>
      </c>
    </row>
    <row r="39" spans="1:17" ht="12" customHeight="1" outlineLevel="2" x14ac:dyDescent="0.35">
      <c r="A39" s="2" t="str">
        <f>$E$2</f>
        <v>CC460B</v>
      </c>
      <c r="B39" s="1">
        <v>2</v>
      </c>
      <c r="C39" s="1" t="s">
        <v>19</v>
      </c>
      <c r="D39" s="2" t="s">
        <v>25</v>
      </c>
      <c r="E39" s="6" t="s">
        <v>56</v>
      </c>
      <c r="F39" s="7" t="s">
        <v>57</v>
      </c>
      <c r="G39" s="2" t="s">
        <v>27</v>
      </c>
      <c r="H39" s="2" t="s">
        <v>393</v>
      </c>
      <c r="M39" s="2" t="s">
        <v>58</v>
      </c>
      <c r="P39" s="2" t="s">
        <v>59</v>
      </c>
      <c r="Q39" s="1" t="str">
        <f>IF($B39=0,$M39,_xlfn.TEXTBEFORE(Q38,"/",$B39,,,Q38)&amp;"/"&amp;$M39)&amp;IF(_xlfn.TEXTAFTER($D39,"..",,,,1)&lt;&gt;"1","[0]","")</f>
        <v>*/TypeOfControls[0]/sequenceNumber</v>
      </c>
    </row>
    <row r="40" spans="1:17" ht="12" customHeight="1" outlineLevel="2" x14ac:dyDescent="0.35">
      <c r="A40" s="2" t="str">
        <f>$E$2</f>
        <v>CC460B</v>
      </c>
      <c r="B40" s="1">
        <v>2</v>
      </c>
      <c r="C40" s="1" t="s">
        <v>19</v>
      </c>
      <c r="D40" s="2" t="s">
        <v>25</v>
      </c>
      <c r="E40" s="6" t="s">
        <v>2</v>
      </c>
      <c r="F40" s="7" t="s">
        <v>1492</v>
      </c>
      <c r="G40" s="2" t="s">
        <v>27</v>
      </c>
      <c r="J40" s="2" t="s">
        <v>1347</v>
      </c>
      <c r="M40" s="2" t="s">
        <v>61</v>
      </c>
      <c r="P40" s="2" t="s">
        <v>1349</v>
      </c>
      <c r="Q40" s="1" t="str">
        <f>IF($B40=0,$M40,_xlfn.TEXTBEFORE(Q39,"/",$B40,,,Q39)&amp;"/"&amp;$M40)&amp;IF(_xlfn.TEXTAFTER($D40,"..",,,,1)&lt;&gt;"1","[0]","")</f>
        <v>*/TypeOfControls[0]/type</v>
      </c>
    </row>
    <row r="41" spans="1:17" ht="12" customHeight="1" outlineLevel="2" x14ac:dyDescent="0.35">
      <c r="A41" s="2" t="str">
        <f>$E$2</f>
        <v>CC460B</v>
      </c>
      <c r="B41" s="1">
        <v>2</v>
      </c>
      <c r="C41" s="1" t="s">
        <v>19</v>
      </c>
      <c r="D41" s="2" t="s">
        <v>30</v>
      </c>
      <c r="E41" s="6" t="s">
        <v>1323</v>
      </c>
      <c r="F41" s="7" t="s">
        <v>216</v>
      </c>
      <c r="G41" s="2" t="s">
        <v>22</v>
      </c>
      <c r="M41" s="2" t="s">
        <v>1324</v>
      </c>
      <c r="P41" s="2" t="s">
        <v>218</v>
      </c>
      <c r="Q41" s="1" t="str">
        <f>IF($B41=0,$M41,_xlfn.TEXTBEFORE(Q40,"/",$B41,,,Q40)&amp;"/"&amp;$M41)&amp;IF(_xlfn.TEXTAFTER($D41,"..",,,,1)&lt;&gt;"1","[0]","")</f>
        <v>*/TypeOfControls[0]/remarks</v>
      </c>
    </row>
    <row r="42" spans="1:17" ht="12" customHeight="1" outlineLevel="1" x14ac:dyDescent="0.35">
      <c r="A42" s="3" t="str">
        <f>$E$2</f>
        <v>CC460B</v>
      </c>
      <c r="B42" s="4">
        <v>1</v>
      </c>
      <c r="C42" s="3" t="s">
        <v>24</v>
      </c>
      <c r="D42" s="3" t="s">
        <v>193</v>
      </c>
      <c r="E42" s="5" t="s">
        <v>368</v>
      </c>
      <c r="F42" s="4"/>
      <c r="G42" s="3" t="s">
        <v>396</v>
      </c>
      <c r="H42" s="4"/>
      <c r="I42" s="3" t="s">
        <v>1452</v>
      </c>
      <c r="J42" s="4"/>
      <c r="K42" s="4"/>
      <c r="L42" s="4"/>
      <c r="M42" s="3" t="s">
        <v>369</v>
      </c>
      <c r="N42" s="4"/>
      <c r="O42" s="4"/>
      <c r="P42" s="3" t="s">
        <v>1451</v>
      </c>
      <c r="Q42" s="1" t="str">
        <f>IF($B42=0,$M42,_xlfn.TEXTBEFORE(Q41,"/",$B42,,,Q41)&amp;"/"&amp;$M42)&amp;IF(_xlfn.TEXTAFTER($D42,"..",,,,1)&lt;&gt;"1","[0]","")</f>
        <v>*/RequestedDocuments[0]</v>
      </c>
    </row>
    <row r="43" spans="1:17" ht="12" customHeight="1" outlineLevel="2" x14ac:dyDescent="0.35">
      <c r="A43" s="2" t="str">
        <f>$E$2</f>
        <v>CC460B</v>
      </c>
      <c r="B43" s="1">
        <v>2</v>
      </c>
      <c r="C43" s="1" t="s">
        <v>19</v>
      </c>
      <c r="D43" s="2" t="s">
        <v>25</v>
      </c>
      <c r="E43" s="6" t="s">
        <v>56</v>
      </c>
      <c r="F43" s="7" t="s">
        <v>57</v>
      </c>
      <c r="G43" s="2" t="s">
        <v>27</v>
      </c>
      <c r="H43" s="2" t="s">
        <v>393</v>
      </c>
      <c r="M43" s="2" t="s">
        <v>58</v>
      </c>
      <c r="P43" s="2" t="s">
        <v>59</v>
      </c>
      <c r="Q43" s="1" t="str">
        <f>IF($B43=0,$M43,_xlfn.TEXTBEFORE(Q42,"/",$B43,,,Q42)&amp;"/"&amp;$M43)&amp;IF(_xlfn.TEXTAFTER($D43,"..",,,,1)&lt;&gt;"1","[0]","")</f>
        <v>*/RequestedDocuments[0]/sequenceNumber</v>
      </c>
    </row>
    <row r="44" spans="1:17" ht="12" customHeight="1" outlineLevel="2" x14ac:dyDescent="0.35">
      <c r="A44" s="2" t="str">
        <f>$E$2</f>
        <v>CC460B</v>
      </c>
      <c r="B44" s="1">
        <v>2</v>
      </c>
      <c r="C44" s="1" t="s">
        <v>19</v>
      </c>
      <c r="D44" s="2" t="s">
        <v>25</v>
      </c>
      <c r="E44" s="6" t="s">
        <v>2</v>
      </c>
      <c r="F44" s="7" t="s">
        <v>306</v>
      </c>
      <c r="G44" s="2" t="s">
        <v>27</v>
      </c>
      <c r="H44" s="2" t="s">
        <v>987</v>
      </c>
      <c r="J44" s="7" t="s">
        <v>1450</v>
      </c>
      <c r="M44" s="2" t="s">
        <v>61</v>
      </c>
      <c r="P44" s="2" t="s">
        <v>307</v>
      </c>
      <c r="Q44" s="1" t="str">
        <f>IF($B44=0,$M44,_xlfn.TEXTBEFORE(Q43,"/",$B44,,,Q43)&amp;"/"&amp;$M44)&amp;IF(_xlfn.TEXTAFTER($D44,"..",,,,1)&lt;&gt;"1","[0]","")</f>
        <v>*/RequestedDocuments[0]/type</v>
      </c>
    </row>
    <row r="45" spans="1:17" ht="12" customHeight="1" outlineLevel="2" x14ac:dyDescent="0.35">
      <c r="A45" s="2" t="str">
        <f>$E$2</f>
        <v>CC460B</v>
      </c>
      <c r="B45" s="1">
        <v>2</v>
      </c>
      <c r="C45" s="1" t="s">
        <v>19</v>
      </c>
      <c r="D45" s="2" t="s">
        <v>30</v>
      </c>
      <c r="E45" s="6" t="s">
        <v>142</v>
      </c>
      <c r="F45" s="7" t="s">
        <v>50</v>
      </c>
      <c r="G45" s="2" t="s">
        <v>396</v>
      </c>
      <c r="H45" s="2" t="s">
        <v>512</v>
      </c>
      <c r="I45" s="2" t="s">
        <v>493</v>
      </c>
      <c r="J45" s="2" t="s">
        <v>416</v>
      </c>
      <c r="M45" s="2" t="s">
        <v>143</v>
      </c>
      <c r="P45" s="2" t="s">
        <v>52</v>
      </c>
      <c r="Q45" s="1" t="str">
        <f>IF($B45=0,$M45,_xlfn.TEXTBEFORE(Q44,"/",$B45,,,Q44)&amp;"/"&amp;$M45)&amp;IF(_xlfn.TEXTAFTER($D45,"..",,,,1)&lt;&gt;"1","[0]","")</f>
        <v>*/RequestedDocuments[0]/ccQualifier</v>
      </c>
    </row>
    <row r="46" spans="1:17" ht="12" customHeight="1" outlineLevel="2" x14ac:dyDescent="0.35">
      <c r="A46" s="2" t="str">
        <f>$E$2</f>
        <v>CC460B</v>
      </c>
      <c r="B46" s="1">
        <v>2</v>
      </c>
      <c r="C46" s="1" t="s">
        <v>19</v>
      </c>
      <c r="D46" s="2" t="s">
        <v>30</v>
      </c>
      <c r="E46" s="6" t="s">
        <v>63</v>
      </c>
      <c r="F46" s="7" t="s">
        <v>83</v>
      </c>
      <c r="G46" s="2" t="s">
        <v>22</v>
      </c>
      <c r="M46" s="2" t="s">
        <v>65</v>
      </c>
      <c r="P46" s="2" t="s">
        <v>308</v>
      </c>
      <c r="Q46" s="1" t="str">
        <f>IF($B46=0,$M46,_xlfn.TEXTBEFORE(Q45,"/",$B46,,,Q45)&amp;"/"&amp;$M46)&amp;IF(_xlfn.TEXTAFTER($D46,"..",,,,1)&lt;&gt;"1","[0]","")</f>
        <v>*/RequestedDocuments[0]/referenceNumber</v>
      </c>
    </row>
    <row r="47" spans="1:17" ht="12" customHeight="1" outlineLevel="2" x14ac:dyDescent="0.35">
      <c r="A47" s="2" t="str">
        <f>$E$2</f>
        <v>CC460B</v>
      </c>
      <c r="B47" s="1">
        <v>2</v>
      </c>
      <c r="C47" s="1" t="s">
        <v>19</v>
      </c>
      <c r="D47" s="2" t="s">
        <v>30</v>
      </c>
      <c r="E47" s="6" t="s">
        <v>209</v>
      </c>
      <c r="F47" s="7" t="s">
        <v>216</v>
      </c>
      <c r="G47" s="2" t="s">
        <v>22</v>
      </c>
      <c r="M47" s="2" t="s">
        <v>371</v>
      </c>
      <c r="P47" s="2" t="s">
        <v>218</v>
      </c>
      <c r="Q47" s="1" t="str">
        <f>IF($B47=0,$M47,_xlfn.TEXTBEFORE(Q46,"/",$B47,,,Q46)&amp;"/"&amp;$M47)&amp;IF(_xlfn.TEXTAFTER($D47,"..",,,,1)&lt;&gt;"1","[0]","")</f>
        <v>*/RequestedDocuments[0]/description</v>
      </c>
    </row>
    <row r="48" spans="1:17" ht="12" customHeight="1" x14ac:dyDescent="0.35"/>
  </sheetData>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8DDD3-5371-472D-827F-7CF5FFD3E0E3}">
  <sheetPr codeName="Ark36">
    <tabColor rgb="FFC00000"/>
    <outlinePr summaryBelow="0" summaryRight="0"/>
  </sheetPr>
  <dimension ref="A1:R83"/>
  <sheetViews>
    <sheetView zoomScaleNormal="100" workbookViewId="0">
      <pane xSplit="1" ySplit="1" topLeftCell="D2" activePane="bottomRight" state="frozen"/>
      <selection activeCell="D2" sqref="D2"/>
      <selection pane="topRight" activeCell="D2" sqref="D2"/>
      <selection pane="bottomLeft" activeCell="D2" sqref="D2"/>
      <selection pane="bottomRight" activeCell="D2" sqref="D2"/>
    </sheetView>
  </sheetViews>
  <sheetFormatPr defaultColWidth="11.54296875" defaultRowHeight="12" outlineLevelRow="3" x14ac:dyDescent="0.35"/>
  <cols>
    <col min="1" max="3" width="0" style="1" hidden="1" customWidth="1"/>
    <col min="4" max="4" width="6.6328125" style="1" customWidth="1"/>
    <col min="5" max="5" width="70.6328125" style="1" customWidth="1"/>
    <col min="6" max="11" width="8.6328125" style="1" customWidth="1"/>
    <col min="12" max="14" width="24.6328125" style="1" customWidth="1"/>
    <col min="15" max="15" width="24.6328125" style="1" hidden="1" customWidth="1"/>
    <col min="16" max="17" width="24.6328125" style="1" customWidth="1"/>
    <col min="18" max="16384" width="11.54296875" style="1"/>
  </cols>
  <sheetData>
    <row r="1" spans="1:18" ht="12"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P1" s="1" t="s">
        <v>14</v>
      </c>
      <c r="Q1" s="1" t="s">
        <v>208</v>
      </c>
      <c r="R1" s="1" t="s">
        <v>209</v>
      </c>
    </row>
    <row r="2" spans="1:18" ht="12" customHeight="1" x14ac:dyDescent="0.35">
      <c r="A2" s="2" t="str">
        <f>$E$2</f>
        <v>CC462B</v>
      </c>
      <c r="B2" s="1">
        <v>0</v>
      </c>
      <c r="C2" s="2" t="s">
        <v>16</v>
      </c>
      <c r="E2" s="2" t="s">
        <v>1468</v>
      </c>
      <c r="M2" s="2" t="s">
        <v>17</v>
      </c>
      <c r="P2" s="2" t="s">
        <v>1469</v>
      </c>
      <c r="Q2" s="1" t="str">
        <f>IF($B2=0,$M2,_xlfn.TEXTBEFORE(Q1,"/",$B2,,,Q1)&amp;"/"&amp;$M2)&amp;IF(_xlfn.TEXTAFTER($D2,"..",,,,1)&lt;&gt;"1","[0]","")</f>
        <v>*</v>
      </c>
    </row>
    <row r="3" spans="1:18" ht="12" customHeight="1" outlineLevel="1" x14ac:dyDescent="0.35">
      <c r="A3" s="3" t="str">
        <f>$E$2</f>
        <v>CC462B</v>
      </c>
      <c r="B3" s="4">
        <v>1</v>
      </c>
      <c r="C3" s="3" t="s">
        <v>24</v>
      </c>
      <c r="D3" s="3" t="s">
        <v>20</v>
      </c>
      <c r="E3" s="5" t="s">
        <v>21</v>
      </c>
      <c r="F3" s="4"/>
      <c r="G3" s="3" t="s">
        <v>22</v>
      </c>
      <c r="H3" s="4"/>
      <c r="I3" s="4"/>
      <c r="J3" s="4"/>
      <c r="K3" s="4"/>
      <c r="L3" s="4"/>
      <c r="M3" s="3" t="s">
        <v>21</v>
      </c>
      <c r="N3" s="4"/>
      <c r="O3" s="4"/>
      <c r="P3" s="3" t="s">
        <v>23</v>
      </c>
      <c r="Q3" s="1" t="str">
        <f>IF($B3=0,$M3,_xlfn.TEXTBEFORE(Q2,"/",$B3,,,Q2)&amp;"/"&amp;$M3)&amp;IF(_xlfn.TEXTAFTER($D3,"..",,,,1)&lt;&gt;"1","[0]","")</f>
        <v>*/Extensions[0]</v>
      </c>
    </row>
    <row r="4" spans="1:18" ht="12" customHeight="1" outlineLevel="2" x14ac:dyDescent="0.35">
      <c r="A4" s="2" t="str">
        <f>$E$2</f>
        <v>CC462B</v>
      </c>
      <c r="B4" s="1">
        <v>2</v>
      </c>
      <c r="C4" s="1" t="s">
        <v>19</v>
      </c>
      <c r="D4" s="2" t="s">
        <v>25</v>
      </c>
      <c r="E4" s="6" t="s">
        <v>774</v>
      </c>
      <c r="F4" s="1" t="s">
        <v>775</v>
      </c>
      <c r="G4" s="2" t="s">
        <v>27</v>
      </c>
      <c r="M4" s="2" t="s">
        <v>776</v>
      </c>
      <c r="Q4" s="1" t="str">
        <f>IF($B4=0,$M4,_xlfn.TEXTBEFORE(Q3,"/",$B4,,,Q3)&amp;"/"&amp;$M4)&amp;IF(_xlfn.TEXTAFTER($D4,"..",,,,1)&lt;&gt;"1","[0]","")</f>
        <v>*/Extensions[0]/SequenceNumeric</v>
      </c>
    </row>
    <row r="5" spans="1:18" ht="12" customHeight="1" outlineLevel="2" x14ac:dyDescent="0.35">
      <c r="A5" s="2" t="str">
        <f>$E$2</f>
        <v>CC462B</v>
      </c>
      <c r="B5" s="1">
        <v>2</v>
      </c>
      <c r="C5" s="1" t="s">
        <v>19</v>
      </c>
      <c r="D5" s="2" t="s">
        <v>30</v>
      </c>
      <c r="E5" s="6" t="s">
        <v>777</v>
      </c>
      <c r="F5" s="1" t="s">
        <v>778</v>
      </c>
      <c r="G5" s="2" t="s">
        <v>22</v>
      </c>
      <c r="M5" s="2" t="s">
        <v>779</v>
      </c>
      <c r="Q5" s="1" t="str">
        <f>IF($B5=0,$M5,_xlfn.TEXTBEFORE(Q4,"/",$B5,,,Q4)&amp;"/"&amp;$M5)&amp;IF(_xlfn.TEXTAFTER($D5,"..",,,,1)&lt;&gt;"1","[0]","")</f>
        <v>*/Extensions[0]/ID</v>
      </c>
    </row>
    <row r="6" spans="1:18" ht="12" customHeight="1" outlineLevel="2" x14ac:dyDescent="0.35">
      <c r="A6" s="2" t="str">
        <f>$E$2</f>
        <v>CC462B</v>
      </c>
      <c r="B6" s="1">
        <v>2</v>
      </c>
      <c r="C6" s="1" t="s">
        <v>19</v>
      </c>
      <c r="D6" s="2" t="s">
        <v>25</v>
      </c>
      <c r="E6" s="6" t="s">
        <v>780</v>
      </c>
      <c r="F6" s="1" t="s">
        <v>778</v>
      </c>
      <c r="G6" s="2" t="s">
        <v>27</v>
      </c>
      <c r="M6" s="2" t="s">
        <v>780</v>
      </c>
      <c r="Q6" s="1" t="str">
        <f>IF($B6=0,$M6,_xlfn.TEXTBEFORE(Q5,"/",$B6,,,Q5)&amp;"/"&amp;$M6)&amp;IF(_xlfn.TEXTAFTER($D6,"..",,,,1)&lt;&gt;"1","[0]","")</f>
        <v>*/Extensions[0]/Key</v>
      </c>
    </row>
    <row r="7" spans="1:18" ht="12" customHeight="1" outlineLevel="2" x14ac:dyDescent="0.35">
      <c r="A7" s="2" t="str">
        <f>$E$2</f>
        <v>CC462B</v>
      </c>
      <c r="B7" s="1">
        <v>2</v>
      </c>
      <c r="C7" s="1" t="s">
        <v>19</v>
      </c>
      <c r="D7" s="2" t="s">
        <v>25</v>
      </c>
      <c r="E7" s="6" t="s">
        <v>781</v>
      </c>
      <c r="F7" s="1" t="s">
        <v>778</v>
      </c>
      <c r="G7" s="2" t="s">
        <v>27</v>
      </c>
      <c r="M7" s="2" t="s">
        <v>781</v>
      </c>
      <c r="Q7" s="1" t="str">
        <f>IF($B7=0,$M7,_xlfn.TEXTBEFORE(Q6,"/",$B7,,,Q6)&amp;"/"&amp;$M7)&amp;IF(_xlfn.TEXTAFTER($D7,"..",,,,1)&lt;&gt;"1","[0]","")</f>
        <v>*/Extensions[0]/Value</v>
      </c>
    </row>
    <row r="8" spans="1:18" ht="12" customHeight="1" outlineLevel="2" x14ac:dyDescent="0.35">
      <c r="A8" s="2" t="str">
        <f>$E$2</f>
        <v>CC462B</v>
      </c>
      <c r="B8" s="1">
        <v>2</v>
      </c>
      <c r="C8" s="1" t="s">
        <v>19</v>
      </c>
      <c r="D8" s="2" t="s">
        <v>25</v>
      </c>
      <c r="E8" s="6" t="s">
        <v>782</v>
      </c>
      <c r="F8" s="7" t="s">
        <v>783</v>
      </c>
      <c r="G8" s="2" t="s">
        <v>27</v>
      </c>
      <c r="M8" s="2" t="s">
        <v>784</v>
      </c>
      <c r="Q8" s="1" t="str">
        <f>IF($B8=0,$M8,_xlfn.TEXTBEFORE(Q7,"/",$B8,,,Q7)&amp;"/"&amp;$M8)&amp;IF(_xlfn.TEXTAFTER($D8,"..",,,,1)&lt;&gt;"1","[0]","")</f>
        <v>*/Extensions[0]/DataType</v>
      </c>
    </row>
    <row r="9" spans="1:18" ht="12" customHeight="1" outlineLevel="2" x14ac:dyDescent="0.35">
      <c r="A9" s="21" t="str">
        <f>$E$2</f>
        <v>CC462B</v>
      </c>
      <c r="B9" s="22">
        <v>2</v>
      </c>
      <c r="C9" s="22" t="s">
        <v>19</v>
      </c>
      <c r="D9" s="21" t="s">
        <v>20</v>
      </c>
      <c r="E9" s="23" t="s">
        <v>21</v>
      </c>
      <c r="F9" s="22"/>
      <c r="G9" s="21" t="s">
        <v>22</v>
      </c>
      <c r="H9" s="22"/>
      <c r="I9" s="22"/>
      <c r="J9" s="22"/>
      <c r="K9" s="22"/>
      <c r="L9" s="22"/>
      <c r="M9" s="21" t="s">
        <v>21</v>
      </c>
      <c r="N9" s="22"/>
      <c r="O9" s="22"/>
      <c r="P9" s="21" t="s">
        <v>785</v>
      </c>
      <c r="Q9" s="1" t="str">
        <f>IF($B9=0,$M9,_xlfn.TEXTBEFORE(Q8,"/",$B9,,,Q8)&amp;"/"&amp;$M9)&amp;IF(_xlfn.TEXTAFTER($D9,"..",,,,1)&lt;&gt;"1","[0]","")</f>
        <v>*/Extensions[0]/Extensions[0]</v>
      </c>
    </row>
    <row r="10" spans="1:18" ht="12" customHeight="1" outlineLevel="1" x14ac:dyDescent="0.35">
      <c r="A10" s="3" t="str">
        <f>$E$2</f>
        <v>CC462B</v>
      </c>
      <c r="B10" s="4">
        <v>1</v>
      </c>
      <c r="C10" s="3" t="s">
        <v>24</v>
      </c>
      <c r="D10" s="3" t="s">
        <v>25</v>
      </c>
      <c r="E10" s="5" t="s">
        <v>26</v>
      </c>
      <c r="F10" s="4"/>
      <c r="G10" s="3" t="s">
        <v>27</v>
      </c>
      <c r="H10" s="4"/>
      <c r="I10" s="4"/>
      <c r="J10" s="4"/>
      <c r="K10" s="4"/>
      <c r="L10" s="4"/>
      <c r="M10" s="3" t="s">
        <v>28</v>
      </c>
      <c r="N10" s="4"/>
      <c r="O10" s="4"/>
      <c r="P10" s="3" t="s">
        <v>1470</v>
      </c>
      <c r="Q10" s="1" t="str">
        <f>IF($B10=0,$M10,_xlfn.TEXTBEFORE(Q9,"/",$B10,,,Q9)&amp;"/"&amp;$M10)&amp;IF(_xlfn.TEXTAFTER($D10,"..",,,,1)&lt;&gt;"1","[0]","")</f>
        <v>*/ImportOperation</v>
      </c>
    </row>
    <row r="11" spans="1:18" ht="12" customHeight="1" outlineLevel="2" x14ac:dyDescent="0.35">
      <c r="A11" s="2" t="str">
        <f>$E$2</f>
        <v>CC462B</v>
      </c>
      <c r="B11" s="1">
        <v>2</v>
      </c>
      <c r="C11" s="1" t="s">
        <v>19</v>
      </c>
      <c r="D11" s="2" t="s">
        <v>25</v>
      </c>
      <c r="E11" s="6" t="s">
        <v>1471</v>
      </c>
      <c r="F11" s="2" t="s">
        <v>505</v>
      </c>
      <c r="G11" s="2" t="s">
        <v>27</v>
      </c>
      <c r="H11" s="2" t="s">
        <v>786</v>
      </c>
      <c r="M11" s="2" t="s">
        <v>1472</v>
      </c>
      <c r="P11" s="2" t="s">
        <v>507</v>
      </c>
      <c r="Q11" s="1" t="str">
        <f>IF($B11=0,$M11,_xlfn.TEXTBEFORE(Q10,"/",$B11,,,Q10)&amp;"/"&amp;$M11)&amp;IF(_xlfn.TEXTAFTER($D11,"..",,,,1)&lt;&gt;"1","[0]","")</f>
        <v>*/ImportOperation/dateOfRequest</v>
      </c>
    </row>
    <row r="12" spans="1:18" ht="12" customHeight="1" outlineLevel="1" x14ac:dyDescent="0.35">
      <c r="A12" s="3" t="str">
        <f>$E$2</f>
        <v>CC462B</v>
      </c>
      <c r="B12" s="4">
        <v>1</v>
      </c>
      <c r="C12" s="3" t="s">
        <v>24</v>
      </c>
      <c r="D12" s="3" t="s">
        <v>30</v>
      </c>
      <c r="E12" s="5" t="s">
        <v>1473</v>
      </c>
      <c r="F12" s="4"/>
      <c r="G12" s="3" t="s">
        <v>396</v>
      </c>
      <c r="H12" s="3" t="s">
        <v>1474</v>
      </c>
      <c r="I12" s="3" t="s">
        <v>1475</v>
      </c>
      <c r="J12" s="4"/>
      <c r="K12" s="4"/>
      <c r="L12" s="4"/>
      <c r="M12" s="3" t="s">
        <v>1476</v>
      </c>
      <c r="N12" s="4"/>
      <c r="O12" s="4"/>
      <c r="P12" s="3" t="s">
        <v>1477</v>
      </c>
      <c r="Q12" s="1" t="str">
        <f>IF($B12=0,$M12,_xlfn.TEXTBEFORE(Q11,"/",$B12,,,Q11)&amp;"/"&amp;$M12)&amp;IF(_xlfn.TEXTAFTER($D12,"..",,,,1)&lt;&gt;"1","[0]","")</f>
        <v>*/PresentationNotificationPeriod</v>
      </c>
    </row>
    <row r="13" spans="1:18" ht="12" customHeight="1" outlineLevel="2" x14ac:dyDescent="0.35">
      <c r="A13" s="2" t="str">
        <f>$E$2</f>
        <v>CC462B</v>
      </c>
      <c r="B13" s="1">
        <v>2</v>
      </c>
      <c r="C13" s="1" t="s">
        <v>19</v>
      </c>
      <c r="D13" s="2" t="s">
        <v>25</v>
      </c>
      <c r="E13" s="6" t="s">
        <v>1478</v>
      </c>
      <c r="F13" s="2" t="s">
        <v>505</v>
      </c>
      <c r="G13" s="2" t="s">
        <v>27</v>
      </c>
      <c r="M13" s="2" t="s">
        <v>1479</v>
      </c>
      <c r="P13" s="2" t="s">
        <v>507</v>
      </c>
      <c r="Q13" s="1" t="str">
        <f>IF($B13=0,$M13,_xlfn.TEXTBEFORE(Q12,"/",$B13,,,Q12)&amp;"/"&amp;$M13)&amp;IF(_xlfn.TEXTAFTER($D13,"..",,,,1)&lt;&gt;"1","[0]","")</f>
        <v>*/PresentationNotificationPeriod/startDate</v>
      </c>
    </row>
    <row r="14" spans="1:18" ht="12" customHeight="1" outlineLevel="2" x14ac:dyDescent="0.35">
      <c r="A14" s="2" t="str">
        <f>$E$2</f>
        <v>CC462B</v>
      </c>
      <c r="B14" s="1">
        <v>2</v>
      </c>
      <c r="C14" s="1" t="s">
        <v>19</v>
      </c>
      <c r="D14" s="2" t="s">
        <v>25</v>
      </c>
      <c r="E14" s="6" t="s">
        <v>1480</v>
      </c>
      <c r="F14" s="2" t="s">
        <v>505</v>
      </c>
      <c r="G14" s="2" t="s">
        <v>27</v>
      </c>
      <c r="M14" s="2" t="s">
        <v>1481</v>
      </c>
      <c r="P14" s="2" t="s">
        <v>507</v>
      </c>
      <c r="Q14" s="1" t="str">
        <f>IF($B14=0,$M14,_xlfn.TEXTBEFORE(Q13,"/",$B14,,,Q13)&amp;"/"&amp;$M14)&amp;IF(_xlfn.TEXTAFTER($D14,"..",,,,1)&lt;&gt;"1","[0]","")</f>
        <v>*/PresentationNotificationPeriod/endDate</v>
      </c>
    </row>
    <row r="15" spans="1:18" ht="12" customHeight="1" outlineLevel="1" x14ac:dyDescent="0.35">
      <c r="A15" s="3" t="str">
        <f>$E$2</f>
        <v>CC462B</v>
      </c>
      <c r="B15" s="4">
        <v>1</v>
      </c>
      <c r="C15" s="3" t="s">
        <v>24</v>
      </c>
      <c r="D15" s="3" t="s">
        <v>299</v>
      </c>
      <c r="E15" s="5" t="s">
        <v>54</v>
      </c>
      <c r="F15" s="4"/>
      <c r="G15" s="3" t="s">
        <v>27</v>
      </c>
      <c r="H15" s="3" t="s">
        <v>983</v>
      </c>
      <c r="I15" s="4"/>
      <c r="J15" s="4"/>
      <c r="K15" s="4"/>
      <c r="L15" s="4"/>
      <c r="M15" s="3" t="s">
        <v>54</v>
      </c>
      <c r="N15" s="4"/>
      <c r="O15" s="4"/>
      <c r="P15" s="3" t="s">
        <v>1482</v>
      </c>
      <c r="Q15" s="1" t="str">
        <f>IF($B15=0,$M15,_xlfn.TEXTBEFORE(Q14,"/",$B15,,,Q14)&amp;"/"&amp;$M15)&amp;IF(_xlfn.TEXTAFTER($D15,"..",,,,1)&lt;&gt;"1","[0]","")</f>
        <v>*/Authorisation[0]</v>
      </c>
    </row>
    <row r="16" spans="1:18" ht="12" customHeight="1" outlineLevel="2" x14ac:dyDescent="0.35">
      <c r="A16" s="2" t="str">
        <f>$E$2</f>
        <v>CC462B</v>
      </c>
      <c r="B16" s="1">
        <v>2</v>
      </c>
      <c r="C16" s="1" t="s">
        <v>19</v>
      </c>
      <c r="D16" s="2" t="s">
        <v>25</v>
      </c>
      <c r="E16" s="6" t="s">
        <v>56</v>
      </c>
      <c r="F16" s="7" t="s">
        <v>57</v>
      </c>
      <c r="G16" s="2" t="s">
        <v>27</v>
      </c>
      <c r="H16" s="2" t="s">
        <v>393</v>
      </c>
      <c r="M16" s="2" t="s">
        <v>58</v>
      </c>
      <c r="P16" s="2" t="s">
        <v>59</v>
      </c>
      <c r="Q16" s="1" t="str">
        <f>IF($B16=0,$M16,_xlfn.TEXTBEFORE(Q15,"/",$B16,,,Q15)&amp;"/"&amp;$M16)&amp;IF(_xlfn.TEXTAFTER($D16,"..",,,,1)&lt;&gt;"1","[0]","")</f>
        <v>*/Authorisation[0]/sequenceNumber</v>
      </c>
    </row>
    <row r="17" spans="1:17" ht="12" customHeight="1" outlineLevel="2" x14ac:dyDescent="0.35">
      <c r="A17" s="2" t="str">
        <f>$E$2</f>
        <v>CC462B</v>
      </c>
      <c r="B17" s="1">
        <v>2</v>
      </c>
      <c r="C17" s="1" t="s">
        <v>19</v>
      </c>
      <c r="D17" s="2" t="s">
        <v>30</v>
      </c>
      <c r="E17" s="6" t="s">
        <v>2</v>
      </c>
      <c r="F17" s="7" t="s">
        <v>60</v>
      </c>
      <c r="G17" s="2" t="s">
        <v>396</v>
      </c>
      <c r="I17" s="2" t="s">
        <v>395</v>
      </c>
      <c r="J17" s="2" t="s">
        <v>394</v>
      </c>
      <c r="M17" s="2" t="s">
        <v>61</v>
      </c>
      <c r="P17" s="2" t="s">
        <v>62</v>
      </c>
      <c r="Q17" s="1" t="str">
        <f>IF($B17=0,$M17,_xlfn.TEXTBEFORE(Q16,"/",$B17,,,Q16)&amp;"/"&amp;$M17)&amp;IF(_xlfn.TEXTAFTER($D17,"..",,,,1)&lt;&gt;"1","[0]","")</f>
        <v>*/Authorisation[0]/type</v>
      </c>
    </row>
    <row r="18" spans="1:17" ht="12" customHeight="1" outlineLevel="2" x14ac:dyDescent="0.35">
      <c r="A18" s="2" t="str">
        <f>$E$2</f>
        <v>CC462B</v>
      </c>
      <c r="B18" s="1">
        <v>2</v>
      </c>
      <c r="C18" s="1" t="s">
        <v>19</v>
      </c>
      <c r="D18" s="2" t="s">
        <v>25</v>
      </c>
      <c r="E18" s="6" t="s">
        <v>63</v>
      </c>
      <c r="F18" s="7" t="s">
        <v>834</v>
      </c>
      <c r="G18" s="2" t="s">
        <v>27</v>
      </c>
      <c r="M18" s="2" t="s">
        <v>65</v>
      </c>
      <c r="P18" s="2" t="s">
        <v>66</v>
      </c>
      <c r="Q18" s="1" t="str">
        <f>IF($B18=0,$M18,_xlfn.TEXTBEFORE(Q17,"/",$B18,,,Q17)&amp;"/"&amp;$M18)&amp;IF(_xlfn.TEXTAFTER($D18,"..",,,,1)&lt;&gt;"1","[0]","")</f>
        <v>*/Authorisation[0]/referenceNumber</v>
      </c>
    </row>
    <row r="19" spans="1:17" ht="12" customHeight="1" outlineLevel="2" x14ac:dyDescent="0.35">
      <c r="A19" s="2" t="str">
        <f>$E$2</f>
        <v>CC462B</v>
      </c>
      <c r="B19" s="1">
        <v>2</v>
      </c>
      <c r="C19" s="1" t="s">
        <v>19</v>
      </c>
      <c r="D19" s="2" t="s">
        <v>30</v>
      </c>
      <c r="E19" s="6" t="s">
        <v>67</v>
      </c>
      <c r="F19" s="7" t="s">
        <v>68</v>
      </c>
      <c r="G19" s="2" t="s">
        <v>396</v>
      </c>
      <c r="H19" s="2" t="s">
        <v>397</v>
      </c>
      <c r="I19" s="2" t="s">
        <v>398</v>
      </c>
      <c r="M19" s="2" t="s">
        <v>69</v>
      </c>
      <c r="P19" s="2" t="s">
        <v>70</v>
      </c>
      <c r="Q19" s="1" t="str">
        <f>IF($B19=0,$M19,_xlfn.TEXTBEFORE(Q18,"/",$B19,,,Q18)&amp;"/"&amp;$M19)&amp;IF(_xlfn.TEXTAFTER($D19,"..",,,,1)&lt;&gt;"1","[0]","")</f>
        <v>*/Authorisation[0]/holderOfTheAuthorisation</v>
      </c>
    </row>
    <row r="20" spans="1:17" ht="12" customHeight="1" outlineLevel="1" x14ac:dyDescent="0.35">
      <c r="A20" s="3" t="str">
        <f>$E$2</f>
        <v>CC462B</v>
      </c>
      <c r="B20" s="4">
        <v>1</v>
      </c>
      <c r="C20" s="3" t="s">
        <v>24</v>
      </c>
      <c r="D20" s="3" t="s">
        <v>25</v>
      </c>
      <c r="E20" s="5" t="s">
        <v>71</v>
      </c>
      <c r="F20" s="4"/>
      <c r="G20" s="3" t="s">
        <v>27</v>
      </c>
      <c r="H20" s="4"/>
      <c r="I20" s="4"/>
      <c r="J20" s="4"/>
      <c r="K20" s="4"/>
      <c r="L20" s="4"/>
      <c r="M20" s="3" t="s">
        <v>72</v>
      </c>
      <c r="N20" s="4"/>
      <c r="O20" s="4"/>
      <c r="P20" s="3" t="s">
        <v>73</v>
      </c>
      <c r="Q20" s="1" t="str">
        <f>IF($B20=0,$M20,_xlfn.TEXTBEFORE(Q19,"/",$B20,,,Q19)&amp;"/"&amp;$M20)&amp;IF(_xlfn.TEXTAFTER($D20,"..",,,,1)&lt;&gt;"1","[0]","")</f>
        <v>*/CustomsOfficeOfPresentation</v>
      </c>
    </row>
    <row r="21" spans="1:17" ht="12" customHeight="1" outlineLevel="2" x14ac:dyDescent="0.35">
      <c r="A21" s="2" t="str">
        <f>$E$2</f>
        <v>CC462B</v>
      </c>
      <c r="B21" s="1">
        <v>2</v>
      </c>
      <c r="C21" s="1" t="s">
        <v>19</v>
      </c>
      <c r="D21" s="2" t="s">
        <v>25</v>
      </c>
      <c r="E21" s="6" t="s">
        <v>63</v>
      </c>
      <c r="F21" s="7" t="s">
        <v>74</v>
      </c>
      <c r="G21" s="2" t="s">
        <v>27</v>
      </c>
      <c r="J21" s="2" t="s">
        <v>399</v>
      </c>
      <c r="M21" s="2" t="s">
        <v>65</v>
      </c>
      <c r="P21" s="2" t="s">
        <v>75</v>
      </c>
      <c r="Q21" s="1" t="str">
        <f>IF($B21=0,$M21,_xlfn.TEXTBEFORE(Q20,"/",$B21,,,Q20)&amp;"/"&amp;$M21)&amp;IF(_xlfn.TEXTAFTER($D21,"..",,,,1)&lt;&gt;"1","[0]","")</f>
        <v>*/CustomsOfficeOfPresentation/referenceNumber</v>
      </c>
    </row>
    <row r="22" spans="1:17" ht="12" customHeight="1" outlineLevel="1" x14ac:dyDescent="0.35">
      <c r="A22" s="3" t="str">
        <f>$E$2</f>
        <v>CC462B</v>
      </c>
      <c r="B22" s="4">
        <v>1</v>
      </c>
      <c r="C22" s="3" t="s">
        <v>24</v>
      </c>
      <c r="D22" s="3" t="s">
        <v>30</v>
      </c>
      <c r="E22" s="5" t="s">
        <v>76</v>
      </c>
      <c r="F22" s="4"/>
      <c r="G22" s="3" t="s">
        <v>22</v>
      </c>
      <c r="H22" s="4"/>
      <c r="I22" s="4"/>
      <c r="J22" s="4"/>
      <c r="K22" s="4"/>
      <c r="L22" s="4"/>
      <c r="M22" s="3" t="s">
        <v>77</v>
      </c>
      <c r="N22" s="4"/>
      <c r="O22" s="4"/>
      <c r="P22" s="3" t="s">
        <v>78</v>
      </c>
      <c r="Q22" s="1" t="str">
        <f>IF($B22=0,$M22,_xlfn.TEXTBEFORE(Q21,"/",$B22,,,Q21)&amp;"/"&amp;$M22)&amp;IF(_xlfn.TEXTAFTER($D22,"..",,,,1)&lt;&gt;"1","[0]","")</f>
        <v>*/SupervisingCustomsOffice</v>
      </c>
    </row>
    <row r="23" spans="1:17" ht="12" customHeight="1" outlineLevel="2" x14ac:dyDescent="0.35">
      <c r="A23" s="2" t="str">
        <f>$E$2</f>
        <v>CC462B</v>
      </c>
      <c r="B23" s="1">
        <v>2</v>
      </c>
      <c r="C23" s="1" t="s">
        <v>19</v>
      </c>
      <c r="D23" s="2" t="s">
        <v>25</v>
      </c>
      <c r="E23" s="6" t="s">
        <v>63</v>
      </c>
      <c r="F23" s="7" t="s">
        <v>74</v>
      </c>
      <c r="G23" s="2" t="s">
        <v>27</v>
      </c>
      <c r="J23" s="2" t="s">
        <v>399</v>
      </c>
      <c r="M23" s="2" t="s">
        <v>65</v>
      </c>
      <c r="P23" s="2" t="s">
        <v>75</v>
      </c>
      <c r="Q23" s="1" t="str">
        <f>IF($B23=0,$M23,_xlfn.TEXTBEFORE(Q22,"/",$B23,,,Q22)&amp;"/"&amp;$M23)&amp;IF(_xlfn.TEXTAFTER($D23,"..",,,,1)&lt;&gt;"1","[0]","")</f>
        <v>*/SupervisingCustomsOffice/referenceNumber</v>
      </c>
    </row>
    <row r="24" spans="1:17" ht="12" customHeight="1" outlineLevel="1" x14ac:dyDescent="0.35">
      <c r="A24" s="3" t="str">
        <f>$E$2</f>
        <v>CC462B</v>
      </c>
      <c r="B24" s="4">
        <v>1</v>
      </c>
      <c r="C24" s="3" t="s">
        <v>24</v>
      </c>
      <c r="D24" s="3" t="s">
        <v>314</v>
      </c>
      <c r="E24" s="5" t="s">
        <v>336</v>
      </c>
      <c r="F24" s="4"/>
      <c r="G24" s="3" t="s">
        <v>22</v>
      </c>
      <c r="H24" s="3" t="s">
        <v>1483</v>
      </c>
      <c r="I24" s="4"/>
      <c r="J24" s="4"/>
      <c r="K24" s="4"/>
      <c r="L24" s="4"/>
      <c r="M24" s="3" t="s">
        <v>336</v>
      </c>
      <c r="N24" s="4"/>
      <c r="O24" s="4"/>
      <c r="P24" s="3" t="s">
        <v>1484</v>
      </c>
      <c r="Q24" s="1" t="str">
        <f>IF($B24=0,$M24,_xlfn.TEXTBEFORE(Q23,"/",$B24,,,Q23)&amp;"/"&amp;$M24)&amp;IF(_xlfn.TEXTAFTER($D24,"..",,,,1)&lt;&gt;"1","[0]","")</f>
        <v>*/Commodity[0]</v>
      </c>
    </row>
    <row r="25" spans="1:17" ht="12" customHeight="1" outlineLevel="2" x14ac:dyDescent="0.35">
      <c r="A25" s="2" t="str">
        <f>$E$2</f>
        <v>CC462B</v>
      </c>
      <c r="B25" s="1">
        <v>2</v>
      </c>
      <c r="C25" s="1" t="s">
        <v>19</v>
      </c>
      <c r="D25" s="2" t="s">
        <v>25</v>
      </c>
      <c r="E25" s="6" t="s">
        <v>56</v>
      </c>
      <c r="F25" s="7" t="s">
        <v>57</v>
      </c>
      <c r="G25" s="2" t="s">
        <v>27</v>
      </c>
      <c r="H25" s="2" t="s">
        <v>393</v>
      </c>
      <c r="M25" s="2" t="s">
        <v>58</v>
      </c>
      <c r="P25" s="2" t="s">
        <v>59</v>
      </c>
      <c r="Q25" s="1" t="str">
        <f>IF($B25=0,$M25,_xlfn.TEXTBEFORE(Q24,"/",$B25,,,Q24)&amp;"/"&amp;$M25)&amp;IF(_xlfn.TEXTAFTER($D25,"..",,,,1)&lt;&gt;"1","[0]","")</f>
        <v>*/Commodity[0]/sequenceNumber</v>
      </c>
    </row>
    <row r="26" spans="1:17" ht="12" customHeight="1" outlineLevel="2" x14ac:dyDescent="0.35">
      <c r="A26" s="2" t="str">
        <f>$E$2</f>
        <v>CC462B</v>
      </c>
      <c r="B26" s="1">
        <v>2</v>
      </c>
      <c r="C26" s="1" t="s">
        <v>19</v>
      </c>
      <c r="D26" s="2" t="s">
        <v>30</v>
      </c>
      <c r="E26" s="6" t="s">
        <v>338</v>
      </c>
      <c r="F26" s="7" t="s">
        <v>216</v>
      </c>
      <c r="G26" s="2" t="s">
        <v>22</v>
      </c>
      <c r="M26" s="2" t="s">
        <v>339</v>
      </c>
      <c r="P26" s="2" t="s">
        <v>218</v>
      </c>
      <c r="Q26" s="1" t="str">
        <f>IF($B26=0,$M26,_xlfn.TEXTBEFORE(Q25,"/",$B26,,,Q25)&amp;"/"&amp;$M26)&amp;IF(_xlfn.TEXTAFTER($D26,"..",,,,1)&lt;&gt;"1","[0]","")</f>
        <v>*/Commodity[0]/descriptionOfGoods</v>
      </c>
    </row>
    <row r="27" spans="1:17" ht="12" customHeight="1" outlineLevel="2" x14ac:dyDescent="0.35">
      <c r="A27" s="2" t="str">
        <f>$E$2</f>
        <v>CC462B</v>
      </c>
      <c r="B27" s="1">
        <v>2</v>
      </c>
      <c r="C27" s="1" t="s">
        <v>19</v>
      </c>
      <c r="D27" s="2" t="s">
        <v>25</v>
      </c>
      <c r="E27" s="6" t="s">
        <v>631</v>
      </c>
      <c r="F27" s="7" t="s">
        <v>624</v>
      </c>
      <c r="G27" s="2" t="s">
        <v>27</v>
      </c>
      <c r="H27" s="2" t="s">
        <v>1485</v>
      </c>
      <c r="M27" s="2" t="s">
        <v>633</v>
      </c>
      <c r="P27" s="2" t="s">
        <v>634</v>
      </c>
      <c r="Q27" s="1" t="str">
        <f>IF($B27=0,$M27,_xlfn.TEXTBEFORE(Q26,"/",$B27,,,Q26)&amp;"/"&amp;$M27)&amp;IF(_xlfn.TEXTAFTER($D27,"..",,,,1)&lt;&gt;"1","[0]","")</f>
        <v>*/Commodity[0]/harmonizedSystemSubheadingCode</v>
      </c>
    </row>
    <row r="28" spans="1:17" ht="12" customHeight="1" outlineLevel="2" x14ac:dyDescent="0.35">
      <c r="A28" s="2" t="str">
        <f>$E$2</f>
        <v>CC462B</v>
      </c>
      <c r="B28" s="1">
        <v>2</v>
      </c>
      <c r="C28" s="1" t="s">
        <v>19</v>
      </c>
      <c r="D28" s="2" t="s">
        <v>30</v>
      </c>
      <c r="E28" s="6" t="s">
        <v>635</v>
      </c>
      <c r="F28" s="7" t="s">
        <v>325</v>
      </c>
      <c r="G28" s="2" t="s">
        <v>22</v>
      </c>
      <c r="M28" s="2" t="s">
        <v>636</v>
      </c>
      <c r="P28" s="2" t="s">
        <v>637</v>
      </c>
      <c r="Q28" s="1" t="str">
        <f>IF($B28=0,$M28,_xlfn.TEXTBEFORE(Q27,"/",$B28,,,Q27)&amp;"/"&amp;$M28)&amp;IF(_xlfn.TEXTAFTER($D28,"..",,,,1)&lt;&gt;"1","[0]","")</f>
        <v>*/Commodity[0]/combinedNomenclatureCode</v>
      </c>
    </row>
    <row r="29" spans="1:17" ht="12" customHeight="1" outlineLevel="2" x14ac:dyDescent="0.35">
      <c r="A29" s="2" t="str">
        <f>$E$2</f>
        <v>CC462B</v>
      </c>
      <c r="B29" s="1">
        <v>2</v>
      </c>
      <c r="C29" s="1" t="s">
        <v>19</v>
      </c>
      <c r="D29" s="2" t="s">
        <v>30</v>
      </c>
      <c r="E29" s="6" t="s">
        <v>638</v>
      </c>
      <c r="F29" s="7" t="s">
        <v>325</v>
      </c>
      <c r="G29" s="2" t="s">
        <v>22</v>
      </c>
      <c r="M29" s="2" t="s">
        <v>640</v>
      </c>
      <c r="P29" s="2" t="s">
        <v>641</v>
      </c>
      <c r="Q29" s="1" t="str">
        <f>IF($B29=0,$M29,_xlfn.TEXTBEFORE(Q28,"/",$B29,,,Q28)&amp;"/"&amp;$M29)&amp;IF(_xlfn.TEXTAFTER($D29,"..",,,,1)&lt;&gt;"1","[0]","")</f>
        <v>*/Commodity[0]/taricCode</v>
      </c>
    </row>
    <row r="30" spans="1:17" ht="12" customHeight="1" outlineLevel="2" x14ac:dyDescent="0.35">
      <c r="A30" s="2" t="str">
        <f>$E$2</f>
        <v>CC462B</v>
      </c>
      <c r="B30" s="1">
        <v>2</v>
      </c>
      <c r="C30" s="1" t="s">
        <v>19</v>
      </c>
      <c r="D30" s="2" t="s">
        <v>30</v>
      </c>
      <c r="E30" s="6" t="s">
        <v>617</v>
      </c>
      <c r="F30" s="7" t="s">
        <v>618</v>
      </c>
      <c r="G30" s="2" t="s">
        <v>22</v>
      </c>
      <c r="H30" s="2" t="s">
        <v>619</v>
      </c>
      <c r="J30" s="2" t="s">
        <v>620</v>
      </c>
      <c r="M30" s="2" t="s">
        <v>621</v>
      </c>
      <c r="P30" s="2" t="s">
        <v>622</v>
      </c>
      <c r="Q30" s="1" t="str">
        <f>IF($B30=0,$M30,_xlfn.TEXTBEFORE(Q29,"/",$B30,,,Q29)&amp;"/"&amp;$M30)&amp;IF(_xlfn.TEXTAFTER($D30,"..",,,,1)&lt;&gt;"1","[0]","")</f>
        <v>*/Commodity[0]/CUSCode</v>
      </c>
    </row>
    <row r="31" spans="1:17" ht="12" customHeight="1" outlineLevel="1" x14ac:dyDescent="0.35">
      <c r="A31" s="3" t="str">
        <f>$E$2</f>
        <v>CC462B</v>
      </c>
      <c r="B31" s="4">
        <v>1</v>
      </c>
      <c r="C31" s="3" t="s">
        <v>24</v>
      </c>
      <c r="D31" s="3" t="s">
        <v>25</v>
      </c>
      <c r="E31" s="5" t="s">
        <v>101</v>
      </c>
      <c r="F31" s="4"/>
      <c r="G31" s="3" t="s">
        <v>27</v>
      </c>
      <c r="H31" s="4"/>
      <c r="I31" s="4"/>
      <c r="J31" s="4"/>
      <c r="K31" s="4"/>
      <c r="L31" s="4"/>
      <c r="M31" s="3" t="s">
        <v>101</v>
      </c>
      <c r="N31" s="4"/>
      <c r="O31" s="4"/>
      <c r="P31" s="3" t="s">
        <v>1496</v>
      </c>
      <c r="Q31" s="1" t="str">
        <f>IF($B31=0,$M31,_xlfn.TEXTBEFORE(Q30,"/",$B31,,,Q30)&amp;"/"&amp;$M31)&amp;IF(_xlfn.TEXTAFTER($D31,"..",,,,1)&lt;&gt;"1","[0]","")</f>
        <v>*/Declarant</v>
      </c>
    </row>
    <row r="32" spans="1:17" ht="12" customHeight="1" outlineLevel="2" x14ac:dyDescent="0.35">
      <c r="A32" s="2" t="str">
        <f>$E$2</f>
        <v>CC462B</v>
      </c>
      <c r="B32" s="1">
        <v>2</v>
      </c>
      <c r="C32" s="1" t="s">
        <v>19</v>
      </c>
      <c r="D32" s="2" t="s">
        <v>25</v>
      </c>
      <c r="E32" s="6" t="s">
        <v>81</v>
      </c>
      <c r="F32" s="7" t="s">
        <v>68</v>
      </c>
      <c r="G32" s="2" t="s">
        <v>27</v>
      </c>
      <c r="H32" s="2" t="s">
        <v>397</v>
      </c>
      <c r="M32" s="2" t="s">
        <v>82</v>
      </c>
      <c r="P32" s="2" t="s">
        <v>70</v>
      </c>
      <c r="Q32" s="1" t="str">
        <f>IF($B32=0,$M32,_xlfn.TEXTBEFORE(Q31,"/",$B32,,,Q31)&amp;"/"&amp;$M32)&amp;IF(_xlfn.TEXTAFTER($D32,"..",,,,1)&lt;&gt;"1","[0]","")</f>
        <v>*/Declarant/identificationNumber</v>
      </c>
    </row>
    <row r="33" spans="1:17" ht="12" customHeight="1" outlineLevel="2" x14ac:dyDescent="0.35">
      <c r="A33" s="2" t="str">
        <f>$E$2</f>
        <v>CC462B</v>
      </c>
      <c r="B33" s="1">
        <v>2</v>
      </c>
      <c r="C33" s="1" t="s">
        <v>19</v>
      </c>
      <c r="D33" s="2" t="s">
        <v>30</v>
      </c>
      <c r="E33" s="6" t="s">
        <v>4</v>
      </c>
      <c r="F33" s="7" t="s">
        <v>83</v>
      </c>
      <c r="G33" s="2" t="s">
        <v>396</v>
      </c>
      <c r="I33" s="2" t="s">
        <v>401</v>
      </c>
      <c r="M33" s="2" t="s">
        <v>84</v>
      </c>
      <c r="P33" s="2" t="s">
        <v>85</v>
      </c>
      <c r="Q33" s="1" t="str">
        <f>IF($B33=0,$M33,_xlfn.TEXTBEFORE(Q32,"/",$B33,,,Q32)&amp;"/"&amp;$M33)&amp;IF(_xlfn.TEXTAFTER($D33,"..",,,,1)&lt;&gt;"1","[0]","")</f>
        <v>*/Declarant/name</v>
      </c>
    </row>
    <row r="34" spans="1:17" ht="12" customHeight="1" outlineLevel="2" x14ac:dyDescent="0.35">
      <c r="A34" s="3" t="str">
        <f>$E$2</f>
        <v>CC462B</v>
      </c>
      <c r="B34" s="4">
        <v>2</v>
      </c>
      <c r="C34" s="3" t="s">
        <v>24</v>
      </c>
      <c r="D34" s="3" t="s">
        <v>30</v>
      </c>
      <c r="E34" s="8" t="s">
        <v>86</v>
      </c>
      <c r="F34" s="4"/>
      <c r="G34" s="3" t="s">
        <v>396</v>
      </c>
      <c r="H34" s="4"/>
      <c r="I34" s="3" t="s">
        <v>401</v>
      </c>
      <c r="J34" s="4"/>
      <c r="K34" s="4"/>
      <c r="L34" s="4"/>
      <c r="M34" s="3" t="s">
        <v>86</v>
      </c>
      <c r="N34" s="4"/>
      <c r="O34" s="4"/>
      <c r="P34" s="3" t="s">
        <v>87</v>
      </c>
      <c r="Q34" s="1" t="str">
        <f>IF($B34=0,$M34,_xlfn.TEXTBEFORE(Q33,"/",$B34,,,Q33)&amp;"/"&amp;$M34)&amp;IF(_xlfn.TEXTAFTER($D34,"..",,,,1)&lt;&gt;"1","[0]","")</f>
        <v>*/Declarant/Address</v>
      </c>
    </row>
    <row r="35" spans="1:17" ht="12" customHeight="1" outlineLevel="3" x14ac:dyDescent="0.35">
      <c r="A35" s="2" t="str">
        <f>$E$2</f>
        <v>CC462B</v>
      </c>
      <c r="B35" s="1">
        <v>3</v>
      </c>
      <c r="C35" s="1" t="s">
        <v>19</v>
      </c>
      <c r="D35" s="2" t="s">
        <v>25</v>
      </c>
      <c r="E35" s="9" t="s">
        <v>88</v>
      </c>
      <c r="F35" s="7" t="s">
        <v>83</v>
      </c>
      <c r="G35" s="2" t="s">
        <v>27</v>
      </c>
      <c r="M35" s="2" t="s">
        <v>89</v>
      </c>
      <c r="P35" s="2" t="s">
        <v>90</v>
      </c>
      <c r="Q35" s="1" t="str">
        <f>IF($B35=0,$M35,_xlfn.TEXTBEFORE(Q34,"/",$B35,,,Q34)&amp;"/"&amp;$M35)&amp;IF(_xlfn.TEXTAFTER($D35,"..",,,,1)&lt;&gt;"1","[0]","")</f>
        <v>*/Declarant/Address/streetAndNumber</v>
      </c>
    </row>
    <row r="36" spans="1:17" ht="12" customHeight="1" outlineLevel="3" x14ac:dyDescent="0.35">
      <c r="A36" s="2" t="str">
        <f>$E$2</f>
        <v>CC462B</v>
      </c>
      <c r="B36" s="1">
        <v>3</v>
      </c>
      <c r="C36" s="1" t="s">
        <v>19</v>
      </c>
      <c r="D36" s="2" t="s">
        <v>30</v>
      </c>
      <c r="E36" s="9" t="s">
        <v>91</v>
      </c>
      <c r="F36" s="7" t="s">
        <v>92</v>
      </c>
      <c r="G36" s="2" t="s">
        <v>396</v>
      </c>
      <c r="I36" s="2" t="s">
        <v>402</v>
      </c>
      <c r="M36" s="2" t="s">
        <v>93</v>
      </c>
      <c r="P36" s="2" t="s">
        <v>94</v>
      </c>
      <c r="Q36" s="1" t="str">
        <f>IF($B36=0,$M36,_xlfn.TEXTBEFORE(Q35,"/",$B36,,,Q35)&amp;"/"&amp;$M36)&amp;IF(_xlfn.TEXTAFTER($D36,"..",,,,1)&lt;&gt;"1","[0]","")</f>
        <v>*/Declarant/Address/postcode</v>
      </c>
    </row>
    <row r="37" spans="1:17" ht="12" customHeight="1" outlineLevel="3" x14ac:dyDescent="0.35">
      <c r="A37" s="2" t="str">
        <f>$E$2</f>
        <v>CC462B</v>
      </c>
      <c r="B37" s="1">
        <v>3</v>
      </c>
      <c r="C37" s="1" t="s">
        <v>19</v>
      </c>
      <c r="D37" s="2" t="s">
        <v>25</v>
      </c>
      <c r="E37" s="9" t="s">
        <v>95</v>
      </c>
      <c r="F37" s="7" t="s">
        <v>96</v>
      </c>
      <c r="G37" s="2" t="s">
        <v>27</v>
      </c>
      <c r="M37" s="2" t="s">
        <v>97</v>
      </c>
      <c r="P37" s="2" t="s">
        <v>98</v>
      </c>
      <c r="Q37" s="1" t="str">
        <f>IF($B37=0,$M37,_xlfn.TEXTBEFORE(Q36,"/",$B37,,,Q36)&amp;"/"&amp;$M37)&amp;IF(_xlfn.TEXTAFTER($D37,"..",,,,1)&lt;&gt;"1","[0]","")</f>
        <v>*/Declarant/Address/city</v>
      </c>
    </row>
    <row r="38" spans="1:17" ht="12" customHeight="1" outlineLevel="3" x14ac:dyDescent="0.35">
      <c r="A38" s="2" t="str">
        <f>$E$2</f>
        <v>CC462B</v>
      </c>
      <c r="B38" s="1">
        <v>3</v>
      </c>
      <c r="C38" s="1" t="s">
        <v>19</v>
      </c>
      <c r="D38" s="2" t="s">
        <v>25</v>
      </c>
      <c r="E38" s="9" t="s">
        <v>99</v>
      </c>
      <c r="F38" s="7" t="s">
        <v>50</v>
      </c>
      <c r="G38" s="2" t="s">
        <v>27</v>
      </c>
      <c r="J38" s="2" t="s">
        <v>403</v>
      </c>
      <c r="M38" s="2" t="s">
        <v>100</v>
      </c>
      <c r="P38" s="2" t="s">
        <v>52</v>
      </c>
      <c r="Q38" s="1" t="str">
        <f>IF($B38=0,$M38,_xlfn.TEXTBEFORE(Q37,"/",$B38,,,Q37)&amp;"/"&amp;$M38)&amp;IF(_xlfn.TEXTAFTER($D38,"..",,,,1)&lt;&gt;"1","[0]","")</f>
        <v>*/Declarant/Address/country</v>
      </c>
    </row>
    <row r="39" spans="1:17" ht="12" customHeight="1" outlineLevel="2" x14ac:dyDescent="0.35">
      <c r="A39" s="3" t="str">
        <f>$E$2</f>
        <v>CC462B</v>
      </c>
      <c r="B39" s="4">
        <v>2</v>
      </c>
      <c r="C39" s="3" t="s">
        <v>24</v>
      </c>
      <c r="D39" s="3" t="s">
        <v>30</v>
      </c>
      <c r="E39" s="8" t="s">
        <v>105</v>
      </c>
      <c r="F39" s="4"/>
      <c r="G39" s="3" t="s">
        <v>22</v>
      </c>
      <c r="H39" s="3" t="s">
        <v>409</v>
      </c>
      <c r="I39" s="4"/>
      <c r="J39" s="4"/>
      <c r="K39" s="4"/>
      <c r="L39" s="4"/>
      <c r="M39" s="3" t="s">
        <v>106</v>
      </c>
      <c r="N39" s="4"/>
      <c r="O39" s="4"/>
      <c r="P39" s="3" t="s">
        <v>107</v>
      </c>
      <c r="Q39" s="1" t="str">
        <f>IF($B39=0,$M39,_xlfn.TEXTBEFORE(Q38,"/",$B39,,,Q38)&amp;"/"&amp;$M39)&amp;IF(_xlfn.TEXTAFTER($D39,"..",,,,1)&lt;&gt;"1","[0]","")</f>
        <v>*/Declarant/ContactPerson</v>
      </c>
    </row>
    <row r="40" spans="1:17" ht="12" customHeight="1" outlineLevel="3" x14ac:dyDescent="0.35">
      <c r="A40" s="2" t="str">
        <f>$E$2</f>
        <v>CC462B</v>
      </c>
      <c r="B40" s="1">
        <v>3</v>
      </c>
      <c r="C40" s="1" t="s">
        <v>19</v>
      </c>
      <c r="D40" s="2" t="s">
        <v>25</v>
      </c>
      <c r="E40" s="9" t="s">
        <v>4</v>
      </c>
      <c r="F40" s="7" t="s">
        <v>83</v>
      </c>
      <c r="G40" s="2" t="s">
        <v>27</v>
      </c>
      <c r="M40" s="2" t="s">
        <v>84</v>
      </c>
      <c r="P40" s="2" t="s">
        <v>85</v>
      </c>
      <c r="Q40" s="1" t="str">
        <f>IF($B40=0,$M40,_xlfn.TEXTBEFORE(Q39,"/",$B40,,,Q39)&amp;"/"&amp;$M40)&amp;IF(_xlfn.TEXTAFTER($D40,"..",,,,1)&lt;&gt;"1","[0]","")</f>
        <v>*/Declarant/ContactPerson/name</v>
      </c>
    </row>
    <row r="41" spans="1:17" ht="12" customHeight="1" outlineLevel="3" x14ac:dyDescent="0.35">
      <c r="A41" s="2" t="str">
        <f>$E$2</f>
        <v>CC462B</v>
      </c>
      <c r="B41" s="1">
        <v>3</v>
      </c>
      <c r="C41" s="1" t="s">
        <v>19</v>
      </c>
      <c r="D41" s="2" t="s">
        <v>25</v>
      </c>
      <c r="E41" s="9" t="s">
        <v>108</v>
      </c>
      <c r="F41" s="7" t="s">
        <v>96</v>
      </c>
      <c r="G41" s="2" t="s">
        <v>27</v>
      </c>
      <c r="M41" s="2" t="s">
        <v>109</v>
      </c>
      <c r="P41" s="2" t="s">
        <v>110</v>
      </c>
      <c r="Q41" s="1" t="str">
        <f>IF($B41=0,$M41,_xlfn.TEXTBEFORE(Q40,"/",$B41,,,Q40)&amp;"/"&amp;$M41)&amp;IF(_xlfn.TEXTAFTER($D41,"..",,,,1)&lt;&gt;"1","[0]","")</f>
        <v>*/Declarant/ContactPerson/phoneNumber</v>
      </c>
    </row>
    <row r="42" spans="1:17" ht="12" customHeight="1" outlineLevel="3" x14ac:dyDescent="0.35">
      <c r="A42" s="2" t="str">
        <f>$E$2</f>
        <v>CC462B</v>
      </c>
      <c r="B42" s="1">
        <v>3</v>
      </c>
      <c r="C42" s="1" t="s">
        <v>19</v>
      </c>
      <c r="D42" s="2" t="s">
        <v>25</v>
      </c>
      <c r="E42" s="9" t="s">
        <v>111</v>
      </c>
      <c r="F42" s="7" t="s">
        <v>112</v>
      </c>
      <c r="G42" s="2" t="s">
        <v>27</v>
      </c>
      <c r="M42" s="2" t="s">
        <v>113</v>
      </c>
      <c r="P42" s="2" t="s">
        <v>114</v>
      </c>
      <c r="Q42" s="1" t="str">
        <f>IF($B42=0,$M42,_xlfn.TEXTBEFORE(Q41,"/",$B42,,,Q41)&amp;"/"&amp;$M42)&amp;IF(_xlfn.TEXTAFTER($D42,"..",,,,1)&lt;&gt;"1","[0]","")</f>
        <v>*/Declarant/ContactPerson/eMailAddress</v>
      </c>
    </row>
    <row r="43" spans="1:17" ht="12" customHeight="1" outlineLevel="1" x14ac:dyDescent="0.35">
      <c r="A43" s="3" t="str">
        <f>$E$2</f>
        <v>CC462B</v>
      </c>
      <c r="B43" s="4">
        <v>1</v>
      </c>
      <c r="C43" s="3" t="s">
        <v>24</v>
      </c>
      <c r="D43" s="3" t="s">
        <v>30</v>
      </c>
      <c r="E43" s="5" t="s">
        <v>121</v>
      </c>
      <c r="F43" s="4"/>
      <c r="G43" s="3" t="s">
        <v>22</v>
      </c>
      <c r="H43" s="4"/>
      <c r="I43" s="4"/>
      <c r="J43" s="4"/>
      <c r="K43" s="4"/>
      <c r="L43" s="4"/>
      <c r="M43" s="3" t="s">
        <v>121</v>
      </c>
      <c r="N43" s="4"/>
      <c r="O43" s="4"/>
      <c r="P43" s="3" t="s">
        <v>1240</v>
      </c>
      <c r="Q43" s="1" t="str">
        <f>IF($B43=0,$M43,_xlfn.TEXTBEFORE(Q42,"/",$B43,,,Q42)&amp;"/"&amp;$M43)&amp;IF(_xlfn.TEXTAFTER($D43,"..",,,,1)&lt;&gt;"1","[0]","")</f>
        <v>*/Representative</v>
      </c>
    </row>
    <row r="44" spans="1:17" ht="12" customHeight="1" outlineLevel="2" x14ac:dyDescent="0.35">
      <c r="A44" s="2" t="str">
        <f>$E$2</f>
        <v>CC462B</v>
      </c>
      <c r="B44" s="1">
        <v>2</v>
      </c>
      <c r="C44" s="1" t="s">
        <v>19</v>
      </c>
      <c r="D44" s="2" t="s">
        <v>25</v>
      </c>
      <c r="E44" s="6" t="s">
        <v>81</v>
      </c>
      <c r="F44" s="7" t="s">
        <v>68</v>
      </c>
      <c r="G44" s="2" t="s">
        <v>27</v>
      </c>
      <c r="H44" s="2" t="s">
        <v>788</v>
      </c>
      <c r="M44" s="2" t="s">
        <v>82</v>
      </c>
      <c r="P44" s="2" t="s">
        <v>70</v>
      </c>
      <c r="Q44" s="1" t="str">
        <f>IF($B44=0,$M44,_xlfn.TEXTBEFORE(Q43,"/",$B44,,,Q43)&amp;"/"&amp;$M44)&amp;IF(_xlfn.TEXTAFTER($D44,"..",,,,1)&lt;&gt;"1","[0]","")</f>
        <v>*/Representative/identificationNumber</v>
      </c>
    </row>
    <row r="45" spans="1:17" ht="12" customHeight="1" outlineLevel="2" x14ac:dyDescent="0.35">
      <c r="A45" s="2" t="str">
        <f>$E$2</f>
        <v>CC462B</v>
      </c>
      <c r="B45" s="1">
        <v>2</v>
      </c>
      <c r="C45" s="1" t="s">
        <v>19</v>
      </c>
      <c r="D45" s="2" t="s">
        <v>25</v>
      </c>
      <c r="E45" s="6" t="s">
        <v>6</v>
      </c>
      <c r="F45" s="7" t="s">
        <v>123</v>
      </c>
      <c r="G45" s="2" t="s">
        <v>27</v>
      </c>
      <c r="H45" s="2" t="s">
        <v>407</v>
      </c>
      <c r="J45" s="2" t="s">
        <v>408</v>
      </c>
      <c r="M45" s="2" t="s">
        <v>124</v>
      </c>
      <c r="P45" s="2" t="s">
        <v>125</v>
      </c>
      <c r="Q45" s="1" t="str">
        <f>IF($B45=0,$M45,_xlfn.TEXTBEFORE(Q44,"/",$B45,,,Q44)&amp;"/"&amp;$M45)&amp;IF(_xlfn.TEXTAFTER($D45,"..",,,,1)&lt;&gt;"1","[0]","")</f>
        <v>*/Representative/status</v>
      </c>
    </row>
    <row r="46" spans="1:17" ht="12" customHeight="1" outlineLevel="2" x14ac:dyDescent="0.35">
      <c r="A46" s="3" t="str">
        <f>$E$2</f>
        <v>CC462B</v>
      </c>
      <c r="B46" s="4">
        <v>2</v>
      </c>
      <c r="C46" s="3" t="s">
        <v>24</v>
      </c>
      <c r="D46" s="3" t="s">
        <v>30</v>
      </c>
      <c r="E46" s="8" t="s">
        <v>105</v>
      </c>
      <c r="F46" s="4"/>
      <c r="G46" s="3" t="s">
        <v>22</v>
      </c>
      <c r="H46" s="3" t="s">
        <v>409</v>
      </c>
      <c r="I46" s="4"/>
      <c r="J46" s="4"/>
      <c r="K46" s="4"/>
      <c r="L46" s="4"/>
      <c r="M46" s="3" t="s">
        <v>106</v>
      </c>
      <c r="N46" s="4"/>
      <c r="O46" s="4"/>
      <c r="P46" s="3" t="s">
        <v>107</v>
      </c>
      <c r="Q46" s="1" t="str">
        <f>IF($B46=0,$M46,_xlfn.TEXTBEFORE(Q45,"/",$B46,,,Q45)&amp;"/"&amp;$M46)&amp;IF(_xlfn.TEXTAFTER($D46,"..",,,,1)&lt;&gt;"1","[0]","")</f>
        <v>*/Representative/ContactPerson</v>
      </c>
    </row>
    <row r="47" spans="1:17" ht="12" customHeight="1" outlineLevel="3" x14ac:dyDescent="0.35">
      <c r="A47" s="2" t="str">
        <f>$E$2</f>
        <v>CC462B</v>
      </c>
      <c r="B47" s="1">
        <v>3</v>
      </c>
      <c r="C47" s="1" t="s">
        <v>19</v>
      </c>
      <c r="D47" s="2" t="s">
        <v>25</v>
      </c>
      <c r="E47" s="9" t="s">
        <v>4</v>
      </c>
      <c r="F47" s="7" t="s">
        <v>83</v>
      </c>
      <c r="G47" s="2" t="s">
        <v>27</v>
      </c>
      <c r="M47" s="2" t="s">
        <v>84</v>
      </c>
      <c r="P47" s="2" t="s">
        <v>85</v>
      </c>
      <c r="Q47" s="1" t="str">
        <f>IF($B47=0,$M47,_xlfn.TEXTBEFORE(Q46,"/",$B47,,,Q46)&amp;"/"&amp;$M47)&amp;IF(_xlfn.TEXTAFTER($D47,"..",,,,1)&lt;&gt;"1","[0]","")</f>
        <v>*/Representative/ContactPerson/name</v>
      </c>
    </row>
    <row r="48" spans="1:17" ht="12" customHeight="1" outlineLevel="3" x14ac:dyDescent="0.35">
      <c r="A48" s="2" t="str">
        <f>$E$2</f>
        <v>CC462B</v>
      </c>
      <c r="B48" s="1">
        <v>3</v>
      </c>
      <c r="C48" s="1" t="s">
        <v>19</v>
      </c>
      <c r="D48" s="2" t="s">
        <v>25</v>
      </c>
      <c r="E48" s="9" t="s">
        <v>108</v>
      </c>
      <c r="F48" s="7" t="s">
        <v>96</v>
      </c>
      <c r="G48" s="2" t="s">
        <v>27</v>
      </c>
      <c r="M48" s="2" t="s">
        <v>109</v>
      </c>
      <c r="P48" s="2" t="s">
        <v>110</v>
      </c>
      <c r="Q48" s="1" t="str">
        <f>IF($B48=0,$M48,_xlfn.TEXTBEFORE(Q47,"/",$B48,,,Q47)&amp;"/"&amp;$M48)&amp;IF(_xlfn.TEXTAFTER($D48,"..",,,,1)&lt;&gt;"1","[0]","")</f>
        <v>*/Representative/ContactPerson/phoneNumber</v>
      </c>
    </row>
    <row r="49" spans="1:17" ht="12" customHeight="1" outlineLevel="3" x14ac:dyDescent="0.35">
      <c r="A49" s="2" t="str">
        <f>$E$2</f>
        <v>CC462B</v>
      </c>
      <c r="B49" s="1">
        <v>3</v>
      </c>
      <c r="C49" s="1" t="s">
        <v>19</v>
      </c>
      <c r="D49" s="2" t="s">
        <v>25</v>
      </c>
      <c r="E49" s="9" t="s">
        <v>111</v>
      </c>
      <c r="F49" s="7" t="s">
        <v>112</v>
      </c>
      <c r="G49" s="2" t="s">
        <v>27</v>
      </c>
      <c r="M49" s="2" t="s">
        <v>113</v>
      </c>
      <c r="P49" s="2" t="s">
        <v>114</v>
      </c>
      <c r="Q49" s="1" t="str">
        <f>IF($B49=0,$M49,_xlfn.TEXTBEFORE(Q48,"/",$B49,,,Q48)&amp;"/"&amp;$M49)&amp;IF(_xlfn.TEXTAFTER($D49,"..",,,,1)&lt;&gt;"1","[0]","")</f>
        <v>*/Representative/ContactPerson/eMailAddress</v>
      </c>
    </row>
    <row r="50" spans="1:17" ht="12" customHeight="1" outlineLevel="1" x14ac:dyDescent="0.35">
      <c r="A50" s="3" t="str">
        <f>$E$2</f>
        <v>CC462B</v>
      </c>
      <c r="B50" s="4">
        <v>1</v>
      </c>
      <c r="C50" s="3" t="s">
        <v>24</v>
      </c>
      <c r="D50" s="3" t="s">
        <v>314</v>
      </c>
      <c r="E50" s="5" t="s">
        <v>256</v>
      </c>
      <c r="F50" s="4"/>
      <c r="G50" s="3" t="s">
        <v>22</v>
      </c>
      <c r="H50" s="3" t="s">
        <v>1486</v>
      </c>
      <c r="I50" s="4"/>
      <c r="J50" s="4"/>
      <c r="K50" s="4"/>
      <c r="L50" s="4"/>
      <c r="M50" s="3" t="s">
        <v>257</v>
      </c>
      <c r="N50" s="4"/>
      <c r="O50" s="4"/>
      <c r="P50" s="3" t="s">
        <v>1487</v>
      </c>
      <c r="Q50" s="1" t="str">
        <f>IF($B50=0,$M50,_xlfn.TEXTBEFORE(Q49,"/",$B50,,,Q49)&amp;"/"&amp;$M50)&amp;IF(_xlfn.TEXTAFTER($D50,"..",,,,1)&lt;&gt;"1","[0]","")</f>
        <v>*/LocationOfGoods[0]</v>
      </c>
    </row>
    <row r="51" spans="1:17" ht="12" customHeight="1" outlineLevel="2" x14ac:dyDescent="0.35">
      <c r="A51" s="2" t="str">
        <f>$E$2</f>
        <v>CC462B</v>
      </c>
      <c r="B51" s="1">
        <v>2</v>
      </c>
      <c r="C51" s="1" t="s">
        <v>19</v>
      </c>
      <c r="D51" s="2" t="s">
        <v>25</v>
      </c>
      <c r="E51" s="6" t="s">
        <v>56</v>
      </c>
      <c r="F51" s="7" t="s">
        <v>57</v>
      </c>
      <c r="G51" s="2" t="s">
        <v>27</v>
      </c>
      <c r="H51" s="2" t="s">
        <v>393</v>
      </c>
      <c r="M51" s="2" t="s">
        <v>58</v>
      </c>
      <c r="P51" s="2" t="s">
        <v>59</v>
      </c>
      <c r="Q51" s="1" t="str">
        <f>IF($B51=0,$M51,_xlfn.TEXTBEFORE(Q50,"/",$B51,,,Q50)&amp;"/"&amp;$M51)&amp;IF(_xlfn.TEXTAFTER($D51,"..",,,,1)&lt;&gt;"1","[0]","")</f>
        <v>*/LocationOfGoods[0]/sequenceNumber</v>
      </c>
    </row>
    <row r="52" spans="1:17" ht="12" customHeight="1" outlineLevel="2" x14ac:dyDescent="0.35">
      <c r="A52" s="2" t="str">
        <f>$E$2</f>
        <v>CC462B</v>
      </c>
      <c r="B52" s="1">
        <v>2</v>
      </c>
      <c r="C52" s="1" t="s">
        <v>19</v>
      </c>
      <c r="D52" s="2" t="s">
        <v>25</v>
      </c>
      <c r="E52" s="6" t="s">
        <v>259</v>
      </c>
      <c r="F52" s="7" t="s">
        <v>44</v>
      </c>
      <c r="G52" s="2" t="s">
        <v>27</v>
      </c>
      <c r="J52" s="2" t="s">
        <v>558</v>
      </c>
      <c r="M52" s="2" t="s">
        <v>260</v>
      </c>
      <c r="P52" s="2" t="s">
        <v>261</v>
      </c>
      <c r="Q52" s="1" t="str">
        <f>IF($B52=0,$M52,_xlfn.TEXTBEFORE(Q51,"/",$B52,,,Q51)&amp;"/"&amp;$M52)&amp;IF(_xlfn.TEXTAFTER($D52,"..",,,,1)&lt;&gt;"1","[0]","")</f>
        <v>*/LocationOfGoods[0]/typeOfLocation</v>
      </c>
    </row>
    <row r="53" spans="1:17" ht="12" customHeight="1" outlineLevel="2" x14ac:dyDescent="0.35">
      <c r="A53" s="2" t="str">
        <f>$E$2</f>
        <v>CC462B</v>
      </c>
      <c r="B53" s="1">
        <v>2</v>
      </c>
      <c r="C53" s="1" t="s">
        <v>19</v>
      </c>
      <c r="D53" s="2" t="s">
        <v>25</v>
      </c>
      <c r="E53" s="6" t="s">
        <v>262</v>
      </c>
      <c r="F53" s="7" t="s">
        <v>44</v>
      </c>
      <c r="G53" s="2" t="s">
        <v>27</v>
      </c>
      <c r="H53" s="2" t="s">
        <v>559</v>
      </c>
      <c r="J53" s="2" t="s">
        <v>560</v>
      </c>
      <c r="M53" s="2" t="s">
        <v>263</v>
      </c>
      <c r="P53" s="2" t="s">
        <v>264</v>
      </c>
      <c r="Q53" s="1" t="str">
        <f>IF($B53=0,$M53,_xlfn.TEXTBEFORE(Q52,"/",$B53,,,Q52)&amp;"/"&amp;$M53)&amp;IF(_xlfn.TEXTAFTER($D53,"..",,,,1)&lt;&gt;"1","[0]","")</f>
        <v>*/LocationOfGoods[0]/qualifierOfIdentification</v>
      </c>
    </row>
    <row r="54" spans="1:17" ht="12" customHeight="1" outlineLevel="2" x14ac:dyDescent="0.35">
      <c r="A54" s="2" t="str">
        <f>$E$2</f>
        <v>CC462B</v>
      </c>
      <c r="B54" s="1">
        <v>2</v>
      </c>
      <c r="C54" s="1" t="s">
        <v>19</v>
      </c>
      <c r="D54" s="2" t="s">
        <v>30</v>
      </c>
      <c r="E54" s="6" t="s">
        <v>265</v>
      </c>
      <c r="F54" s="7" t="s">
        <v>834</v>
      </c>
      <c r="G54" s="2" t="s">
        <v>396</v>
      </c>
      <c r="I54" s="2" t="s">
        <v>561</v>
      </c>
      <c r="M54" s="2" t="s">
        <v>266</v>
      </c>
      <c r="P54" s="2" t="s">
        <v>66</v>
      </c>
      <c r="Q54" s="1" t="str">
        <f>IF($B54=0,$M54,_xlfn.TEXTBEFORE(Q53,"/",$B54,,,Q53)&amp;"/"&amp;$M54)&amp;IF(_xlfn.TEXTAFTER($D54,"..",,,,1)&lt;&gt;"1","[0]","")</f>
        <v>*/LocationOfGoods[0]/authorisationNumber</v>
      </c>
    </row>
    <row r="55" spans="1:17" ht="12" customHeight="1" outlineLevel="2" x14ac:dyDescent="0.35">
      <c r="A55" s="2" t="str">
        <f>$E$2</f>
        <v>CC462B</v>
      </c>
      <c r="B55" s="1">
        <v>2</v>
      </c>
      <c r="C55" s="1" t="s">
        <v>19</v>
      </c>
      <c r="D55" s="2" t="s">
        <v>30</v>
      </c>
      <c r="E55" s="6" t="s">
        <v>267</v>
      </c>
      <c r="F55" s="7" t="s">
        <v>60</v>
      </c>
      <c r="G55" s="2" t="s">
        <v>396</v>
      </c>
      <c r="I55" s="7" t="s">
        <v>1488</v>
      </c>
      <c r="M55" s="2" t="s">
        <v>268</v>
      </c>
      <c r="P55" s="2" t="s">
        <v>269</v>
      </c>
      <c r="Q55" s="1" t="str">
        <f>IF($B55=0,$M55,_xlfn.TEXTBEFORE(Q54,"/",$B55,,,Q54)&amp;"/"&amp;$M55)&amp;IF(_xlfn.TEXTAFTER($D55,"..",,,,1)&lt;&gt;"1","[0]","")</f>
        <v>*/LocationOfGoods[0]/additionalIdentifier</v>
      </c>
    </row>
    <row r="56" spans="1:17" ht="12" customHeight="1" outlineLevel="2" x14ac:dyDescent="0.35">
      <c r="A56" s="2" t="str">
        <f>$E$2</f>
        <v>CC462B</v>
      </c>
      <c r="B56" s="1">
        <v>2</v>
      </c>
      <c r="C56" s="1" t="s">
        <v>19</v>
      </c>
      <c r="D56" s="2" t="s">
        <v>30</v>
      </c>
      <c r="E56" s="6" t="s">
        <v>270</v>
      </c>
      <c r="F56" s="7" t="s">
        <v>103</v>
      </c>
      <c r="G56" s="2" t="s">
        <v>396</v>
      </c>
      <c r="I56" s="2" t="s">
        <v>561</v>
      </c>
      <c r="J56" s="2" t="s">
        <v>459</v>
      </c>
      <c r="M56" s="2" t="s">
        <v>271</v>
      </c>
      <c r="P56" s="2" t="s">
        <v>272</v>
      </c>
      <c r="Q56" s="1" t="str">
        <f>IF($B56=0,$M56,_xlfn.TEXTBEFORE(Q55,"/",$B56,,,Q55)&amp;"/"&amp;$M56)&amp;IF(_xlfn.TEXTAFTER($D56,"..",,,,1)&lt;&gt;"1","[0]","")</f>
        <v>*/LocationOfGoods[0]/UNLOCODE</v>
      </c>
    </row>
    <row r="57" spans="1:17" ht="12" customHeight="1" outlineLevel="2" x14ac:dyDescent="0.35">
      <c r="A57" s="3" t="str">
        <f>$E$2</f>
        <v>CC462B</v>
      </c>
      <c r="B57" s="4">
        <v>2</v>
      </c>
      <c r="C57" s="3" t="s">
        <v>24</v>
      </c>
      <c r="D57" s="3" t="s">
        <v>30</v>
      </c>
      <c r="E57" s="8" t="s">
        <v>273</v>
      </c>
      <c r="F57" s="4"/>
      <c r="G57" s="3" t="s">
        <v>396</v>
      </c>
      <c r="H57" s="4"/>
      <c r="I57" s="3" t="s">
        <v>561</v>
      </c>
      <c r="J57" s="4"/>
      <c r="K57" s="4"/>
      <c r="L57" s="4"/>
      <c r="M57" s="3" t="s">
        <v>274</v>
      </c>
      <c r="N57" s="4"/>
      <c r="O57" s="4"/>
      <c r="P57" s="3" t="s">
        <v>275</v>
      </c>
      <c r="Q57" s="1" t="str">
        <f>IF($B57=0,$M57,_xlfn.TEXTBEFORE(Q56,"/",$B57,,,Q56)&amp;"/"&amp;$M57)&amp;IF(_xlfn.TEXTAFTER($D57,"..",,,,1)&lt;&gt;"1","[0]","")</f>
        <v>*/LocationOfGoods[0]/CustomsOffice</v>
      </c>
    </row>
    <row r="58" spans="1:17" ht="12" customHeight="1" outlineLevel="3" x14ac:dyDescent="0.35">
      <c r="A58" s="2" t="str">
        <f>$E$2</f>
        <v>CC462B</v>
      </c>
      <c r="B58" s="1">
        <v>3</v>
      </c>
      <c r="C58" s="1" t="s">
        <v>19</v>
      </c>
      <c r="D58" s="2" t="s">
        <v>25</v>
      </c>
      <c r="E58" s="9" t="s">
        <v>63</v>
      </c>
      <c r="F58" s="7" t="s">
        <v>74</v>
      </c>
      <c r="G58" s="2" t="s">
        <v>27</v>
      </c>
      <c r="J58" s="2" t="s">
        <v>399</v>
      </c>
      <c r="M58" s="2" t="s">
        <v>65</v>
      </c>
      <c r="P58" s="2" t="s">
        <v>75</v>
      </c>
      <c r="Q58" s="1" t="str">
        <f>IF($B58=0,$M58,_xlfn.TEXTBEFORE(Q57,"/",$B58,,,Q57)&amp;"/"&amp;$M58)&amp;IF(_xlfn.TEXTAFTER($D58,"..",,,,1)&lt;&gt;"1","[0]","")</f>
        <v>*/LocationOfGoods[0]/CustomsOffice/referenceNumber</v>
      </c>
    </row>
    <row r="59" spans="1:17" ht="12" customHeight="1" outlineLevel="2" x14ac:dyDescent="0.35">
      <c r="A59" s="3" t="str">
        <f>$E$2</f>
        <v>CC462B</v>
      </c>
      <c r="B59" s="4">
        <v>2</v>
      </c>
      <c r="C59" s="3" t="s">
        <v>24</v>
      </c>
      <c r="D59" s="3" t="s">
        <v>30</v>
      </c>
      <c r="E59" s="8" t="s">
        <v>276</v>
      </c>
      <c r="F59" s="4"/>
      <c r="G59" s="3" t="s">
        <v>396</v>
      </c>
      <c r="H59" s="3" t="s">
        <v>563</v>
      </c>
      <c r="I59" s="3" t="s">
        <v>561</v>
      </c>
      <c r="J59" s="4"/>
      <c r="K59" s="4"/>
      <c r="L59" s="4"/>
      <c r="M59" s="3" t="s">
        <v>277</v>
      </c>
      <c r="N59" s="4"/>
      <c r="O59" s="4"/>
      <c r="P59" s="3" t="s">
        <v>278</v>
      </c>
      <c r="Q59" s="1" t="str">
        <f>IF($B59=0,$M59,_xlfn.TEXTBEFORE(Q58,"/",$B59,,,Q58)&amp;"/"&amp;$M59)&amp;IF(_xlfn.TEXTAFTER($D59,"..",,,,1)&lt;&gt;"1","[0]","")</f>
        <v>*/LocationOfGoods[0]/GNSS</v>
      </c>
    </row>
    <row r="60" spans="1:17" ht="12" customHeight="1" outlineLevel="3" x14ac:dyDescent="0.35">
      <c r="A60" s="2" t="str">
        <f>$E$2</f>
        <v>CC462B</v>
      </c>
      <c r="B60" s="1">
        <v>3</v>
      </c>
      <c r="C60" s="1" t="s">
        <v>19</v>
      </c>
      <c r="D60" s="2" t="s">
        <v>25</v>
      </c>
      <c r="E60" s="9" t="s">
        <v>279</v>
      </c>
      <c r="F60" s="7" t="s">
        <v>280</v>
      </c>
      <c r="G60" s="2" t="s">
        <v>27</v>
      </c>
      <c r="M60" s="2" t="s">
        <v>281</v>
      </c>
      <c r="P60" s="2" t="s">
        <v>282</v>
      </c>
      <c r="Q60" s="1" t="str">
        <f>IF($B60=0,$M60,_xlfn.TEXTBEFORE(Q59,"/",$B60,,,Q59)&amp;"/"&amp;$M60)&amp;IF(_xlfn.TEXTAFTER($D60,"..",,,,1)&lt;&gt;"1","[0]","")</f>
        <v>*/LocationOfGoods[0]/GNSS/latitude</v>
      </c>
    </row>
    <row r="61" spans="1:17" ht="12" customHeight="1" outlineLevel="3" x14ac:dyDescent="0.35">
      <c r="A61" s="2" t="str">
        <f>$E$2</f>
        <v>CC462B</v>
      </c>
      <c r="B61" s="1">
        <v>3</v>
      </c>
      <c r="C61" s="1" t="s">
        <v>19</v>
      </c>
      <c r="D61" s="2" t="s">
        <v>25</v>
      </c>
      <c r="E61" s="9" t="s">
        <v>283</v>
      </c>
      <c r="F61" s="7" t="s">
        <v>284</v>
      </c>
      <c r="G61" s="2" t="s">
        <v>27</v>
      </c>
      <c r="M61" s="2" t="s">
        <v>285</v>
      </c>
      <c r="P61" s="2" t="s">
        <v>286</v>
      </c>
      <c r="Q61" s="1" t="str">
        <f>IF($B61=0,$M61,_xlfn.TEXTBEFORE(Q60,"/",$B61,,,Q60)&amp;"/"&amp;$M61)&amp;IF(_xlfn.TEXTAFTER($D61,"..",,,,1)&lt;&gt;"1","[0]","")</f>
        <v>*/LocationOfGoods[0]/GNSS/longitude</v>
      </c>
    </row>
    <row r="62" spans="1:17" ht="12" customHeight="1" outlineLevel="2" x14ac:dyDescent="0.35">
      <c r="A62" s="3" t="str">
        <f>$E$2</f>
        <v>CC462B</v>
      </c>
      <c r="B62" s="4">
        <v>2</v>
      </c>
      <c r="C62" s="3" t="s">
        <v>24</v>
      </c>
      <c r="D62" s="3" t="s">
        <v>30</v>
      </c>
      <c r="E62" s="8" t="s">
        <v>287</v>
      </c>
      <c r="F62" s="4"/>
      <c r="G62" s="3" t="s">
        <v>396</v>
      </c>
      <c r="H62" s="4"/>
      <c r="I62" s="3" t="s">
        <v>561</v>
      </c>
      <c r="J62" s="4"/>
      <c r="K62" s="4"/>
      <c r="L62" s="4"/>
      <c r="M62" s="3" t="s">
        <v>288</v>
      </c>
      <c r="N62" s="4"/>
      <c r="O62" s="4"/>
      <c r="P62" s="3" t="s">
        <v>289</v>
      </c>
      <c r="Q62" s="1" t="str">
        <f>IF($B62=0,$M62,_xlfn.TEXTBEFORE(Q61,"/",$B62,,,Q61)&amp;"/"&amp;$M62)&amp;IF(_xlfn.TEXTAFTER($D62,"..",,,,1)&lt;&gt;"1","[0]","")</f>
        <v>*/LocationOfGoods[0]/EconomicOperator</v>
      </c>
    </row>
    <row r="63" spans="1:17" ht="12" customHeight="1" outlineLevel="3" x14ac:dyDescent="0.35">
      <c r="A63" s="2" t="str">
        <f>$E$2</f>
        <v>CC462B</v>
      </c>
      <c r="B63" s="1">
        <v>3</v>
      </c>
      <c r="C63" s="1" t="s">
        <v>19</v>
      </c>
      <c r="D63" s="2" t="s">
        <v>25</v>
      </c>
      <c r="E63" s="9" t="s">
        <v>81</v>
      </c>
      <c r="F63" s="7" t="s">
        <v>68</v>
      </c>
      <c r="G63" s="2" t="s">
        <v>27</v>
      </c>
      <c r="M63" s="2" t="s">
        <v>82</v>
      </c>
      <c r="P63" s="2" t="s">
        <v>70</v>
      </c>
      <c r="Q63" s="1" t="str">
        <f>IF($B63=0,$M63,_xlfn.TEXTBEFORE(Q62,"/",$B63,,,Q62)&amp;"/"&amp;$M63)&amp;IF(_xlfn.TEXTAFTER($D63,"..",,,,1)&lt;&gt;"1","[0]","")</f>
        <v>*/LocationOfGoods[0]/EconomicOperator/identificationNumber</v>
      </c>
    </row>
    <row r="64" spans="1:17" ht="12" customHeight="1" outlineLevel="2" x14ac:dyDescent="0.35">
      <c r="A64" s="3" t="str">
        <f>$E$2</f>
        <v>CC462B</v>
      </c>
      <c r="B64" s="4">
        <v>2</v>
      </c>
      <c r="C64" s="3" t="s">
        <v>24</v>
      </c>
      <c r="D64" s="3" t="s">
        <v>30</v>
      </c>
      <c r="E64" s="8" t="s">
        <v>86</v>
      </c>
      <c r="F64" s="4"/>
      <c r="G64" s="3" t="s">
        <v>396</v>
      </c>
      <c r="H64" s="4"/>
      <c r="I64" s="3" t="s">
        <v>561</v>
      </c>
      <c r="J64" s="4"/>
      <c r="K64" s="4"/>
      <c r="L64" s="4"/>
      <c r="M64" s="3" t="s">
        <v>86</v>
      </c>
      <c r="N64" s="4"/>
      <c r="O64" s="4"/>
      <c r="P64" s="3" t="s">
        <v>87</v>
      </c>
      <c r="Q64" s="1" t="str">
        <f>IF($B64=0,$M64,_xlfn.TEXTBEFORE(Q63,"/",$B64,,,Q63)&amp;"/"&amp;$M64)&amp;IF(_xlfn.TEXTAFTER($D64,"..",,,,1)&lt;&gt;"1","[0]","")</f>
        <v>*/LocationOfGoods[0]/Address</v>
      </c>
    </row>
    <row r="65" spans="1:17" ht="12" customHeight="1" outlineLevel="3" x14ac:dyDescent="0.35">
      <c r="A65" s="2" t="str">
        <f>$E$2</f>
        <v>CC462B</v>
      </c>
      <c r="B65" s="1">
        <v>3</v>
      </c>
      <c r="C65" s="1" t="s">
        <v>19</v>
      </c>
      <c r="D65" s="2" t="s">
        <v>25</v>
      </c>
      <c r="E65" s="9" t="s">
        <v>88</v>
      </c>
      <c r="F65" s="7" t="s">
        <v>83</v>
      </c>
      <c r="G65" s="2" t="s">
        <v>27</v>
      </c>
      <c r="M65" s="2" t="s">
        <v>89</v>
      </c>
      <c r="P65" s="2" t="s">
        <v>90</v>
      </c>
      <c r="Q65" s="1" t="str">
        <f>IF($B65=0,$M65,_xlfn.TEXTBEFORE(Q64,"/",$B65,,,Q64)&amp;"/"&amp;$M65)&amp;IF(_xlfn.TEXTAFTER($D65,"..",,,,1)&lt;&gt;"1","[0]","")</f>
        <v>*/LocationOfGoods[0]/Address/streetAndNumber</v>
      </c>
    </row>
    <row r="66" spans="1:17" ht="12" customHeight="1" outlineLevel="3" x14ac:dyDescent="0.35">
      <c r="A66" s="2" t="str">
        <f>$E$2</f>
        <v>CC462B</v>
      </c>
      <c r="B66" s="1">
        <v>3</v>
      </c>
      <c r="C66" s="1" t="s">
        <v>19</v>
      </c>
      <c r="D66" s="2" t="s">
        <v>30</v>
      </c>
      <c r="E66" s="9" t="s">
        <v>91</v>
      </c>
      <c r="F66" s="7" t="s">
        <v>92</v>
      </c>
      <c r="G66" s="2" t="s">
        <v>396</v>
      </c>
      <c r="I66" s="2" t="s">
        <v>402</v>
      </c>
      <c r="M66" s="2" t="s">
        <v>93</v>
      </c>
      <c r="P66" s="2" t="s">
        <v>94</v>
      </c>
      <c r="Q66" s="1" t="str">
        <f>IF($B66=0,$M66,_xlfn.TEXTBEFORE(Q65,"/",$B66,,,Q65)&amp;"/"&amp;$M66)&amp;IF(_xlfn.TEXTAFTER($D66,"..",,,,1)&lt;&gt;"1","[0]","")</f>
        <v>*/LocationOfGoods[0]/Address/postcode</v>
      </c>
    </row>
    <row r="67" spans="1:17" ht="12" customHeight="1" outlineLevel="3" x14ac:dyDescent="0.35">
      <c r="A67" s="2" t="str">
        <f>$E$2</f>
        <v>CC462B</v>
      </c>
      <c r="B67" s="1">
        <v>3</v>
      </c>
      <c r="C67" s="1" t="s">
        <v>19</v>
      </c>
      <c r="D67" s="2" t="s">
        <v>25</v>
      </c>
      <c r="E67" s="9" t="s">
        <v>95</v>
      </c>
      <c r="F67" s="7" t="s">
        <v>96</v>
      </c>
      <c r="G67" s="2" t="s">
        <v>27</v>
      </c>
      <c r="M67" s="2" t="s">
        <v>97</v>
      </c>
      <c r="P67" s="2" t="s">
        <v>98</v>
      </c>
      <c r="Q67" s="1" t="str">
        <f>IF($B67=0,$M67,_xlfn.TEXTBEFORE(Q66,"/",$B67,,,Q66)&amp;"/"&amp;$M67)&amp;IF(_xlfn.TEXTAFTER($D67,"..",,,,1)&lt;&gt;"1","[0]","")</f>
        <v>*/LocationOfGoods[0]/Address/city</v>
      </c>
    </row>
    <row r="68" spans="1:17" ht="12" customHeight="1" outlineLevel="3" x14ac:dyDescent="0.35">
      <c r="A68" s="2" t="str">
        <f>$E$2</f>
        <v>CC462B</v>
      </c>
      <c r="B68" s="1">
        <v>3</v>
      </c>
      <c r="C68" s="1" t="s">
        <v>19</v>
      </c>
      <c r="D68" s="2" t="s">
        <v>25</v>
      </c>
      <c r="E68" s="9" t="s">
        <v>99</v>
      </c>
      <c r="F68" s="7" t="s">
        <v>50</v>
      </c>
      <c r="G68" s="2" t="s">
        <v>27</v>
      </c>
      <c r="J68" s="2" t="s">
        <v>403</v>
      </c>
      <c r="M68" s="2" t="s">
        <v>100</v>
      </c>
      <c r="P68" s="2" t="s">
        <v>52</v>
      </c>
      <c r="Q68" s="1" t="str">
        <f>IF($B68=0,$M68,_xlfn.TEXTBEFORE(Q67,"/",$B68,,,Q67)&amp;"/"&amp;$M68)&amp;IF(_xlfn.TEXTAFTER($D68,"..",,,,1)&lt;&gt;"1","[0]","")</f>
        <v>*/LocationOfGoods[0]/Address/country</v>
      </c>
    </row>
    <row r="69" spans="1:17" ht="12" customHeight="1" outlineLevel="2" x14ac:dyDescent="0.35">
      <c r="A69" s="3" t="str">
        <f>$E$2</f>
        <v>CC462B</v>
      </c>
      <c r="B69" s="4">
        <v>2</v>
      </c>
      <c r="C69" s="3" t="s">
        <v>24</v>
      </c>
      <c r="D69" s="3" t="s">
        <v>30</v>
      </c>
      <c r="E69" s="8" t="s">
        <v>290</v>
      </c>
      <c r="F69" s="4"/>
      <c r="G69" s="3" t="s">
        <v>396</v>
      </c>
      <c r="H69" s="4"/>
      <c r="I69" s="3" t="s">
        <v>561</v>
      </c>
      <c r="J69" s="4"/>
      <c r="K69" s="4"/>
      <c r="L69" s="4"/>
      <c r="M69" s="3" t="s">
        <v>291</v>
      </c>
      <c r="N69" s="4"/>
      <c r="O69" s="4"/>
      <c r="P69" s="3" t="s">
        <v>292</v>
      </c>
      <c r="Q69" s="1" t="str">
        <f>IF($B69=0,$M69,_xlfn.TEXTBEFORE(Q68,"/",$B69,,,Q68)&amp;"/"&amp;$M69)&amp;IF(_xlfn.TEXTAFTER($D69,"..",,,,1)&lt;&gt;"1","[0]","")</f>
        <v>*/LocationOfGoods[0]/PostcodeAddress</v>
      </c>
    </row>
    <row r="70" spans="1:17" ht="12" customHeight="1" outlineLevel="3" x14ac:dyDescent="0.35">
      <c r="A70" s="2" t="str">
        <f>$E$2</f>
        <v>CC462B</v>
      </c>
      <c r="B70" s="1">
        <v>3</v>
      </c>
      <c r="C70" s="1" t="s">
        <v>19</v>
      </c>
      <c r="D70" s="2" t="s">
        <v>30</v>
      </c>
      <c r="E70" s="9" t="s">
        <v>293</v>
      </c>
      <c r="F70" s="7" t="s">
        <v>96</v>
      </c>
      <c r="G70" s="2" t="s">
        <v>396</v>
      </c>
      <c r="I70" s="2" t="s">
        <v>564</v>
      </c>
      <c r="M70" s="2" t="s">
        <v>294</v>
      </c>
      <c r="P70" s="2" t="s">
        <v>295</v>
      </c>
      <c r="Q70" s="1" t="str">
        <f>IF($B70=0,$M70,_xlfn.TEXTBEFORE(Q69,"/",$B70,,,Q69)&amp;"/"&amp;$M70)&amp;IF(_xlfn.TEXTAFTER($D70,"..",,,,1)&lt;&gt;"1","[0]","")</f>
        <v>*/LocationOfGoods[0]/PostcodeAddress/houseNumber</v>
      </c>
    </row>
    <row r="71" spans="1:17" ht="12" customHeight="1" outlineLevel="3" x14ac:dyDescent="0.35">
      <c r="A71" s="2" t="str">
        <f>$E$2</f>
        <v>CC462B</v>
      </c>
      <c r="B71" s="1">
        <v>3</v>
      </c>
      <c r="C71" s="1" t="s">
        <v>19</v>
      </c>
      <c r="D71" s="2" t="s">
        <v>25</v>
      </c>
      <c r="E71" s="9" t="s">
        <v>91</v>
      </c>
      <c r="F71" s="7" t="s">
        <v>92</v>
      </c>
      <c r="G71" s="2" t="s">
        <v>27</v>
      </c>
      <c r="M71" s="2" t="s">
        <v>93</v>
      </c>
      <c r="P71" s="2" t="s">
        <v>94</v>
      </c>
      <c r="Q71" s="1" t="str">
        <f>IF($B71=0,$M71,_xlfn.TEXTBEFORE(Q70,"/",$B71,,,Q70)&amp;"/"&amp;$M71)&amp;IF(_xlfn.TEXTAFTER($D71,"..",,,,1)&lt;&gt;"1","[0]","")</f>
        <v>*/LocationOfGoods[0]/PostcodeAddress/postcode</v>
      </c>
    </row>
    <row r="72" spans="1:17" ht="12" customHeight="1" outlineLevel="3" x14ac:dyDescent="0.35">
      <c r="A72" s="2" t="str">
        <f>$E$2</f>
        <v>CC462B</v>
      </c>
      <c r="B72" s="1">
        <v>3</v>
      </c>
      <c r="C72" s="1" t="s">
        <v>19</v>
      </c>
      <c r="D72" s="2" t="s">
        <v>25</v>
      </c>
      <c r="E72" s="9" t="s">
        <v>99</v>
      </c>
      <c r="F72" s="7" t="s">
        <v>50</v>
      </c>
      <c r="G72" s="2" t="s">
        <v>27</v>
      </c>
      <c r="J72" s="2" t="s">
        <v>565</v>
      </c>
      <c r="M72" s="2" t="s">
        <v>100</v>
      </c>
      <c r="P72" s="2" t="s">
        <v>52</v>
      </c>
      <c r="Q72" s="1" t="str">
        <f>IF($B72=0,$M72,_xlfn.TEXTBEFORE(Q71,"/",$B72,,,Q71)&amp;"/"&amp;$M72)&amp;IF(_xlfn.TEXTAFTER($D72,"..",,,,1)&lt;&gt;"1","[0]","")</f>
        <v>*/LocationOfGoods[0]/PostcodeAddress/country</v>
      </c>
    </row>
    <row r="73" spans="1:17" ht="12" customHeight="1" outlineLevel="2" x14ac:dyDescent="0.35">
      <c r="A73" s="3" t="str">
        <f>$E$2</f>
        <v>CC462B</v>
      </c>
      <c r="B73" s="4">
        <v>2</v>
      </c>
      <c r="C73" s="3" t="s">
        <v>24</v>
      </c>
      <c r="D73" s="3" t="s">
        <v>30</v>
      </c>
      <c r="E73" s="8" t="s">
        <v>1473</v>
      </c>
      <c r="F73" s="4"/>
      <c r="G73" s="3" t="s">
        <v>396</v>
      </c>
      <c r="H73" s="4"/>
      <c r="I73" s="3" t="s">
        <v>1489</v>
      </c>
      <c r="J73" s="4"/>
      <c r="K73" s="4"/>
      <c r="L73" s="4"/>
      <c r="M73" s="3" t="s">
        <v>1476</v>
      </c>
      <c r="N73" s="4"/>
      <c r="O73" s="4"/>
      <c r="P73" s="3" t="s">
        <v>1477</v>
      </c>
      <c r="Q73" s="1" t="str">
        <f>IF($B73=0,$M73,_xlfn.TEXTBEFORE(Q72,"/",$B73,,,Q72)&amp;"/"&amp;$M73)&amp;IF(_xlfn.TEXTAFTER($D73,"..",,,,1)&lt;&gt;"1","[0]","")</f>
        <v>*/LocationOfGoods[0]/PresentationNotificationPeriod</v>
      </c>
    </row>
    <row r="74" spans="1:17" ht="12" customHeight="1" outlineLevel="3" x14ac:dyDescent="0.35">
      <c r="A74" s="2" t="str">
        <f>$E$2</f>
        <v>CC462B</v>
      </c>
      <c r="B74" s="1">
        <v>3</v>
      </c>
      <c r="C74" s="1" t="s">
        <v>19</v>
      </c>
      <c r="D74" s="2" t="s">
        <v>25</v>
      </c>
      <c r="E74" s="9" t="s">
        <v>1478</v>
      </c>
      <c r="F74" s="2" t="s">
        <v>505</v>
      </c>
      <c r="G74" s="2" t="s">
        <v>27</v>
      </c>
      <c r="M74" s="2" t="s">
        <v>1479</v>
      </c>
      <c r="P74" s="2" t="s">
        <v>507</v>
      </c>
      <c r="Q74" s="1" t="str">
        <f>IF($B74=0,$M74,_xlfn.TEXTBEFORE(Q73,"/",$B74,,,Q73)&amp;"/"&amp;$M74)&amp;IF(_xlfn.TEXTAFTER($D74,"..",,,,1)&lt;&gt;"1","[0]","")</f>
        <v>*/LocationOfGoods[0]/PresentationNotificationPeriod/startDate</v>
      </c>
    </row>
    <row r="75" spans="1:17" ht="12" customHeight="1" outlineLevel="3" x14ac:dyDescent="0.35">
      <c r="A75" s="2" t="str">
        <f>$E$2</f>
        <v>CC462B</v>
      </c>
      <c r="B75" s="1">
        <v>3</v>
      </c>
      <c r="C75" s="1" t="s">
        <v>19</v>
      </c>
      <c r="D75" s="2" t="s">
        <v>25</v>
      </c>
      <c r="E75" s="9" t="s">
        <v>1480</v>
      </c>
      <c r="F75" s="2" t="s">
        <v>505</v>
      </c>
      <c r="G75" s="2" t="s">
        <v>27</v>
      </c>
      <c r="M75" s="2" t="s">
        <v>1481</v>
      </c>
      <c r="P75" s="2" t="s">
        <v>507</v>
      </c>
      <c r="Q75" s="1" t="str">
        <f>IF($B75=0,$M75,_xlfn.TEXTBEFORE(Q74,"/",$B75,,,Q74)&amp;"/"&amp;$M75)&amp;IF(_xlfn.TEXTAFTER($D75,"..",,,,1)&lt;&gt;"1","[0]","")</f>
        <v>*/LocationOfGoods[0]/PresentationNotificationPeriod/endDate</v>
      </c>
    </row>
    <row r="76" spans="1:17" ht="12" customHeight="1" outlineLevel="2" x14ac:dyDescent="0.35">
      <c r="A76" s="3" t="str">
        <f>$E$2</f>
        <v>CC462B</v>
      </c>
      <c r="B76" s="4">
        <v>2</v>
      </c>
      <c r="C76" s="3" t="s">
        <v>24</v>
      </c>
      <c r="D76" s="3" t="s">
        <v>314</v>
      </c>
      <c r="E76" s="8" t="s">
        <v>336</v>
      </c>
      <c r="F76" s="4"/>
      <c r="G76" s="3" t="s">
        <v>22</v>
      </c>
      <c r="H76" s="3" t="s">
        <v>1483</v>
      </c>
      <c r="I76" s="4"/>
      <c r="J76" s="4"/>
      <c r="K76" s="4"/>
      <c r="L76" s="4"/>
      <c r="M76" s="3" t="s">
        <v>336</v>
      </c>
      <c r="N76" s="4"/>
      <c r="O76" s="4"/>
      <c r="P76" s="3" t="s">
        <v>1484</v>
      </c>
      <c r="Q76" s="1" t="str">
        <f>IF($B76=0,$M76,_xlfn.TEXTBEFORE(Q75,"/",$B76,,,Q75)&amp;"/"&amp;$M76)&amp;IF(_xlfn.TEXTAFTER($D76,"..",,,,1)&lt;&gt;"1","[0]","")</f>
        <v>*/LocationOfGoods[0]/Commodity[0]</v>
      </c>
    </row>
    <row r="77" spans="1:17" ht="12" customHeight="1" outlineLevel="3" x14ac:dyDescent="0.35">
      <c r="A77" s="2" t="str">
        <f>$E$2</f>
        <v>CC462B</v>
      </c>
      <c r="B77" s="1">
        <v>3</v>
      </c>
      <c r="C77" s="1" t="s">
        <v>19</v>
      </c>
      <c r="D77" s="2" t="s">
        <v>25</v>
      </c>
      <c r="E77" s="9" t="s">
        <v>56</v>
      </c>
      <c r="F77" s="7" t="s">
        <v>57</v>
      </c>
      <c r="G77" s="2" t="s">
        <v>27</v>
      </c>
      <c r="H77" s="2" t="s">
        <v>393</v>
      </c>
      <c r="M77" s="2" t="s">
        <v>58</v>
      </c>
      <c r="P77" s="2" t="s">
        <v>59</v>
      </c>
      <c r="Q77" s="1" t="str">
        <f>IF($B77=0,$M77,_xlfn.TEXTBEFORE(Q76,"/",$B77,,,Q76)&amp;"/"&amp;$M77)&amp;IF(_xlfn.TEXTAFTER($D77,"..",,,,1)&lt;&gt;"1","[0]","")</f>
        <v>*/LocationOfGoods[0]/Commodity[0]/sequenceNumber</v>
      </c>
    </row>
    <row r="78" spans="1:17" ht="12" customHeight="1" outlineLevel="3" x14ac:dyDescent="0.35">
      <c r="A78" s="2" t="str">
        <f>$E$2</f>
        <v>CC462B</v>
      </c>
      <c r="B78" s="1">
        <v>3</v>
      </c>
      <c r="C78" s="1" t="s">
        <v>19</v>
      </c>
      <c r="D78" s="2" t="s">
        <v>30</v>
      </c>
      <c r="E78" s="9" t="s">
        <v>338</v>
      </c>
      <c r="F78" s="7" t="s">
        <v>216</v>
      </c>
      <c r="G78" s="2" t="s">
        <v>22</v>
      </c>
      <c r="M78" s="2" t="s">
        <v>339</v>
      </c>
      <c r="P78" s="2" t="s">
        <v>218</v>
      </c>
      <c r="Q78" s="1" t="str">
        <f>IF($B78=0,$M78,_xlfn.TEXTBEFORE(Q77,"/",$B78,,,Q77)&amp;"/"&amp;$M78)&amp;IF(_xlfn.TEXTAFTER($D78,"..",,,,1)&lt;&gt;"1","[0]","")</f>
        <v>*/LocationOfGoods[0]/Commodity[0]/descriptionOfGoods</v>
      </c>
    </row>
    <row r="79" spans="1:17" ht="12" customHeight="1" outlineLevel="3" x14ac:dyDescent="0.35">
      <c r="A79" s="2" t="str">
        <f>$E$2</f>
        <v>CC462B</v>
      </c>
      <c r="B79" s="1">
        <v>3</v>
      </c>
      <c r="C79" s="1" t="s">
        <v>19</v>
      </c>
      <c r="D79" s="2" t="s">
        <v>25</v>
      </c>
      <c r="E79" s="9" t="s">
        <v>631</v>
      </c>
      <c r="F79" s="7" t="s">
        <v>624</v>
      </c>
      <c r="G79" s="2" t="s">
        <v>27</v>
      </c>
      <c r="H79" s="2" t="s">
        <v>1485</v>
      </c>
      <c r="M79" s="2" t="s">
        <v>633</v>
      </c>
      <c r="P79" s="2" t="s">
        <v>634</v>
      </c>
      <c r="Q79" s="1" t="str">
        <f>IF($B79=0,$M79,_xlfn.TEXTBEFORE(Q78,"/",$B79,,,Q78)&amp;"/"&amp;$M79)&amp;IF(_xlfn.TEXTAFTER($D79,"..",,,,1)&lt;&gt;"1","[0]","")</f>
        <v>*/LocationOfGoods[0]/Commodity[0]/harmonizedSystemSubheadingCode</v>
      </c>
    </row>
    <row r="80" spans="1:17" ht="12" customHeight="1" outlineLevel="3" x14ac:dyDescent="0.35">
      <c r="A80" s="2" t="str">
        <f>$E$2</f>
        <v>CC462B</v>
      </c>
      <c r="B80" s="1">
        <v>3</v>
      </c>
      <c r="C80" s="1" t="s">
        <v>19</v>
      </c>
      <c r="D80" s="2" t="s">
        <v>30</v>
      </c>
      <c r="E80" s="9" t="s">
        <v>635</v>
      </c>
      <c r="F80" s="7" t="s">
        <v>325</v>
      </c>
      <c r="G80" s="2" t="s">
        <v>22</v>
      </c>
      <c r="M80" s="2" t="s">
        <v>636</v>
      </c>
      <c r="P80" s="2" t="s">
        <v>637</v>
      </c>
      <c r="Q80" s="1" t="str">
        <f>IF($B80=0,$M80,_xlfn.TEXTBEFORE(Q79,"/",$B80,,,Q79)&amp;"/"&amp;$M80)&amp;IF(_xlfn.TEXTAFTER($D80,"..",,,,1)&lt;&gt;"1","[0]","")</f>
        <v>*/LocationOfGoods[0]/Commodity[0]/combinedNomenclatureCode</v>
      </c>
    </row>
    <row r="81" spans="1:17" ht="12" customHeight="1" outlineLevel="3" x14ac:dyDescent="0.35">
      <c r="A81" s="2" t="str">
        <f>$E$2</f>
        <v>CC462B</v>
      </c>
      <c r="B81" s="1">
        <v>3</v>
      </c>
      <c r="C81" s="1" t="s">
        <v>19</v>
      </c>
      <c r="D81" s="2" t="s">
        <v>30</v>
      </c>
      <c r="E81" s="9" t="s">
        <v>638</v>
      </c>
      <c r="F81" s="7" t="s">
        <v>325</v>
      </c>
      <c r="G81" s="2" t="s">
        <v>22</v>
      </c>
      <c r="M81" s="2" t="s">
        <v>640</v>
      </c>
      <c r="P81" s="2" t="s">
        <v>641</v>
      </c>
      <c r="Q81" s="1" t="str">
        <f>IF($B81=0,$M81,_xlfn.TEXTBEFORE(Q80,"/",$B81,,,Q80)&amp;"/"&amp;$M81)&amp;IF(_xlfn.TEXTAFTER($D81,"..",,,,1)&lt;&gt;"1","[0]","")</f>
        <v>*/LocationOfGoods[0]/Commodity[0]/taricCode</v>
      </c>
    </row>
    <row r="82" spans="1:17" ht="12" customHeight="1" outlineLevel="3" x14ac:dyDescent="0.35">
      <c r="A82" s="2" t="str">
        <f>$E$2</f>
        <v>CC462B</v>
      </c>
      <c r="B82" s="1">
        <v>3</v>
      </c>
      <c r="C82" s="1" t="s">
        <v>19</v>
      </c>
      <c r="D82" s="2" t="s">
        <v>30</v>
      </c>
      <c r="E82" s="9" t="s">
        <v>617</v>
      </c>
      <c r="F82" s="7" t="s">
        <v>618</v>
      </c>
      <c r="G82" s="2" t="s">
        <v>22</v>
      </c>
      <c r="H82" s="2" t="s">
        <v>619</v>
      </c>
      <c r="J82" s="2" t="s">
        <v>620</v>
      </c>
      <c r="M82" s="2" t="s">
        <v>621</v>
      </c>
      <c r="P82" s="2" t="s">
        <v>622</v>
      </c>
      <c r="Q82" s="1" t="str">
        <f>IF($B82=0,$M82,_xlfn.TEXTBEFORE(Q81,"/",$B82,,,Q81)&amp;"/"&amp;$M82)&amp;IF(_xlfn.TEXTAFTER($D82,"..",,,,1)&lt;&gt;"1","[0]","")</f>
        <v>*/LocationOfGoods[0]/Commodity[0]/CUSCode</v>
      </c>
    </row>
    <row r="83" spans="1:17" ht="12" customHeight="1" x14ac:dyDescent="0.35"/>
  </sheetData>
  <pageMargins left="0.7" right="0.7" top="0.75" bottom="0.75" header="0.3" footer="0.3"/>
  <pageSetup paperSize="9" orientation="portrait" r:id="rId1"/>
</worksheet>
</file>

<file path=docMetadata/LabelInfo.xml><?xml version="1.0" encoding="utf-8"?>
<clbl:labelList xmlns:clbl="http://schemas.microsoft.com/office/2020/mipLabelMetadata">
  <clbl:label id="{72dba3a3-f89a-4e96-b420-d954d7cb9cec}" enabled="1" method="Privileged" siteId="{2e93f0ed-ff36-46d4-9ce6-e0d902050cf5}"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Regneark</vt:lpstr>
      </vt:variant>
      <vt:variant>
        <vt:i4>23</vt:i4>
      </vt:variant>
    </vt:vector>
  </HeadingPairs>
  <TitlesOfParts>
    <vt:vector size="23" baseType="lpstr">
      <vt:lpstr>compare</vt:lpstr>
      <vt:lpstr>COMBINED</vt:lpstr>
      <vt:lpstr>Rules &amp; Conditions</vt:lpstr>
      <vt:lpstr>IMP_DAT</vt:lpstr>
      <vt:lpstr>DEC_AMD</vt:lpstr>
      <vt:lpstr>INV_REQ</vt:lpstr>
      <vt:lpstr>PRE_NOT</vt:lpstr>
      <vt:lpstr>PNO_EDR</vt:lpstr>
      <vt:lpstr>SUP_DOC</vt:lpstr>
      <vt:lpstr>AMD_ACC</vt:lpstr>
      <vt:lpstr>INV_DEC</vt:lpstr>
      <vt:lpstr>REG_NOT</vt:lpstr>
      <vt:lpstr>ACC_DEC</vt:lpstr>
      <vt:lpstr>REL_FIM</vt:lpstr>
      <vt:lpstr>EXP_SUP</vt:lpstr>
      <vt:lpstr>ADD_DOC</vt:lpstr>
      <vt:lpstr>CTR_RES</vt:lpstr>
      <vt:lpstr>DOC_RES</vt:lpstr>
      <vt:lpstr>CCI_NRL</vt:lpstr>
      <vt:lpstr>CCI_REJ</vt:lpstr>
      <vt:lpstr>PRE_REG</vt:lpstr>
      <vt:lpstr>IMP_CTR</vt:lpstr>
      <vt:lpstr>PRE_REQ</vt:lpstr>
    </vt:vector>
  </TitlesOfParts>
  <Company>Skatteministeriet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DMS CCI version 1.0</dc:title>
  <dc:creator>Morten Ask Heebøll Christensen</dc:creator>
  <cp:keywords>35dc-4541-989b</cp:keywords>
  <cp:lastModifiedBy>Morten Ask Heebøll Christensen</cp:lastModifiedBy>
  <dcterms:created xsi:type="dcterms:W3CDTF">2025-12-10T14:56:12Z</dcterms:created>
  <dcterms:modified xsi:type="dcterms:W3CDTF">2026-02-12T13:53:13Z</dcterms:modified>
</cp:coreProperties>
</file>