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fileSharing readOnlyRecommended="1"/>
  <workbookPr codeName="Denne_projektmappe" defaultThemeVersion="202300"/>
  <mc:AlternateContent xmlns:mc="http://schemas.openxmlformats.org/markup-compatibility/2006">
    <mc:Choice Requires="x15">
      <x15ac:absPath xmlns:x15ac="http://schemas.microsoft.com/office/spreadsheetml/2010/11/ac" url="\\ccta.dk\dfssystem\HomeFolders\w4\w27864\EUTK\KRIA\Messages\OM\Angivelser\"/>
    </mc:Choice>
  </mc:AlternateContent>
  <xr:revisionPtr revIDLastSave="0" documentId="8_{F744ABF0-2E8B-4943-920D-1D5BC7EDBA47}" xr6:coauthVersionLast="47" xr6:coauthVersionMax="47" xr10:uidLastSave="{00000000-0000-0000-0000-000000000000}"/>
  <bookViews>
    <workbookView xWindow="-120" yWindow="-120" windowWidth="19440" windowHeight="10320" activeTab="1" xr2:uid="{EADB11B3-786A-48EC-96C9-95F6D4E5B806}"/>
  </bookViews>
  <sheets>
    <sheet name="compare" sheetId="2" r:id="rId1"/>
    <sheet name="COMBINED" sheetId="5" r:id="rId2"/>
    <sheet name="D1" sheetId="1" r:id="rId3"/>
    <sheet name="D2" sheetId="6" r:id="rId4"/>
    <sheet name="D4" sheetId="4" r:id="rId5"/>
  </sheets>
  <definedNames>
    <definedName name="_xlnm._FilterDatabase" localSheetId="1" hidden="1">COMBINED!$A$1:$P$302</definedName>
    <definedName name="_xlnm._FilterDatabase" localSheetId="2" hidden="1">'D1'!$A$1:$N$302</definedName>
    <definedName name="_xlnm._FilterDatabase" localSheetId="3" hidden="1">'D2'!$A$1:$N$302</definedName>
    <definedName name="_xlnm._FilterDatabase" localSheetId="4" hidden="1">'D4'!$A$1:$R$302</definedName>
    <definedName name="ListSheets" localSheetId="1">SUBSTITUTE(_xludf.GET.WORKBOOK(1),1,FIND("]",FÅ.WORKBOOK(1)),"")</definedName>
    <definedName name="ListSheets" localSheetId="4">SUBSTITUTE(_xludf.GET.WORKBOOK(1),1,FIND("]",FÅ.WORKBOOK(1)),"")</definedName>
    <definedName name="ListSheets">SUBSTITUTE(_xludf.GET.WORKBOOK(1),1,FIND("]",FÅ.WORKBOOK(1)),"")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5" l="1"/>
  <c r="S3" i="5" s="1"/>
  <c r="S4" i="5" s="1"/>
  <c r="S5" i="5" s="1"/>
  <c r="S6" i="5" s="1"/>
  <c r="S7" i="5" s="1"/>
  <c r="S8" i="5" s="1"/>
  <c r="S9" i="5" s="1"/>
  <c r="S10" i="5" s="1"/>
  <c r="S11" i="5" s="1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S39" i="5" s="1"/>
  <c r="S40" i="5" s="1"/>
  <c r="S41" i="5" s="1"/>
  <c r="S42" i="5" s="1"/>
  <c r="S43" i="5" s="1"/>
  <c r="S44" i="5" s="1"/>
  <c r="S45" i="5" s="1"/>
  <c r="S46" i="5" s="1"/>
  <c r="S47" i="5" s="1"/>
  <c r="S48" i="5" s="1"/>
  <c r="S49" i="5" s="1"/>
  <c r="S50" i="5" s="1"/>
  <c r="S51" i="5" s="1"/>
  <c r="S52" i="5" s="1"/>
  <c r="S53" i="5" s="1"/>
  <c r="S54" i="5" s="1"/>
  <c r="S55" i="5" s="1"/>
  <c r="S56" i="5" s="1"/>
  <c r="S57" i="5" s="1"/>
  <c r="S58" i="5" s="1"/>
  <c r="S59" i="5" s="1"/>
  <c r="S60" i="5" s="1"/>
  <c r="S61" i="5" s="1"/>
  <c r="S62" i="5" s="1"/>
  <c r="S63" i="5" s="1"/>
  <c r="S64" i="5" s="1"/>
  <c r="S65" i="5" s="1"/>
  <c r="S66" i="5" s="1"/>
  <c r="S67" i="5" s="1"/>
  <c r="S68" i="5" s="1"/>
  <c r="S69" i="5" s="1"/>
  <c r="S70" i="5" s="1"/>
  <c r="S71" i="5" s="1"/>
  <c r="S72" i="5" s="1"/>
  <c r="S73" i="5" s="1"/>
  <c r="S74" i="5" s="1"/>
  <c r="S75" i="5" s="1"/>
  <c r="S76" i="5" s="1"/>
  <c r="S77" i="5" s="1"/>
  <c r="S78" i="5" s="1"/>
  <c r="S79" i="5" s="1"/>
  <c r="S80" i="5" s="1"/>
  <c r="S81" i="5" s="1"/>
  <c r="S82" i="5" s="1"/>
  <c r="S83" i="5" s="1"/>
  <c r="S84" i="5" s="1"/>
  <c r="S85" i="5" s="1"/>
  <c r="S86" i="5" s="1"/>
  <c r="S87" i="5" s="1"/>
  <c r="S88" i="5" s="1"/>
  <c r="S89" i="5" s="1"/>
  <c r="S90" i="5" s="1"/>
  <c r="S91" i="5" s="1"/>
  <c r="S92" i="5" s="1"/>
  <c r="S93" i="5" s="1"/>
  <c r="S94" i="5" s="1"/>
  <c r="S95" i="5" s="1"/>
  <c r="S96" i="5" s="1"/>
  <c r="S97" i="5" s="1"/>
  <c r="S98" i="5" s="1"/>
  <c r="S99" i="5" s="1"/>
  <c r="S100" i="5" s="1"/>
  <c r="S101" i="5" s="1"/>
  <c r="S102" i="5" s="1"/>
  <c r="S103" i="5" s="1"/>
  <c r="S104" i="5" s="1"/>
  <c r="S105" i="5" s="1"/>
  <c r="S106" i="5" s="1"/>
  <c r="S107" i="5" s="1"/>
  <c r="S108" i="5" s="1"/>
  <c r="S109" i="5" s="1"/>
  <c r="S110" i="5" s="1"/>
  <c r="S111" i="5" s="1"/>
  <c r="S112" i="5" s="1"/>
  <c r="S113" i="5" s="1"/>
  <c r="S114" i="5" s="1"/>
  <c r="S115" i="5" s="1"/>
  <c r="S116" i="5" s="1"/>
  <c r="S117" i="5" s="1"/>
  <c r="S118" i="5" s="1"/>
  <c r="S119" i="5" s="1"/>
  <c r="S120" i="5" s="1"/>
  <c r="S121" i="5" s="1"/>
  <c r="S122" i="5" s="1"/>
  <c r="S123" i="5" s="1"/>
  <c r="S124" i="5" s="1"/>
  <c r="S125" i="5" s="1"/>
  <c r="S126" i="5" s="1"/>
  <c r="S127" i="5" s="1"/>
  <c r="S128" i="5" s="1"/>
  <c r="S129" i="5" s="1"/>
  <c r="S130" i="5" s="1"/>
  <c r="S131" i="5" s="1"/>
  <c r="S132" i="5" s="1"/>
  <c r="S133" i="5" s="1"/>
  <c r="S134" i="5" s="1"/>
  <c r="S135" i="5" s="1"/>
  <c r="S136" i="5" s="1"/>
  <c r="S137" i="5" s="1"/>
  <c r="S138" i="5" s="1"/>
  <c r="S139" i="5" s="1"/>
  <c r="S140" i="5" s="1"/>
  <c r="S141" i="5" s="1"/>
  <c r="S142" i="5" s="1"/>
  <c r="S143" i="5" s="1"/>
  <c r="S144" i="5" s="1"/>
  <c r="S145" i="5" s="1"/>
  <c r="S146" i="5" s="1"/>
  <c r="S147" i="5" s="1"/>
  <c r="S148" i="5" s="1"/>
  <c r="S149" i="5" s="1"/>
  <c r="S150" i="5" s="1"/>
  <c r="S151" i="5" s="1"/>
  <c r="S152" i="5" s="1"/>
  <c r="S153" i="5" s="1"/>
  <c r="S154" i="5" s="1"/>
  <c r="S155" i="5" s="1"/>
  <c r="S156" i="5" s="1"/>
  <c r="S157" i="5" s="1"/>
  <c r="S158" i="5" s="1"/>
  <c r="S159" i="5" s="1"/>
  <c r="S160" i="5" s="1"/>
  <c r="S161" i="5" s="1"/>
  <c r="S162" i="5" s="1"/>
  <c r="S163" i="5" s="1"/>
  <c r="S164" i="5" s="1"/>
  <c r="S165" i="5" s="1"/>
  <c r="S166" i="5" s="1"/>
  <c r="S167" i="5" s="1"/>
  <c r="S168" i="5" s="1"/>
  <c r="S169" i="5" s="1"/>
  <c r="S170" i="5" s="1"/>
  <c r="S171" i="5" s="1"/>
  <c r="S172" i="5" s="1"/>
  <c r="S173" i="5" s="1"/>
  <c r="S174" i="5" s="1"/>
  <c r="S175" i="5" s="1"/>
  <c r="S176" i="5" s="1"/>
  <c r="S177" i="5" s="1"/>
  <c r="S178" i="5" s="1"/>
  <c r="S179" i="5" s="1"/>
  <c r="S180" i="5" s="1"/>
  <c r="S181" i="5" s="1"/>
  <c r="S182" i="5" s="1"/>
  <c r="S183" i="5" s="1"/>
  <c r="S184" i="5" s="1"/>
  <c r="S185" i="5" s="1"/>
  <c r="S186" i="5" s="1"/>
  <c r="S187" i="5" s="1"/>
  <c r="S188" i="5" s="1"/>
  <c r="S189" i="5" s="1"/>
  <c r="S190" i="5" s="1"/>
  <c r="S191" i="5" s="1"/>
  <c r="S192" i="5" s="1"/>
  <c r="S193" i="5" s="1"/>
  <c r="S194" i="5" s="1"/>
  <c r="S195" i="5" s="1"/>
  <c r="S196" i="5" s="1"/>
  <c r="S197" i="5" s="1"/>
  <c r="S198" i="5" s="1"/>
  <c r="S199" i="5" s="1"/>
  <c r="S200" i="5" s="1"/>
  <c r="S201" i="5" s="1"/>
  <c r="S202" i="5" s="1"/>
  <c r="S203" i="5" s="1"/>
  <c r="S204" i="5" s="1"/>
  <c r="S205" i="5" s="1"/>
  <c r="S206" i="5" s="1"/>
  <c r="S207" i="5" s="1"/>
  <c r="S208" i="5" s="1"/>
  <c r="S209" i="5" s="1"/>
  <c r="S210" i="5" s="1"/>
  <c r="S211" i="5" s="1"/>
  <c r="S212" i="5" s="1"/>
  <c r="S213" i="5" s="1"/>
  <c r="S214" i="5" s="1"/>
  <c r="S215" i="5" s="1"/>
  <c r="S216" i="5" s="1"/>
  <c r="S217" i="5" s="1"/>
  <c r="S218" i="5" s="1"/>
  <c r="S219" i="5" s="1"/>
  <c r="S220" i="5" s="1"/>
  <c r="S221" i="5" s="1"/>
  <c r="S222" i="5" s="1"/>
  <c r="S223" i="5" s="1"/>
  <c r="S224" i="5" s="1"/>
  <c r="S225" i="5" s="1"/>
  <c r="S226" i="5" s="1"/>
  <c r="S227" i="5" s="1"/>
  <c r="S228" i="5" s="1"/>
  <c r="S229" i="5" s="1"/>
  <c r="S230" i="5" s="1"/>
  <c r="S231" i="5" s="1"/>
  <c r="S232" i="5" s="1"/>
  <c r="S233" i="5" s="1"/>
  <c r="S234" i="5" s="1"/>
  <c r="S235" i="5" s="1"/>
  <c r="S236" i="5" s="1"/>
  <c r="S237" i="5" s="1"/>
  <c r="S238" i="5" s="1"/>
  <c r="S239" i="5" s="1"/>
  <c r="S240" i="5" s="1"/>
  <c r="S241" i="5" s="1"/>
  <c r="S242" i="5" s="1"/>
  <c r="S243" i="5" s="1"/>
  <c r="S244" i="5" s="1"/>
  <c r="S245" i="5" s="1"/>
  <c r="S246" i="5" s="1"/>
  <c r="S247" i="5" s="1"/>
  <c r="S248" i="5" s="1"/>
  <c r="S249" i="5" s="1"/>
  <c r="S250" i="5" s="1"/>
  <c r="S251" i="5" s="1"/>
  <c r="S252" i="5" s="1"/>
  <c r="S253" i="5" s="1"/>
  <c r="S254" i="5" s="1"/>
  <c r="S255" i="5" s="1"/>
  <c r="S256" i="5" s="1"/>
  <c r="S257" i="5" s="1"/>
  <c r="S258" i="5" s="1"/>
  <c r="S259" i="5" s="1"/>
  <c r="S260" i="5" s="1"/>
  <c r="S261" i="5" s="1"/>
  <c r="S262" i="5" s="1"/>
  <c r="S263" i="5" s="1"/>
  <c r="S264" i="5" s="1"/>
  <c r="S265" i="5" s="1"/>
  <c r="S266" i="5" s="1"/>
  <c r="S267" i="5" s="1"/>
  <c r="S268" i="5" s="1"/>
  <c r="S269" i="5" s="1"/>
  <c r="S270" i="5" s="1"/>
  <c r="S271" i="5" s="1"/>
  <c r="S272" i="5" s="1"/>
  <c r="S273" i="5" s="1"/>
  <c r="S274" i="5" s="1"/>
  <c r="S275" i="5" s="1"/>
  <c r="S276" i="5" s="1"/>
  <c r="S277" i="5" s="1"/>
  <c r="S278" i="5" s="1"/>
  <c r="S279" i="5" s="1"/>
  <c r="S280" i="5" s="1"/>
  <c r="S281" i="5" s="1"/>
  <c r="S282" i="5" s="1"/>
  <c r="S283" i="5" s="1"/>
  <c r="S284" i="5" s="1"/>
  <c r="S285" i="5" s="1"/>
  <c r="S286" i="5" s="1"/>
  <c r="S287" i="5" s="1"/>
  <c r="S288" i="5" s="1"/>
  <c r="S289" i="5" s="1"/>
  <c r="S290" i="5" s="1"/>
  <c r="S291" i="5" s="1"/>
  <c r="S292" i="5" s="1"/>
  <c r="S293" i="5" s="1"/>
  <c r="S294" i="5" s="1"/>
  <c r="S295" i="5" s="1"/>
  <c r="S296" i="5" s="1"/>
  <c r="S297" i="5" s="1"/>
  <c r="S298" i="5" s="1"/>
  <c r="S299" i="5" s="1"/>
  <c r="S300" i="5" s="1"/>
  <c r="S301" i="5" s="1"/>
  <c r="S302" i="5" s="1"/>
  <c r="S303" i="5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Q3" i="6"/>
  <c r="Q4" i="6" s="1"/>
  <c r="Q5" i="6" s="1"/>
  <c r="Q6" i="6" s="1"/>
  <c r="Q7" i="6" s="1"/>
  <c r="Q8" i="6" s="1"/>
  <c r="Q9" i="6" s="1"/>
  <c r="Q10" i="6" s="1"/>
  <c r="Q11" i="6" s="1"/>
  <c r="Q12" i="6" s="1"/>
  <c r="Q13" i="6" s="1"/>
  <c r="Q14" i="6" s="1"/>
  <c r="Q15" i="6" s="1"/>
  <c r="Q16" i="6" s="1"/>
  <c r="Q17" i="6" s="1"/>
  <c r="Q18" i="6" s="1"/>
  <c r="Q19" i="6" s="1"/>
  <c r="Q20" i="6" s="1"/>
  <c r="Q21" i="6" s="1"/>
  <c r="Q22" i="6" s="1"/>
  <c r="Q23" i="6" s="1"/>
  <c r="Q24" i="6" s="1"/>
  <c r="Q25" i="6" s="1"/>
  <c r="Q26" i="6" s="1"/>
  <c r="Q27" i="6" s="1"/>
  <c r="Q28" i="6" s="1"/>
  <c r="Q29" i="6" s="1"/>
  <c r="Q30" i="6" s="1"/>
  <c r="Q31" i="6" s="1"/>
  <c r="Q32" i="6" s="1"/>
  <c r="Q33" i="6" s="1"/>
  <c r="Q34" i="6" s="1"/>
  <c r="Q35" i="6" s="1"/>
  <c r="Q36" i="6" s="1"/>
  <c r="Q37" i="6" s="1"/>
  <c r="Q38" i="6" s="1"/>
  <c r="Q39" i="6" s="1"/>
  <c r="Q40" i="6" s="1"/>
  <c r="Q41" i="6" s="1"/>
  <c r="Q42" i="6" s="1"/>
  <c r="Q43" i="6" s="1"/>
  <c r="Q44" i="6" s="1"/>
  <c r="Q45" i="6" s="1"/>
  <c r="Q46" i="6" s="1"/>
  <c r="Q47" i="6" s="1"/>
  <c r="Q48" i="6" s="1"/>
  <c r="Q49" i="6" s="1"/>
  <c r="Q50" i="6" s="1"/>
  <c r="Q51" i="6" s="1"/>
  <c r="Q52" i="6" s="1"/>
  <c r="Q53" i="6" s="1"/>
  <c r="Q54" i="6" s="1"/>
  <c r="Q55" i="6" s="1"/>
  <c r="Q56" i="6" s="1"/>
  <c r="Q57" i="6" s="1"/>
  <c r="Q58" i="6" s="1"/>
  <c r="Q59" i="6" s="1"/>
  <c r="Q60" i="6" s="1"/>
  <c r="Q61" i="6" s="1"/>
  <c r="Q62" i="6" s="1"/>
  <c r="Q63" i="6" s="1"/>
  <c r="Q64" i="6" s="1"/>
  <c r="Q65" i="6" s="1"/>
  <c r="Q66" i="6" s="1"/>
  <c r="Q67" i="6" s="1"/>
  <c r="Q68" i="6" s="1"/>
  <c r="Q69" i="6" s="1"/>
  <c r="Q70" i="6" s="1"/>
  <c r="Q71" i="6" s="1"/>
  <c r="Q72" i="6" s="1"/>
  <c r="Q73" i="6" s="1"/>
  <c r="Q74" i="6" s="1"/>
  <c r="Q75" i="6" s="1"/>
  <c r="Q76" i="6" s="1"/>
  <c r="Q77" i="6" s="1"/>
  <c r="Q78" i="6" s="1"/>
  <c r="Q79" i="6" s="1"/>
  <c r="Q80" i="6" s="1"/>
  <c r="Q81" i="6" s="1"/>
  <c r="Q82" i="6" s="1"/>
  <c r="Q83" i="6" s="1"/>
  <c r="Q84" i="6" s="1"/>
  <c r="Q85" i="6" s="1"/>
  <c r="Q86" i="6" s="1"/>
  <c r="Q87" i="6" s="1"/>
  <c r="Q88" i="6" s="1"/>
  <c r="Q89" i="6" s="1"/>
  <c r="Q90" i="6" s="1"/>
  <c r="Q91" i="6" s="1"/>
  <c r="Q92" i="6" s="1"/>
  <c r="Q93" i="6" s="1"/>
  <c r="Q94" i="6" s="1"/>
  <c r="Q95" i="6" s="1"/>
  <c r="Q96" i="6" s="1"/>
  <c r="Q97" i="6" s="1"/>
  <c r="Q98" i="6" s="1"/>
  <c r="Q99" i="6" s="1"/>
  <c r="Q100" i="6" s="1"/>
  <c r="Q101" i="6" s="1"/>
  <c r="Q102" i="6" s="1"/>
  <c r="Q103" i="6" s="1"/>
  <c r="Q104" i="6" s="1"/>
  <c r="Q105" i="6" s="1"/>
  <c r="Q106" i="6" s="1"/>
  <c r="Q107" i="6" s="1"/>
  <c r="Q108" i="6" s="1"/>
  <c r="Q109" i="6" s="1"/>
  <c r="Q110" i="6" s="1"/>
  <c r="Q111" i="6" s="1"/>
  <c r="Q112" i="6" s="1"/>
  <c r="Q113" i="6" s="1"/>
  <c r="Q114" i="6" s="1"/>
  <c r="Q115" i="6" s="1"/>
  <c r="Q116" i="6" s="1"/>
  <c r="Q117" i="6" s="1"/>
  <c r="Q118" i="6" s="1"/>
  <c r="Q119" i="6" s="1"/>
  <c r="Q120" i="6" s="1"/>
  <c r="Q121" i="6" s="1"/>
  <c r="Q122" i="6" s="1"/>
  <c r="Q123" i="6" s="1"/>
  <c r="Q124" i="6" s="1"/>
  <c r="Q125" i="6" s="1"/>
  <c r="Q126" i="6" s="1"/>
  <c r="Q127" i="6" s="1"/>
  <c r="Q128" i="6" s="1"/>
  <c r="Q129" i="6" s="1"/>
  <c r="Q130" i="6" s="1"/>
  <c r="Q131" i="6" s="1"/>
  <c r="Q132" i="6" s="1"/>
  <c r="Q133" i="6" s="1"/>
  <c r="Q134" i="6" s="1"/>
  <c r="Q135" i="6" s="1"/>
  <c r="Q136" i="6" s="1"/>
  <c r="Q137" i="6" s="1"/>
  <c r="Q138" i="6" s="1"/>
  <c r="Q139" i="6" s="1"/>
  <c r="Q140" i="6" s="1"/>
  <c r="Q141" i="6" s="1"/>
  <c r="Q142" i="6" s="1"/>
  <c r="Q143" i="6" s="1"/>
  <c r="Q144" i="6" s="1"/>
  <c r="Q145" i="6" s="1"/>
  <c r="Q146" i="6" s="1"/>
  <c r="Q147" i="6" s="1"/>
  <c r="Q148" i="6" s="1"/>
  <c r="Q149" i="6" s="1"/>
  <c r="Q150" i="6" s="1"/>
  <c r="Q151" i="6" s="1"/>
  <c r="Q152" i="6" s="1"/>
  <c r="Q153" i="6" s="1"/>
  <c r="Q154" i="6" s="1"/>
  <c r="Q155" i="6" s="1"/>
  <c r="Q156" i="6" s="1"/>
  <c r="Q157" i="6" s="1"/>
  <c r="Q158" i="6" s="1"/>
  <c r="Q159" i="6" s="1"/>
  <c r="Q160" i="6" s="1"/>
  <c r="Q161" i="6" s="1"/>
  <c r="Q162" i="6" s="1"/>
  <c r="Q163" i="6" s="1"/>
  <c r="Q164" i="6" s="1"/>
  <c r="Q165" i="6" s="1"/>
  <c r="Q166" i="6" s="1"/>
  <c r="Q167" i="6" s="1"/>
  <c r="Q168" i="6" s="1"/>
  <c r="Q169" i="6" s="1"/>
  <c r="Q170" i="6" s="1"/>
  <c r="Q171" i="6" s="1"/>
  <c r="Q172" i="6" s="1"/>
  <c r="Q173" i="6" s="1"/>
  <c r="Q174" i="6" s="1"/>
  <c r="Q175" i="6" s="1"/>
  <c r="Q176" i="6" s="1"/>
  <c r="Q177" i="6" s="1"/>
  <c r="Q178" i="6" s="1"/>
  <c r="Q179" i="6" s="1"/>
  <c r="Q180" i="6" s="1"/>
  <c r="Q181" i="6" s="1"/>
  <c r="Q182" i="6" s="1"/>
  <c r="Q183" i="6" s="1"/>
  <c r="Q184" i="6" s="1"/>
  <c r="Q185" i="6" s="1"/>
  <c r="Q186" i="6" s="1"/>
  <c r="Q187" i="6" s="1"/>
  <c r="Q188" i="6" s="1"/>
  <c r="Q189" i="6" s="1"/>
  <c r="Q190" i="6" s="1"/>
  <c r="Q191" i="6" s="1"/>
  <c r="Q192" i="6" s="1"/>
  <c r="Q193" i="6" s="1"/>
  <c r="Q194" i="6" s="1"/>
  <c r="Q195" i="6" s="1"/>
  <c r="Q196" i="6" s="1"/>
  <c r="Q197" i="6" s="1"/>
  <c r="Q198" i="6" s="1"/>
  <c r="Q199" i="6" s="1"/>
  <c r="Q200" i="6" s="1"/>
  <c r="Q201" i="6" s="1"/>
  <c r="Q202" i="6" s="1"/>
  <c r="Q203" i="6" s="1"/>
  <c r="Q204" i="6" s="1"/>
  <c r="Q205" i="6" s="1"/>
  <c r="Q206" i="6" s="1"/>
  <c r="Q207" i="6" s="1"/>
  <c r="Q208" i="6" s="1"/>
  <c r="Q209" i="6" s="1"/>
  <c r="Q210" i="6" s="1"/>
  <c r="Q211" i="6" s="1"/>
  <c r="Q212" i="6" s="1"/>
  <c r="Q213" i="6" s="1"/>
  <c r="Q214" i="6" s="1"/>
  <c r="Q215" i="6" s="1"/>
  <c r="Q216" i="6" s="1"/>
  <c r="Q217" i="6" s="1"/>
  <c r="Q218" i="6" s="1"/>
  <c r="Q219" i="6" s="1"/>
  <c r="Q220" i="6" s="1"/>
  <c r="Q221" i="6" s="1"/>
  <c r="Q222" i="6" s="1"/>
  <c r="Q223" i="6" s="1"/>
  <c r="Q224" i="6" s="1"/>
  <c r="Q225" i="6" s="1"/>
  <c r="Q226" i="6" s="1"/>
  <c r="Q227" i="6" s="1"/>
  <c r="Q228" i="6" s="1"/>
  <c r="Q229" i="6" s="1"/>
  <c r="Q230" i="6" s="1"/>
  <c r="Q231" i="6" s="1"/>
  <c r="Q232" i="6" s="1"/>
  <c r="Q233" i="6" s="1"/>
  <c r="Q234" i="6" s="1"/>
  <c r="Q235" i="6" s="1"/>
  <c r="Q236" i="6" s="1"/>
  <c r="Q237" i="6" s="1"/>
  <c r="Q238" i="6" s="1"/>
  <c r="Q239" i="6" s="1"/>
  <c r="Q240" i="6" s="1"/>
  <c r="Q241" i="6" s="1"/>
  <c r="Q242" i="6" s="1"/>
  <c r="Q243" i="6" s="1"/>
  <c r="Q244" i="6" s="1"/>
  <c r="Q245" i="6" s="1"/>
  <c r="Q246" i="6" s="1"/>
  <c r="Q247" i="6" s="1"/>
  <c r="Q248" i="6" s="1"/>
  <c r="Q249" i="6" s="1"/>
  <c r="Q250" i="6" s="1"/>
  <c r="Q251" i="6" s="1"/>
  <c r="Q252" i="6" s="1"/>
  <c r="Q253" i="6" s="1"/>
  <c r="Q254" i="6" s="1"/>
  <c r="Q255" i="6" s="1"/>
  <c r="Q256" i="6" s="1"/>
  <c r="Q257" i="6" s="1"/>
  <c r="Q258" i="6" s="1"/>
  <c r="Q259" i="6" s="1"/>
  <c r="Q260" i="6" s="1"/>
  <c r="Q261" i="6" s="1"/>
  <c r="Q262" i="6" s="1"/>
  <c r="Q263" i="6" s="1"/>
  <c r="Q264" i="6" s="1"/>
  <c r="Q265" i="6" s="1"/>
  <c r="Q266" i="6" s="1"/>
  <c r="Q267" i="6" s="1"/>
  <c r="Q268" i="6" s="1"/>
  <c r="Q269" i="6" s="1"/>
  <c r="Q270" i="6" s="1"/>
  <c r="Q271" i="6" s="1"/>
  <c r="Q272" i="6" s="1"/>
  <c r="Q273" i="6" s="1"/>
  <c r="Q274" i="6" s="1"/>
  <c r="Q275" i="6" s="1"/>
  <c r="Q276" i="6" s="1"/>
  <c r="Q277" i="6" s="1"/>
  <c r="Q278" i="6" s="1"/>
  <c r="Q279" i="6" s="1"/>
  <c r="Q280" i="6" s="1"/>
  <c r="Q281" i="6" s="1"/>
  <c r="Q282" i="6" s="1"/>
  <c r="Q283" i="6" s="1"/>
  <c r="Q284" i="6" s="1"/>
  <c r="Q285" i="6" s="1"/>
  <c r="Q286" i="6" s="1"/>
  <c r="Q287" i="6" s="1"/>
  <c r="Q288" i="6" s="1"/>
  <c r="Q289" i="6" s="1"/>
  <c r="Q290" i="6" s="1"/>
  <c r="Q291" i="6" s="1"/>
  <c r="Q292" i="6" s="1"/>
  <c r="Q293" i="6" s="1"/>
  <c r="Q294" i="6" s="1"/>
  <c r="Q295" i="6" s="1"/>
  <c r="Q296" i="6" s="1"/>
  <c r="Q297" i="6" s="1"/>
  <c r="Q298" i="6" s="1"/>
  <c r="Q299" i="6" s="1"/>
  <c r="Q300" i="6" s="1"/>
  <c r="Q301" i="6" s="1"/>
  <c r="Q302" i="6" s="1"/>
  <c r="A3" i="6"/>
  <c r="Q2" i="6"/>
  <c r="A2" i="6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Q225" i="4"/>
  <c r="A224" i="4"/>
  <c r="A223" i="4"/>
  <c r="A222" i="4"/>
  <c r="A221" i="4"/>
  <c r="A220" i="4"/>
  <c r="A191" i="4"/>
  <c r="A190" i="4"/>
  <c r="A160" i="4"/>
  <c r="A159" i="4"/>
  <c r="A158" i="4"/>
  <c r="A157" i="4"/>
  <c r="A156" i="4"/>
  <c r="A155" i="4"/>
  <c r="A154" i="4"/>
  <c r="A153" i="4"/>
  <c r="A152" i="4"/>
  <c r="A151" i="4"/>
  <c r="A150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73" i="4"/>
  <c r="A72" i="4"/>
  <c r="A71" i="4"/>
  <c r="A68" i="4"/>
  <c r="A57" i="4"/>
  <c r="A56" i="4"/>
  <c r="A55" i="4"/>
  <c r="A54" i="4"/>
  <c r="A53" i="4"/>
  <c r="A52" i="4"/>
  <c r="A51" i="4"/>
  <c r="A46" i="4"/>
  <c r="A45" i="4"/>
  <c r="A44" i="4"/>
  <c r="A43" i="4"/>
  <c r="A42" i="4"/>
  <c r="A41" i="4"/>
  <c r="A40" i="4"/>
  <c r="A39" i="4"/>
  <c r="A38" i="4"/>
  <c r="A28" i="4"/>
  <c r="A27" i="4"/>
  <c r="A22" i="4"/>
  <c r="A10" i="4"/>
  <c r="A9" i="4"/>
  <c r="A8" i="4"/>
  <c r="A7" i="4"/>
  <c r="A6" i="4"/>
  <c r="A5" i="4"/>
  <c r="A4" i="4"/>
  <c r="A3" i="4"/>
  <c r="Q2" i="4"/>
  <c r="Q3" i="4" s="1"/>
  <c r="Q4" i="4" s="1"/>
  <c r="Q5" i="4" s="1"/>
  <c r="Q6" i="4" s="1"/>
  <c r="Q7" i="4" s="1"/>
  <c r="Q8" i="4" s="1"/>
  <c r="Q9" i="4" s="1"/>
  <c r="Q10" i="4" s="1"/>
  <c r="Q22" i="4" s="1"/>
  <c r="Q27" i="4" s="1"/>
  <c r="Q28" i="4" s="1"/>
  <c r="Q38" i="4" s="1"/>
  <c r="Q39" i="4" s="1"/>
  <c r="Q40" i="4" s="1"/>
  <c r="Q41" i="4" s="1"/>
  <c r="Q42" i="4" s="1"/>
  <c r="Q43" i="4" s="1"/>
  <c r="Q44" i="4" s="1"/>
  <c r="Q45" i="4" s="1"/>
  <c r="Q46" i="4" s="1"/>
  <c r="Q51" i="4" s="1"/>
  <c r="Q52" i="4" s="1"/>
  <c r="Q53" i="4" s="1"/>
  <c r="Q54" i="4" s="1"/>
  <c r="Q55" i="4" s="1"/>
  <c r="Q56" i="4" s="1"/>
  <c r="Q57" i="4" s="1"/>
  <c r="Q68" i="4" s="1"/>
  <c r="Q71" i="4" s="1"/>
  <c r="Q72" i="4" s="1"/>
  <c r="Q73" i="4" s="1"/>
  <c r="Q106" i="4" s="1"/>
  <c r="Q107" i="4" s="1"/>
  <c r="Q108" i="4" s="1"/>
  <c r="Q109" i="4" s="1"/>
  <c r="Q110" i="4" s="1"/>
  <c r="Q111" i="4" s="1"/>
  <c r="Q112" i="4" s="1"/>
  <c r="Q113" i="4" s="1"/>
  <c r="Q114" i="4" s="1"/>
  <c r="Q115" i="4" s="1"/>
  <c r="Q116" i="4" s="1"/>
  <c r="Q117" i="4" s="1"/>
  <c r="Q118" i="4" s="1"/>
  <c r="Q119" i="4" s="1"/>
  <c r="Q120" i="4" s="1"/>
  <c r="Q121" i="4" s="1"/>
  <c r="Q122" i="4" s="1"/>
  <c r="Q123" i="4" s="1"/>
  <c r="Q124" i="4" s="1"/>
  <c r="Q125" i="4" s="1"/>
  <c r="Q126" i="4" s="1"/>
  <c r="Q127" i="4" s="1"/>
  <c r="Q128" i="4" s="1"/>
  <c r="Q129" i="4" s="1"/>
  <c r="Q130" i="4" s="1"/>
  <c r="Q131" i="4" s="1"/>
  <c r="Q132" i="4" s="1"/>
  <c r="Q133" i="4" s="1"/>
  <c r="Q134" i="4" s="1"/>
  <c r="Q135" i="4" s="1"/>
  <c r="Q136" i="4" s="1"/>
  <c r="Q137" i="4" s="1"/>
  <c r="Q138" i="4" s="1"/>
  <c r="Q139" i="4" s="1"/>
  <c r="Q140" i="4" s="1"/>
  <c r="Q141" i="4" s="1"/>
  <c r="Q142" i="4" s="1"/>
  <c r="Q143" i="4" s="1"/>
  <c r="Q144" i="4" s="1"/>
  <c r="Q145" i="4" s="1"/>
  <c r="Q146" i="4" s="1"/>
  <c r="Q150" i="4" s="1"/>
  <c r="Q151" i="4" s="1"/>
  <c r="Q152" i="4" s="1"/>
  <c r="Q153" i="4" s="1"/>
  <c r="Q154" i="4" s="1"/>
  <c r="Q155" i="4" s="1"/>
  <c r="Q156" i="4" s="1"/>
  <c r="Q157" i="4" s="1"/>
  <c r="Q158" i="4" s="1"/>
  <c r="Q159" i="4" s="1"/>
  <c r="Q160" i="4" s="1"/>
  <c r="Q190" i="4" s="1"/>
  <c r="Q191" i="4" s="1"/>
  <c r="Q220" i="4" s="1"/>
  <c r="Q221" i="4" s="1"/>
  <c r="Q222" i="4" s="1"/>
  <c r="Q223" i="4" s="1"/>
  <c r="Q224" i="4" s="1"/>
  <c r="A2" i="4"/>
  <c r="Q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Q2" i="1"/>
  <c r="Q3" i="1" s="1"/>
  <c r="Q4" i="1" s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A2" i="1"/>
</calcChain>
</file>

<file path=xl/sharedStrings.xml><?xml version="1.0" encoding="utf-8"?>
<sst xmlns="http://schemas.openxmlformats.org/spreadsheetml/2006/main" count="12116" uniqueCount="789">
  <si>
    <t>Message</t>
  </si>
  <si>
    <t>Level</t>
  </si>
  <si>
    <t>Type</t>
  </si>
  <si>
    <t>Occurs</t>
  </si>
  <si>
    <t>Name</t>
  </si>
  <si>
    <t>Format</t>
  </si>
  <si>
    <t>Status</t>
  </si>
  <si>
    <t>Rules</t>
  </si>
  <si>
    <t>Conditions</t>
  </si>
  <si>
    <t>WCO Id</t>
  </si>
  <si>
    <t>XML Name</t>
  </si>
  <si>
    <t>XSD Type</t>
  </si>
  <si>
    <t>XML Xpath</t>
  </si>
  <si>
    <t>Class</t>
  </si>
  <si>
    <t>CC013C</t>
  </si>
  <si>
    <t>*</t>
  </si>
  <si>
    <t>CC013CType</t>
  </si>
  <si>
    <t>Attribute</t>
  </si>
  <si>
    <t>1..1</t>
  </si>
  <si>
    <t>Message sender</t>
  </si>
  <si>
    <t>an..35
pattern: .{1,35}</t>
  </si>
  <si>
    <t>M</t>
  </si>
  <si>
    <t>messageSender</t>
  </si>
  <si>
    <t>MessageSenderContentType</t>
  </si>
  <si>
    <t>Message recipient</t>
  </si>
  <si>
    <t>messageRecipient</t>
  </si>
  <si>
    <t>MessageRecipientContentType</t>
  </si>
  <si>
    <t>Preparation date and time</t>
  </si>
  <si>
    <t>preparationDateAndTime</t>
  </si>
  <si>
    <t>PreparationDateAndTimeContentType</t>
  </si>
  <si>
    <t>Message identification</t>
  </si>
  <si>
    <t>messageIdentification</t>
  </si>
  <si>
    <t>MessageIdentificationContentType</t>
  </si>
  <si>
    <t>Message type</t>
  </si>
  <si>
    <t>messageType</t>
  </si>
  <si>
    <t>MessageTypes</t>
  </si>
  <si>
    <t>0..1</t>
  </si>
  <si>
    <t>Correlation identifier</t>
  </si>
  <si>
    <t>O</t>
  </si>
  <si>
    <t>correlationIdentifier</t>
  </si>
  <si>
    <t>CorrelationIdentifierContentType</t>
  </si>
  <si>
    <t>Composition</t>
  </si>
  <si>
    <t>Transit operation</t>
  </si>
  <si>
    <t>TransitOperation</t>
  </si>
  <si>
    <t>Lrn</t>
  </si>
  <si>
    <t>an..22
maxLength: 22
pattern: \P{Z}(.*\P{Z})?</t>
  </si>
  <si>
    <t>LRN</t>
  </si>
  <si>
    <t>LRNContentType03</t>
  </si>
  <si>
    <t>Mrn</t>
  </si>
  <si>
    <t>an18
pattern: ([2][4-9]|[3-9]int)alf{2}[A-Z0-9]{12}[J-M]int</t>
  </si>
  <si>
    <t>MRN</t>
  </si>
  <si>
    <t>MrnContentType05</t>
  </si>
  <si>
    <t>Declaration type</t>
  </si>
  <si>
    <t>an..5
pattern: .{1,5}</t>
  </si>
  <si>
    <t>declarationType</t>
  </si>
  <si>
    <t>DeclarationTypeContentType02</t>
  </si>
  <si>
    <t>Additional declaration type</t>
  </si>
  <si>
    <t>a1
pattern: [A-Za-z]{1}</t>
  </si>
  <si>
    <t>additionalDeclarationType</t>
  </si>
  <si>
    <t>AdditionalDeclarationTypeContentType</t>
  </si>
  <si>
    <t>Tir carnet number</t>
  </si>
  <si>
    <t>an..10
pattern: ([1-9]int{0,6}|(1int|2[0-4])int{0,6}|25000000|(Xalf|alfX)(2[5-9]|[3-9]int|[1-9]intint)int{6})</t>
  </si>
  <si>
    <t>TIRCarnetNumber</t>
  </si>
  <si>
    <t>TIRCarnetNumberContentType</t>
  </si>
  <si>
    <t>Presentation of the goods date and time</t>
  </si>
  <si>
    <t>an19
pattern: \d{4}-\d{2}-\d{2}T\d{2}:\d{2}:\d{2}</t>
  </si>
  <si>
    <t>presentationOfTheGoodsDateAndTime</t>
  </si>
  <si>
    <t>PresentationOfTheGoodsDateAndTimeContentType</t>
  </si>
  <si>
    <t>Security</t>
  </si>
  <si>
    <t>n1
pattern: [0-9]{1}</t>
  </si>
  <si>
    <t>security</t>
  </si>
  <si>
    <t>SecurityContentType</t>
  </si>
  <si>
    <t>Reduced dataset indicator</t>
  </si>
  <si>
    <t>reducedDatasetIndicator</t>
  </si>
  <si>
    <t>Flag</t>
  </si>
  <si>
    <t>Specific circumstance indicator</t>
  </si>
  <si>
    <t>an3
pattern: .{3}</t>
  </si>
  <si>
    <t>specificCircumstanceIndicator</t>
  </si>
  <si>
    <t>SpecificCircumstanceIndicatorContentType</t>
  </si>
  <si>
    <t>Communication language at departure</t>
  </si>
  <si>
    <t>a2
pattern: [A-Za-z]{2}</t>
  </si>
  <si>
    <t>communicationLanguageAtDeparture</t>
  </si>
  <si>
    <t>CommunicationLanguageAtDepartureContentType</t>
  </si>
  <si>
    <t>Binding itinerary</t>
  </si>
  <si>
    <t>bindingItinerary</t>
  </si>
  <si>
    <t>Amendment type flag</t>
  </si>
  <si>
    <t>amendmentTypeFlag</t>
  </si>
  <si>
    <t>Limit date</t>
  </si>
  <si>
    <t>an10
pattern: \d{4}-\d{2}-\d{2}</t>
  </si>
  <si>
    <t>limitDate</t>
  </si>
  <si>
    <t>LimitDateContentType</t>
  </si>
  <si>
    <t>0..9</t>
  </si>
  <si>
    <t>Authorisation</t>
  </si>
  <si>
    <t>Sequence number</t>
  </si>
  <si>
    <t>n..5
minInclusive: 1
maxInclusive: 99999
pattern: [1-9][0-9]{0,4}</t>
  </si>
  <si>
    <t>sequenceNumber</t>
  </si>
  <si>
    <t>SequenceNumberContentType</t>
  </si>
  <si>
    <t>an..4
pattern: .{1,4}</t>
  </si>
  <si>
    <t>type</t>
  </si>
  <si>
    <t>TypeContentType04</t>
  </si>
  <si>
    <t>Reference number</t>
  </si>
  <si>
    <t>an..35
maxLength: 35
pattern: \P{Z}(.*\P{Z})?</t>
  </si>
  <si>
    <t>referenceNumber</t>
  </si>
  <si>
    <t>ReferenceNumberContentType03</t>
  </si>
  <si>
    <t>Customs office of departure</t>
  </si>
  <si>
    <t>CustomsOfficeOfDeparture</t>
  </si>
  <si>
    <t>an8
length: 8
pattern: [A-Z]{2}[A-Z0-9]{6}</t>
  </si>
  <si>
    <t>ReferenceNumberContentType05</t>
  </si>
  <si>
    <t>Customs office of destination declared</t>
  </si>
  <si>
    <t>CustomsOfficeOfDestinationDeclared</t>
  </si>
  <si>
    <t>Customs office of transit declared</t>
  </si>
  <si>
    <t>CustomsOfficeOfTransitDeclared</t>
  </si>
  <si>
    <t>Arrival date and time estimated</t>
  </si>
  <si>
    <t>arrivalDateAndTimeEstimated</t>
  </si>
  <si>
    <t>ArrivalDateAndTimeEstimatedContentType</t>
  </si>
  <si>
    <t>Customs office of exit for transit declared</t>
  </si>
  <si>
    <t>CustomsOfficeOfExitForTransitDeclared</t>
  </si>
  <si>
    <t>Holder of the transit procedure</t>
  </si>
  <si>
    <t>HolderOfTheTransitProcedure</t>
  </si>
  <si>
    <t>Identification number</t>
  </si>
  <si>
    <t>an..17
maxLength: 17
pattern: \P{Z}(.*\P{Z})?</t>
  </si>
  <si>
    <t>identificationNumber</t>
  </si>
  <si>
    <t>IdentificationNumberContentType01</t>
  </si>
  <si>
    <t>Tir holder identification number</t>
  </si>
  <si>
    <t>TIRHolderIdentificationNumber</t>
  </si>
  <si>
    <t>TIRHolderIdentificationNumberContentType02</t>
  </si>
  <si>
    <t>an..70
maxLength: 70
pattern: \P{Z}(.*\P{Z})?</t>
  </si>
  <si>
    <t>name</t>
  </si>
  <si>
    <t>NameContentType02</t>
  </si>
  <si>
    <t>Address</t>
  </si>
  <si>
    <t>Street and number</t>
  </si>
  <si>
    <t>streetAndNumber</t>
  </si>
  <si>
    <t>StreetAndNumberContentType02</t>
  </si>
  <si>
    <t>Postcode</t>
  </si>
  <si>
    <t>postcode</t>
  </si>
  <si>
    <t>PostcodeContentType02</t>
  </si>
  <si>
    <t>City</t>
  </si>
  <si>
    <t>city</t>
  </si>
  <si>
    <t>CityContentType03</t>
  </si>
  <si>
    <t>Country</t>
  </si>
  <si>
    <t>a2</t>
  </si>
  <si>
    <t>country</t>
  </si>
  <si>
    <t>CountryContentType</t>
  </si>
  <si>
    <t>Contact person</t>
  </si>
  <si>
    <t>ContactPerson</t>
  </si>
  <si>
    <t>Phone number</t>
  </si>
  <si>
    <t>phoneNumber</t>
  </si>
  <si>
    <t>PhoneNumberContentType02</t>
  </si>
  <si>
    <t>E mail address</t>
  </si>
  <si>
    <t>an..256
pattern: \p{IsBasicLatin}+
maxLength: 256
pattern: \P{Z}[^@]*@[^\.]+\..*\P{Z}</t>
  </si>
  <si>
    <t>eMailAddress</t>
  </si>
  <si>
    <t>EMailAddressContentType02</t>
  </si>
  <si>
    <t>Representative</t>
  </si>
  <si>
    <t>status</t>
  </si>
  <si>
    <t>StatusContentType03</t>
  </si>
  <si>
    <t>1..9</t>
  </si>
  <si>
    <t>Guarantee</t>
  </si>
  <si>
    <t>Guarantee type</t>
  </si>
  <si>
    <t>an1
pattern: [A-Z0-9]*
length: 1</t>
  </si>
  <si>
    <t>guaranteeType</t>
  </si>
  <si>
    <t>GuaranteeTypeContentType</t>
  </si>
  <si>
    <t>Other guarantee reference</t>
  </si>
  <si>
    <t>otherGuaranteeReference</t>
  </si>
  <si>
    <t>OtherGuaranteeReferenceContentType02</t>
  </si>
  <si>
    <t>0..99</t>
  </si>
  <si>
    <t>Guarantee reference</t>
  </si>
  <si>
    <t>GuaranteeReference</t>
  </si>
  <si>
    <t>Grn</t>
  </si>
  <si>
    <t>an..23
pattern: int{2}alf{2}[A-Z0-9]{12}int(alfint{6})?</t>
  </si>
  <si>
    <t>GRN</t>
  </si>
  <si>
    <t>GrnContentType</t>
  </si>
  <si>
    <t>Access code</t>
  </si>
  <si>
    <t>an4
length: 4
pattern: \P{Z}(.*\P{Z})?</t>
  </si>
  <si>
    <t>accessCode</t>
  </si>
  <si>
    <t>AccessCodeContentType02</t>
  </si>
  <si>
    <t>Amount to be covered</t>
  </si>
  <si>
    <t>n..16,2
totalDigits: 16
fractionDigits: 2
pattern: (0|[1-9]\d*)(\.\d+)?</t>
  </si>
  <si>
    <t>amountToBeCovered</t>
  </si>
  <si>
    <t>AmountToBeCoveredContentType</t>
  </si>
  <si>
    <t>Currency</t>
  </si>
  <si>
    <t>a3
pattern: [A-Za-z]{3}</t>
  </si>
  <si>
    <t>currency</t>
  </si>
  <si>
    <t>CurrencyContentType</t>
  </si>
  <si>
    <t>Consignment</t>
  </si>
  <si>
    <t>Country of dispatch</t>
  </si>
  <si>
    <t>countryOfDispatch</t>
  </si>
  <si>
    <t>CountryOfDispatchContentType</t>
  </si>
  <si>
    <t>Country of destination</t>
  </si>
  <si>
    <t>countryOfDestination</t>
  </si>
  <si>
    <t>CountryOfDestinationContentType</t>
  </si>
  <si>
    <t>Container indicator</t>
  </si>
  <si>
    <t>containerIndicator</t>
  </si>
  <si>
    <t>Inland mode of transport</t>
  </si>
  <si>
    <t>inlandModeOfTransport</t>
  </si>
  <si>
    <t>InlandModeOfTransportContentType</t>
  </si>
  <si>
    <t>Mode of transport at the border</t>
  </si>
  <si>
    <t>modeOfTransportAtTheBorder</t>
  </si>
  <si>
    <t>ModeOfTransportAtTheBorderContentType</t>
  </si>
  <si>
    <t>Gross mass</t>
  </si>
  <si>
    <t>n..16,6
totalDigits: 16
fractionDigits: 6
pattern: [1-9]\d*(\.\d+)?
pattern: 0\.\d*[1-9]\d*</t>
  </si>
  <si>
    <t>grossMass</t>
  </si>
  <si>
    <t>GrossMassContentType01</t>
  </si>
  <si>
    <t>Reference number ucr</t>
  </si>
  <si>
    <t>an..35
pattern: [!-~][ -~]{1,33}[!-~]|[!-~]{1,2}</t>
  </si>
  <si>
    <t>referenceNumberUCR</t>
  </si>
  <si>
    <t>ReferenceNumberUCRContentType02</t>
  </si>
  <si>
    <t>Carrier</t>
  </si>
  <si>
    <t>IdentificationNumberContentType02</t>
  </si>
  <si>
    <t>Consignor</t>
  </si>
  <si>
    <t>Consignee</t>
  </si>
  <si>
    <t>Additional supply chain actor</t>
  </si>
  <si>
    <t>AdditionalSupplyChainActor</t>
  </si>
  <si>
    <t>Role</t>
  </si>
  <si>
    <t>a..3
pattern: [A-Za-z]{1,3}</t>
  </si>
  <si>
    <t>role</t>
  </si>
  <si>
    <t>RoleContentType01</t>
  </si>
  <si>
    <t>0..9999</t>
  </si>
  <si>
    <t>Transport equipment</t>
  </si>
  <si>
    <t>TransportEquipment</t>
  </si>
  <si>
    <t>Container identification number</t>
  </si>
  <si>
    <t>an..17
pattern: [!-~][ -~]{1,15}[!-~]|[!-~]{1,2}</t>
  </si>
  <si>
    <t>containerIdentificationNumber</t>
  </si>
  <si>
    <t>ContainerIdentificationNumberContentType02</t>
  </si>
  <si>
    <t>Number of seals</t>
  </si>
  <si>
    <t>n..4
minInclusive: 0
maxInclusive: 9999
pattern: (0|[1-9][0-9]{0,3})</t>
  </si>
  <si>
    <t>numberOfSeals</t>
  </si>
  <si>
    <t>NumberOfSealsContentType</t>
  </si>
  <si>
    <t>Seal</t>
  </si>
  <si>
    <t>Identifier</t>
  </si>
  <si>
    <t>an..20
maxLength: 20
pattern: \P{Z}(.*\P{Z})?</t>
  </si>
  <si>
    <t>identifier</t>
  </si>
  <si>
    <t>IdentifierContentType02</t>
  </si>
  <si>
    <t>Goods reference</t>
  </si>
  <si>
    <t>GoodsReference</t>
  </si>
  <si>
    <t>Declaration goods item number</t>
  </si>
  <si>
    <t>n..4
minInclusive: 1
maxInclusive: 1999
pattern: [1-9][0-9]{0,2}|[1][0-9]{3}</t>
  </si>
  <si>
    <t>declarationGoodsItemNumber</t>
  </si>
  <si>
    <t>DeclarationGoodsItemNumberContentType01</t>
  </si>
  <si>
    <t>Location of goods</t>
  </si>
  <si>
    <t>LocationOfGoods</t>
  </si>
  <si>
    <t>Type of location</t>
  </si>
  <si>
    <t>typeOfLocation</t>
  </si>
  <si>
    <t>TypeOfLocationContentType</t>
  </si>
  <si>
    <t>Qualifier of identification</t>
  </si>
  <si>
    <t>qualifierOfIdentification</t>
  </si>
  <si>
    <t>QualifierOfIdentificationContentType</t>
  </si>
  <si>
    <t>Authorisation number</t>
  </si>
  <si>
    <t>authorisationNumber</t>
  </si>
  <si>
    <t>AuthorisationNumberContentType02</t>
  </si>
  <si>
    <t>Additional identifier</t>
  </si>
  <si>
    <t>an..4
maxLength: 4
pattern: \P{Z}(.*\P{Z})?</t>
  </si>
  <si>
    <t>additionalIdentifier</t>
  </si>
  <si>
    <t>AdditionalIdentifierContentType02</t>
  </si>
  <si>
    <t>Un locode</t>
  </si>
  <si>
    <t>an..17
pattern: .{1,17}</t>
  </si>
  <si>
    <t>UNLocode</t>
  </si>
  <si>
    <t>UNLocodeContentType</t>
  </si>
  <si>
    <t>Customs office</t>
  </si>
  <si>
    <t>CustomsOffice</t>
  </si>
  <si>
    <t>Gnss</t>
  </si>
  <si>
    <t>GNSS</t>
  </si>
  <si>
    <t>Latitude</t>
  </si>
  <si>
    <t>latitude</t>
  </si>
  <si>
    <t>LatitudeContentType</t>
  </si>
  <si>
    <t>Longitude</t>
  </si>
  <si>
    <t>longitude</t>
  </si>
  <si>
    <t>LongitudeContentType</t>
  </si>
  <si>
    <t>Economic operator</t>
  </si>
  <si>
    <t>EconomicOperator</t>
  </si>
  <si>
    <t>Postcode address</t>
  </si>
  <si>
    <t>PostcodeAddress</t>
  </si>
  <si>
    <t>House number</t>
  </si>
  <si>
    <t>houseNumber</t>
  </si>
  <si>
    <t>HouseNumberContentType02</t>
  </si>
  <si>
    <t>0..999</t>
  </si>
  <si>
    <t>Departure transport means</t>
  </si>
  <si>
    <t>DepartureTransportMeans</t>
  </si>
  <si>
    <t>Type of identification</t>
  </si>
  <si>
    <t>n2
pattern: [0-9]{2}</t>
  </si>
  <si>
    <t>typeOfIdentification</t>
  </si>
  <si>
    <t>TypeOfIdentificationContentType</t>
  </si>
  <si>
    <t>IdentificationNumberContentType06</t>
  </si>
  <si>
    <t>Nationality</t>
  </si>
  <si>
    <t>nationality</t>
  </si>
  <si>
    <t>NationalityContentType</t>
  </si>
  <si>
    <t>Country of routing of consignment</t>
  </si>
  <si>
    <t>CountryOfRoutingOfConsignment</t>
  </si>
  <si>
    <t>Active border transport means</t>
  </si>
  <si>
    <t>ActiveBorderTransportMeans</t>
  </si>
  <si>
    <t>Customs office at border reference number</t>
  </si>
  <si>
    <t>an8
pattern: .{8}</t>
  </si>
  <si>
    <t>customsOfficeAtBorderReferenceNumber</t>
  </si>
  <si>
    <t>CustomsOfficeAtBorderReferenceNumberContentType</t>
  </si>
  <si>
    <t>Conveyance reference number</t>
  </si>
  <si>
    <t>an..35
pattern: [!-~][ -~]{1,15}[!-~]|[!-~]{1,2}</t>
  </si>
  <si>
    <t>conveyanceReferenceNumber</t>
  </si>
  <si>
    <t>ConveyanceReferenceNumberContentType02</t>
  </si>
  <si>
    <t>Place of loading</t>
  </si>
  <si>
    <t>PlaceOfLoading</t>
  </si>
  <si>
    <t>Location</t>
  </si>
  <si>
    <t>location</t>
  </si>
  <si>
    <t>LocationContentType01</t>
  </si>
  <si>
    <t>Place of unloading</t>
  </si>
  <si>
    <t>PlaceOfUnloading</t>
  </si>
  <si>
    <t>Previous document</t>
  </si>
  <si>
    <t>PreviousDocument</t>
  </si>
  <si>
    <t>an4
pattern: .{4}</t>
  </si>
  <si>
    <t>TypeContentType02</t>
  </si>
  <si>
    <t>ReferenceNumberContentType04</t>
  </si>
  <si>
    <t>Complement of information</t>
  </si>
  <si>
    <t>complementOfInformation</t>
  </si>
  <si>
    <t>ComplementOfInformationContentType02</t>
  </si>
  <si>
    <t>Supporting document</t>
  </si>
  <si>
    <t>SupportingDocument</t>
  </si>
  <si>
    <t>Document line item number</t>
  </si>
  <si>
    <t>documentLineItemNumber</t>
  </si>
  <si>
    <t>DocumentLineItemNumberContentType</t>
  </si>
  <si>
    <t>Transport document</t>
  </si>
  <si>
    <t>TransportDocument</t>
  </si>
  <si>
    <t>Additional reference</t>
  </si>
  <si>
    <t>AdditionalReference</t>
  </si>
  <si>
    <t>Additional information</t>
  </si>
  <si>
    <t>AdditionalInformation</t>
  </si>
  <si>
    <t>Code</t>
  </si>
  <si>
    <t>an5
pattern: .{5}</t>
  </si>
  <si>
    <t>code</t>
  </si>
  <si>
    <t>CodeContentType03</t>
  </si>
  <si>
    <t>Text</t>
  </si>
  <si>
    <t>an..512
maxLength: 512
pattern: \P{Z}(.*\P{Z})?</t>
  </si>
  <si>
    <t>text</t>
  </si>
  <si>
    <t>TextContentType02</t>
  </si>
  <si>
    <t>Transport charges</t>
  </si>
  <si>
    <t>TransportCharges</t>
  </si>
  <si>
    <t>Method of payment</t>
  </si>
  <si>
    <t>a1
pattern: [A-Z]*
length: 1</t>
  </si>
  <si>
    <t>methodOfPayment</t>
  </si>
  <si>
    <t>MethodOfPaymentContentType</t>
  </si>
  <si>
    <t>1..1999</t>
  </si>
  <si>
    <t>House consignment</t>
  </si>
  <si>
    <t>HouseConsignment</t>
  </si>
  <si>
    <t>1..999</t>
  </si>
  <si>
    <t>Consignment item</t>
  </si>
  <si>
    <t>ConsignmentItem</t>
  </si>
  <si>
    <t>Goods item number</t>
  </si>
  <si>
    <t>goodsItemNumber</t>
  </si>
  <si>
    <t>GoodsItemNumberContentType</t>
  </si>
  <si>
    <t>Commodity</t>
  </si>
  <si>
    <t>Description of goods</t>
  </si>
  <si>
    <t>descriptionOfGoods</t>
  </si>
  <si>
    <t>DescriptionOfGoodsContentType02</t>
  </si>
  <si>
    <t>Cus code</t>
  </si>
  <si>
    <t>an9
pattern: .{9}</t>
  </si>
  <si>
    <t>cusCode</t>
  </si>
  <si>
    <t>CusCodeContentType</t>
  </si>
  <si>
    <t>Commodity code</t>
  </si>
  <si>
    <t>CommodityCode</t>
  </si>
  <si>
    <t>Harmonized system sub heading code</t>
  </si>
  <si>
    <t>an6
pattern: .{6}</t>
  </si>
  <si>
    <t>harmonizedSystemSubHeadingCode</t>
  </si>
  <si>
    <t>HarmonizedSystemSubHeadingCodeContentType</t>
  </si>
  <si>
    <t>Combined nomenclature code</t>
  </si>
  <si>
    <t>an2
length: 2
pattern: \P{Z}(.*\P{Z})?</t>
  </si>
  <si>
    <t>combinedNomenclatureCode</t>
  </si>
  <si>
    <t>CombinedNomenclatureCodeContentType02</t>
  </si>
  <si>
    <t>Dangerous goods</t>
  </si>
  <si>
    <t>DangerousGoods</t>
  </si>
  <si>
    <t>Un number</t>
  </si>
  <si>
    <t>UNNumber</t>
  </si>
  <si>
    <t>UNNumberContentType</t>
  </si>
  <si>
    <t>Goods measure</t>
  </si>
  <si>
    <t>GoodsMeasure</t>
  </si>
  <si>
    <t>n..16,6
totalDigits: 16
fractionDigits: 6
pattern: (0|[1-9]\d*)(\.\d+)?</t>
  </si>
  <si>
    <t>GrossMassContentType02</t>
  </si>
  <si>
    <t>Net mass</t>
  </si>
  <si>
    <t>netMass</t>
  </si>
  <si>
    <t>NetMassContentType</t>
  </si>
  <si>
    <t>Supplementary units</t>
  </si>
  <si>
    <t>supplementaryUnits</t>
  </si>
  <si>
    <t>SupplementaryUnitsContentType</t>
  </si>
  <si>
    <t>1..99</t>
  </si>
  <si>
    <t>Packaging</t>
  </si>
  <si>
    <t>Type of packages</t>
  </si>
  <si>
    <t>an2
pattern: .{2}</t>
  </si>
  <si>
    <t>typeOfPackages</t>
  </si>
  <si>
    <t>TypeOfPackagesContentType</t>
  </si>
  <si>
    <t>Number of packages</t>
  </si>
  <si>
    <t>n..8
minInclusive: 0
maxInclusive: 99999999
pattern: (0|[1-9][0-9]{0,7})</t>
  </si>
  <si>
    <t>numberOfPackages</t>
  </si>
  <si>
    <t>NumberOfPackagesContentType01</t>
  </si>
  <si>
    <t>Shipping marks</t>
  </si>
  <si>
    <t>shippingMarks</t>
  </si>
  <si>
    <t>ShippingMarksContentType02</t>
  </si>
  <si>
    <t>n..8
minInclusive: 1
maxInclusive: 99999999
pattern: [1-9][0-9]{0,7}</t>
  </si>
  <si>
    <t>NumberOfPackagesContentType02</t>
  </si>
  <si>
    <t>Measurement unit and qualifier</t>
  </si>
  <si>
    <t>measurementUnitAndQualifier</t>
  </si>
  <si>
    <t>MeasurementUnitAndQualifierContentType</t>
  </si>
  <si>
    <t>Quantity</t>
  </si>
  <si>
    <t>quantity</t>
  </si>
  <si>
    <t>QuantityContentType</t>
  </si>
  <si>
    <t>n1</t>
  </si>
  <si>
    <t>an..17</t>
  </si>
  <si>
    <t>CC170C</t>
  </si>
  <si>
    <t>CC170CType</t>
  </si>
  <si>
    <t>an..10
pattern: [+-]?([0-8]?int\.int{5,7}|90.000000?0?)</t>
  </si>
  <si>
    <t>an..11
pattern: [+-]?((0?int?|1[0-7])int\.int{5,7}|180.000000?0?)</t>
  </si>
  <si>
    <t>D1</t>
  </si>
  <si>
    <t>D4</t>
  </si>
  <si>
    <t>0..0</t>
  </si>
  <si>
    <t>Code List</t>
  </si>
  <si>
    <t>Field Code</t>
  </si>
  <si>
    <t>XML Attribute</t>
  </si>
  <si>
    <t>Description</t>
  </si>
  <si>
    <t>xs:token</t>
  </si>
  <si>
    <t>xs:dateTime</t>
  </si>
  <si>
    <t>AlphaNumeric_MAX22_NoSpaces
AlphaNumType
ENS_MRNType</t>
  </si>
  <si>
    <t>MRNType
ENS_MRNType</t>
  </si>
  <si>
    <t>TIRcarnetNumber
ENS_MRNType</t>
  </si>
  <si>
    <t>DateTimeType
ENS_MRNType</t>
  </si>
  <si>
    <t>LanguageCodeType
ENS_MRNType</t>
  </si>
  <si>
    <t>DateType
ENS_MRNType</t>
  </si>
  <si>
    <t>NumericWithoutZero_5
xs:integer</t>
  </si>
  <si>
    <t>AlphaNumeric_MAX35_NoSpaces
AlphaNumType
ENS_MRNType</t>
  </si>
  <si>
    <t>CORefNumType
AlphaNumType
ENS_MRNType</t>
  </si>
  <si>
    <t>AlphaNumeric_MAX17_NoSpaces
AlphaNumType
ENS_MRNType</t>
  </si>
  <si>
    <t>AlphaNumeric_MAX70_NoSpaces
AlphaNumType
ENS_MRNType</t>
  </si>
  <si>
    <t>CountryCodeType
ENS_MRNType</t>
  </si>
  <si>
    <t>EmailAddressType256_NoSpaces
StringLatin1
xs:normalizedString</t>
  </si>
  <si>
    <t>AlphanumericCapital1Type
AlphanumericCapitalType
AlphaNumType
ENS_MRNType</t>
  </si>
  <si>
    <t>GRNType
ENS_MRNType</t>
  </si>
  <si>
    <t>AlphaNumeric_4_NoSpaces
AlphaNumType
ENS_MRNType</t>
  </si>
  <si>
    <t>DecimalWithZero_16_2
xs:decimal</t>
  </si>
  <si>
    <t>DecimalWithoutZero_16_6
xs:decimal</t>
  </si>
  <si>
    <t>UCRReferenceNumber35_NoSpaces
AlphaNumType
ENS_MRNType</t>
  </si>
  <si>
    <t>TINNewType
ENS_MRNType</t>
  </si>
  <si>
    <t>ContainerIdentificationNumber_NoSpaces
AlphaNumType
ENS_MRNType</t>
  </si>
  <si>
    <t>NumericWithZero_4
xs:integer</t>
  </si>
  <si>
    <t>AlphaNumeric_MAX20_NoSpaces
AlphaNumType
ENS_MRNType</t>
  </si>
  <si>
    <t>DeclarationGoodsItemNumberType
xs:integer</t>
  </si>
  <si>
    <t>AlphaNumeric_MAX4_NoSpaces
AlphaNumType
ENS_MRNType</t>
  </si>
  <si>
    <t>GNSSLatitude
ENS_MRNType</t>
  </si>
  <si>
    <t>GNSSLongitude
ENS_MRNType</t>
  </si>
  <si>
    <t>ConveyanceReferenceNumber17_NoSpaces
AlphaNumType
ENS_MRNType</t>
  </si>
  <si>
    <t>AlphaNumeric_MAX512_NoSpaces
AlphaNumType
ENS_MRNType</t>
  </si>
  <si>
    <t>AlphaCapital1Type
AlphaCapitalType
AlphaType
xs:normalizedString</t>
  </si>
  <si>
    <t>AlphaNumeric_2_NoSpaces
AlphaNumType
ENS_MRNType</t>
  </si>
  <si>
    <t>DecimalWithZero_16_6
xs:decimal</t>
  </si>
  <si>
    <t>NumericWithZero_8
xs:integer</t>
  </si>
  <si>
    <t>NumericWithoutZero_8
xs:integer</t>
  </si>
  <si>
    <t>D2</t>
  </si>
  <si>
    <t>C</t>
  </si>
  <si>
    <t>CL060</t>
  </si>
  <si>
    <t>an6
enumeration: CC007C
enumeration: CC013C
enumeration: CC014C
enumeration: CC015C
enumeration: CC044C
enumeration: CC141C
enumeration: CC170C</t>
  </si>
  <si>
    <t>C0511</t>
  </si>
  <si>
    <t>R0008
B1833</t>
  </si>
  <si>
    <t>CL192</t>
  </si>
  <si>
    <t>R0100</t>
  </si>
  <si>
    <t>C0839</t>
  </si>
  <si>
    <t>G0002</t>
  </si>
  <si>
    <t>R0028
G0002</t>
  </si>
  <si>
    <t>11 01 001 000</t>
  </si>
  <si>
    <t>CL231</t>
  </si>
  <si>
    <t>CL042</t>
  </si>
  <si>
    <t>11 02 001 000</t>
  </si>
  <si>
    <t>11 03 000 000</t>
  </si>
  <si>
    <t>11 03 001 000</t>
  </si>
  <si>
    <t>R0988
G0072</t>
  </si>
  <si>
    <t>G0825</t>
  </si>
  <si>
    <t>11 04 001 000</t>
  </si>
  <si>
    <t>CL296</t>
  </si>
  <si>
    <t>11 07 001 000</t>
  </si>
  <si>
    <t>CL217</t>
  </si>
  <si>
    <t>11 08 001 000</t>
  </si>
  <si>
    <t>CL027</t>
  </si>
  <si>
    <t>R0849</t>
  </si>
  <si>
    <t>R0987</t>
  </si>
  <si>
    <t>12 01 002 000</t>
  </si>
  <si>
    <t>12 01 000 000</t>
  </si>
  <si>
    <t>CL214</t>
  </si>
  <si>
    <t>R0020
G0057</t>
  </si>
  <si>
    <t>12 01 001 000</t>
  </si>
  <si>
    <t>G0321</t>
  </si>
  <si>
    <t>12 01 079 000</t>
  </si>
  <si>
    <t>n..2
minInclusive: 1
maxInclusive: 99999
pattern: [1-9][0-9]{0,4}</t>
  </si>
  <si>
    <t>12 01 007 000</t>
  </si>
  <si>
    <t>G0058</t>
  </si>
  <si>
    <t>12 01 003 000</t>
  </si>
  <si>
    <t>CL017</t>
  </si>
  <si>
    <t>12 01 004 000</t>
  </si>
  <si>
    <t>12 01 005 000</t>
  </si>
  <si>
    <t>C0298</t>
  </si>
  <si>
    <t>CL349</t>
  </si>
  <si>
    <t>12 01 006 000</t>
  </si>
  <si>
    <t>12 02 000 000</t>
  </si>
  <si>
    <t xml:space="preserve">G0825 </t>
  </si>
  <si>
    <t>12 02 008 000</t>
  </si>
  <si>
    <t>12 02 009 000</t>
  </si>
  <si>
    <t>R3060
G0057</t>
  </si>
  <si>
    <t>12 03 000 000</t>
  </si>
  <si>
    <t>12 03 001 000</t>
  </si>
  <si>
    <t>12 03 002 000</t>
  </si>
  <si>
    <t>12 03 013 000</t>
  </si>
  <si>
    <t>12 03 079 000</t>
  </si>
  <si>
    <t>G0069</t>
  </si>
  <si>
    <t>n..4
minInclusive: 1
maxInclusive: 99999
pattern: [1-9][0-9]{0,4}</t>
  </si>
  <si>
    <t>G0057</t>
  </si>
  <si>
    <t>G0069
G0825</t>
  </si>
  <si>
    <t>CL213</t>
  </si>
  <si>
    <t>12 04 000 000</t>
  </si>
  <si>
    <t>12 04 002 000</t>
  </si>
  <si>
    <t>12 04 001 000</t>
  </si>
  <si>
    <t>G0068
G0825</t>
  </si>
  <si>
    <t>CL380</t>
  </si>
  <si>
    <t>12 05 000 000</t>
  </si>
  <si>
    <t>12 05 002 000</t>
  </si>
  <si>
    <t>12 05 001 000</t>
  </si>
  <si>
    <t>B1896
B2400
G0825</t>
  </si>
  <si>
    <t>CL754</t>
  </si>
  <si>
    <t>12 06 001 000</t>
  </si>
  <si>
    <t>C0411</t>
  </si>
  <si>
    <t>R0990</t>
  </si>
  <si>
    <t>12 08 001 000</t>
  </si>
  <si>
    <t>C0502</t>
  </si>
  <si>
    <t>R0506
R0507
B1895
G0002</t>
  </si>
  <si>
    <t>12 09 001 000</t>
  </si>
  <si>
    <t>12 12 000 000</t>
  </si>
  <si>
    <t>12 12 002 000</t>
  </si>
  <si>
    <t>12 12 001 000</t>
  </si>
  <si>
    <t>C0101</t>
  </si>
  <si>
    <t>G0102
G0167</t>
  </si>
  <si>
    <t>n1
minInclusive: 1
maxInclusive: 99999
pattern: [1-9][0-9]{0,4}</t>
  </si>
  <si>
    <t>CL235</t>
  </si>
  <si>
    <t>R0352
G0033</t>
  </si>
  <si>
    <t>R0350
R0859
G0114
G0117</t>
  </si>
  <si>
    <t>13 02 000 000</t>
  </si>
  <si>
    <t>13 02 017 000</t>
  </si>
  <si>
    <t>13 02 016 000</t>
  </si>
  <si>
    <t>R0850</t>
  </si>
  <si>
    <t>C0542</t>
  </si>
  <si>
    <t>R0506
G0123</t>
  </si>
  <si>
    <t>13 02 018 000</t>
  </si>
  <si>
    <t>C0250</t>
  </si>
  <si>
    <t>13 02 018 019</t>
  </si>
  <si>
    <t>13 02 018 021</t>
  </si>
  <si>
    <t>C0505</t>
  </si>
  <si>
    <t>13 02 018 022</t>
  </si>
  <si>
    <t>13 02 018 020</t>
  </si>
  <si>
    <t>CL248</t>
  </si>
  <si>
    <t>13 02 074 000</t>
  </si>
  <si>
    <t>G0105</t>
  </si>
  <si>
    <t>13 02 074 016</t>
  </si>
  <si>
    <t>13 02 074 075</t>
  </si>
  <si>
    <t>13 02 074 076</t>
  </si>
  <si>
    <t>13 03 000 000</t>
  </si>
  <si>
    <t>13 03 017 000</t>
  </si>
  <si>
    <t>13 03 016 000</t>
  </si>
  <si>
    <t>C0001</t>
  </si>
  <si>
    <t>R0506
B1820
B1823
B1877
B2400
G0001
G0062</t>
  </si>
  <si>
    <t>R0851</t>
  </si>
  <si>
    <t>13 03 018 000</t>
  </si>
  <si>
    <t>13 03 018 019</t>
  </si>
  <si>
    <t>13 03 018 021</t>
  </si>
  <si>
    <t>13 03 018 022</t>
  </si>
  <si>
    <t>13 03 018 020</t>
  </si>
  <si>
    <t>13 06 017 000</t>
  </si>
  <si>
    <t>13 06 000 000</t>
  </si>
  <si>
    <t>13 06 030 000</t>
  </si>
  <si>
    <t>13 06 074 000</t>
  </si>
  <si>
    <t>13 06 074 016</t>
  </si>
  <si>
    <t>13 06 074 075</t>
  </si>
  <si>
    <t>13 06 074 076</t>
  </si>
  <si>
    <t>CL094</t>
  </si>
  <si>
    <t>G0850</t>
  </si>
  <si>
    <t>13 07 000 000</t>
  </si>
  <si>
    <t>13 07 017 000</t>
  </si>
  <si>
    <t>R0850
G0120</t>
  </si>
  <si>
    <t>13 07 078 000</t>
  </si>
  <si>
    <t>13 07 016 000</t>
  </si>
  <si>
    <t>C0904</t>
  </si>
  <si>
    <t>13 07 018 000</t>
  </si>
  <si>
    <t>13 07 018 019</t>
  </si>
  <si>
    <t>13 07 018 021</t>
  </si>
  <si>
    <t>13 07 018 022</t>
  </si>
  <si>
    <t>13 07 018 020</t>
  </si>
  <si>
    <t>13 07 074 000</t>
  </si>
  <si>
    <t>13 07 074 016</t>
  </si>
  <si>
    <t>13 07 074 075</t>
  </si>
  <si>
    <t>13 07 074 076</t>
  </si>
  <si>
    <t>13 12 000 000</t>
  </si>
  <si>
    <t>13 12 017 000</t>
  </si>
  <si>
    <t>13 12 074 000</t>
  </si>
  <si>
    <t>13 12 074 016</t>
  </si>
  <si>
    <t>13 12 074 075</t>
  </si>
  <si>
    <t>13 12 074 076</t>
  </si>
  <si>
    <t>G0090</t>
  </si>
  <si>
    <t>R0840
G0002
G0201</t>
  </si>
  <si>
    <t>13 14 000 000</t>
  </si>
  <si>
    <t>13 14 017 000</t>
  </si>
  <si>
    <t>13 14 031 000</t>
  </si>
  <si>
    <t>CL704</t>
  </si>
  <si>
    <t>14 02 000 000</t>
  </si>
  <si>
    <t>14 02 038 000</t>
  </si>
  <si>
    <t>CL116</t>
  </si>
  <si>
    <t>C0186
C0337</t>
  </si>
  <si>
    <t>R0506</t>
  </si>
  <si>
    <t>16 03 001 000</t>
  </si>
  <si>
    <t>CL008</t>
  </si>
  <si>
    <t>C0343</t>
  </si>
  <si>
    <t>R0507</t>
  </si>
  <si>
    <t>16 06 001 000</t>
  </si>
  <si>
    <t>C0909</t>
  </si>
  <si>
    <t>R0506
G0988</t>
  </si>
  <si>
    <t>16 12 000 000</t>
  </si>
  <si>
    <t>16 12 020 000</t>
  </si>
  <si>
    <t>C0586</t>
  </si>
  <si>
    <t>B1848
G0061</t>
  </si>
  <si>
    <t>16 13 000 000</t>
  </si>
  <si>
    <t>16 13 036 000</t>
  </si>
  <si>
    <t>16 13 020 000</t>
  </si>
  <si>
    <t>16 13 037 000</t>
  </si>
  <si>
    <t>C0403</t>
  </si>
  <si>
    <t>B1893</t>
  </si>
  <si>
    <t>CL244</t>
  </si>
  <si>
    <t>C0387</t>
  </si>
  <si>
    <t>16 14 000 000</t>
  </si>
  <si>
    <t>16 14 036 000</t>
  </si>
  <si>
    <t>16 14 020 000</t>
  </si>
  <si>
    <t>16 14 037 000</t>
  </si>
  <si>
    <t>C0191</t>
  </si>
  <si>
    <t>B1858</t>
  </si>
  <si>
    <t>16 15 000 000</t>
  </si>
  <si>
    <t>16 15 045 000</t>
  </si>
  <si>
    <t>16 15 046 000</t>
  </si>
  <si>
    <t>16 15 052 000</t>
  </si>
  <si>
    <t>16 15 053 000</t>
  </si>
  <si>
    <t>16 15 036 000</t>
  </si>
  <si>
    <t>C0710</t>
  </si>
  <si>
    <t>B1302</t>
  </si>
  <si>
    <t>CL347</t>
  </si>
  <si>
    <t>G0500</t>
  </si>
  <si>
    <t>CL326</t>
  </si>
  <si>
    <t>C0394</t>
  </si>
  <si>
    <t>C0671</t>
  </si>
  <si>
    <t>16 15 047 000</t>
  </si>
  <si>
    <t>16 15 047 001</t>
  </si>
  <si>
    <t>CL171</t>
  </si>
  <si>
    <t>16 15 048 000</t>
  </si>
  <si>
    <t>16 15 048 049</t>
  </si>
  <si>
    <t>16 15 048 050</t>
  </si>
  <si>
    <t>G0002
G0014</t>
  </si>
  <si>
    <t>16 15 051 000</t>
  </si>
  <si>
    <t>16 15 051 017</t>
  </si>
  <si>
    <t>16 15 018 000</t>
  </si>
  <si>
    <t>16 15 018 019</t>
  </si>
  <si>
    <t>16 15 018 021</t>
  </si>
  <si>
    <t>16 15 018 022</t>
  </si>
  <si>
    <t>16 15 018 020</t>
  </si>
  <si>
    <t>CL009</t>
  </si>
  <si>
    <t>16 15 081 000</t>
  </si>
  <si>
    <t>16 15 081 025</t>
  </si>
  <si>
    <t>16 15 081 021</t>
  </si>
  <si>
    <t>C0382</t>
  </si>
  <si>
    <t>16 15 081 020</t>
  </si>
  <si>
    <t>CL190</t>
  </si>
  <si>
    <t>16 15 074 000</t>
  </si>
  <si>
    <t>16 15 074 016</t>
  </si>
  <si>
    <t>16 15 074 075</t>
  </si>
  <si>
    <t>16 15 074 076</t>
  </si>
  <si>
    <t>16 17 036 000</t>
  </si>
  <si>
    <t>17 03 000 000</t>
  </si>
  <si>
    <t>17 03 001 000</t>
  </si>
  <si>
    <t>R0901</t>
  </si>
  <si>
    <t>17 04 000 000</t>
  </si>
  <si>
    <t>C0030</t>
  </si>
  <si>
    <t>CL173</t>
  </si>
  <si>
    <t>17 04 001 000</t>
  </si>
  <si>
    <t>R0003
R0006
R0906
B1813
G0142</t>
  </si>
  <si>
    <t>17 05 000 000</t>
  </si>
  <si>
    <t>17 05 001 000</t>
  </si>
  <si>
    <t>CL172</t>
  </si>
  <si>
    <t>R0871
R0901
R0904
R0905</t>
  </si>
  <si>
    <t>17 06 000 000</t>
  </si>
  <si>
    <t>17 06 001 000</t>
  </si>
  <si>
    <t>CL175</t>
  </si>
  <si>
    <t>R0871</t>
  </si>
  <si>
    <t>C0587</t>
  </si>
  <si>
    <t>G0042</t>
  </si>
  <si>
    <t>C0837</t>
  </si>
  <si>
    <t>18 01 001 000</t>
  </si>
  <si>
    <t>R0223
B1805
B1862</t>
  </si>
  <si>
    <t>18 02 001 000</t>
  </si>
  <si>
    <t>18 01 000 000
18 04 000 000</t>
  </si>
  <si>
    <t>18 04 001 000</t>
  </si>
  <si>
    <t>R0221
R0983
B1860
B2101
G0021</t>
  </si>
  <si>
    <t>18 05 000 000</t>
  </si>
  <si>
    <t>18 05 001 000</t>
  </si>
  <si>
    <t>18 06 000 000</t>
  </si>
  <si>
    <t>18 06 003 000</t>
  </si>
  <si>
    <t>18 06 004 000</t>
  </si>
  <si>
    <t>18 06 054 000</t>
  </si>
  <si>
    <t>R0364
G0021</t>
  </si>
  <si>
    <t>C0060</t>
  </si>
  <si>
    <t>G0024</t>
  </si>
  <si>
    <t>18 07 000 000</t>
  </si>
  <si>
    <t>18 07 055 000</t>
  </si>
  <si>
    <t>18 09 000 000</t>
  </si>
  <si>
    <t>B1834</t>
  </si>
  <si>
    <t>C0153</t>
  </si>
  <si>
    <t>18 08 000 000</t>
  </si>
  <si>
    <t>G0301</t>
  </si>
  <si>
    <t>CL016</t>
  </si>
  <si>
    <t>18 09 056 000</t>
  </si>
  <si>
    <t>CL152</t>
  </si>
  <si>
    <t>18 09 057 000</t>
  </si>
  <si>
    <t>R0060</t>
  </si>
  <si>
    <t>C0821</t>
  </si>
  <si>
    <t>19 05 000 000</t>
  </si>
  <si>
    <t>n..3
minInclusive: 1
maxInclusive: 99999
pattern: [1-9][0-9]{0,4}</t>
  </si>
  <si>
    <t>19 01 000 000</t>
  </si>
  <si>
    <t>19 01 001 000</t>
  </si>
  <si>
    <t>C0822</t>
  </si>
  <si>
    <t>G0332</t>
  </si>
  <si>
    <t>19 03 001 000</t>
  </si>
  <si>
    <t>CL218</t>
  </si>
  <si>
    <t>C0599</t>
  </si>
  <si>
    <t>B1889
G0020
G0115</t>
  </si>
  <si>
    <t>19 04 001 000</t>
  </si>
  <si>
    <t>19 05 061 000</t>
  </si>
  <si>
    <t>19 05 017 000</t>
  </si>
  <si>
    <t>19 05 062 000</t>
  </si>
  <si>
    <t>C0826</t>
  </si>
  <si>
    <t>R0855
B1890
B1891
G0088
G0119</t>
  </si>
  <si>
    <t>CL750</t>
  </si>
  <si>
    <t>CL165</t>
  </si>
  <si>
    <t>B1897
B2101</t>
  </si>
  <si>
    <t>R0473
B1815
B1892
B2101</t>
  </si>
  <si>
    <t>R0472
R0474
R0476
B1091
B1892
B2101
G0112</t>
  </si>
  <si>
    <t>19 07 000 000</t>
  </si>
  <si>
    <t>19 07 044 000</t>
  </si>
  <si>
    <t>19 07 063 000</t>
  </si>
  <si>
    <t>19 10 000 000</t>
  </si>
  <si>
    <t>19 10 015 000</t>
  </si>
  <si>
    <t>19 10 068 000</t>
  </si>
  <si>
    <t>C0823</t>
  </si>
  <si>
    <t>G0103</t>
  </si>
  <si>
    <t>C0055</t>
  </si>
  <si>
    <t>R0106
R0165
R0448
B1832
G0021</t>
  </si>
  <si>
    <t>C0569</t>
  </si>
  <si>
    <t>R0107</t>
  </si>
  <si>
    <t>C0670</t>
  </si>
  <si>
    <t>G0670</t>
  </si>
  <si>
    <t>R0007
G0005
G0006</t>
  </si>
  <si>
    <t>11 11 001 000</t>
  </si>
  <si>
    <t>19 08 000 000</t>
  </si>
  <si>
    <t>C0908</t>
  </si>
  <si>
    <t>R0789
B1806
G0118</t>
  </si>
  <si>
    <t>B1016
B2101
G0789</t>
  </si>
  <si>
    <t>19 08 084 000</t>
  </si>
  <si>
    <t>19 08 061 000</t>
  </si>
  <si>
    <t>CL219</t>
  </si>
  <si>
    <t>B1838
B2101
G0112</t>
  </si>
  <si>
    <t>19 08 017 000</t>
  </si>
  <si>
    <t>R0076
B1811
B1838
B2101</t>
  </si>
  <si>
    <t>19 08 062 000</t>
  </si>
  <si>
    <t>B1850
B2101</t>
  </si>
  <si>
    <t>19 02 001 000</t>
  </si>
  <si>
    <t>C0531</t>
  </si>
  <si>
    <t>R0315
G0002</t>
  </si>
  <si>
    <t>99 02 000 000</t>
  </si>
  <si>
    <t>99 02 001 000</t>
  </si>
  <si>
    <t>CL251</t>
  </si>
  <si>
    <t>R0900</t>
  </si>
  <si>
    <t>99 03 073 000</t>
  </si>
  <si>
    <t>C0130</t>
  </si>
  <si>
    <t>99 03 000 000</t>
  </si>
  <si>
    <t>C0085</t>
  </si>
  <si>
    <t>99 03 069 000</t>
  </si>
  <si>
    <t>C0086</t>
  </si>
  <si>
    <t>R0318
G0002</t>
  </si>
  <si>
    <t>99 03 070 000</t>
  </si>
  <si>
    <t>99 03 071 000</t>
  </si>
  <si>
    <t>B2101
G0021</t>
  </si>
  <si>
    <t>99 03 012 000</t>
  </si>
  <si>
    <t>B1898
B2101</t>
  </si>
  <si>
    <t>CL048</t>
  </si>
  <si>
    <t>R0472
R0474
R0476 
B1091
B1892
B2101
G0112</t>
  </si>
  <si>
    <t>15 08 001 000</t>
  </si>
  <si>
    <t>CC013C
CC015C</t>
  </si>
  <si>
    <t>CC013C
CC015C
CC170C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</si>
</sst>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 indent="1"/>
    </xf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left" vertical="top" indent="1"/>
    </xf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horizontal="left" vertical="top" indent="2"/>
    </xf>
    <xf numFmtId="0" fontId="1" fillId="2" borderId="0" xfId="0" applyFont="1" applyFill="1" applyAlignment="1">
      <alignment horizontal="left" vertical="top" indent="2"/>
    </xf>
    <xf numFmtId="0" fontId="1" fillId="0" borderId="0" xfId="0" applyFont="1" applyAlignment="1">
      <alignment horizontal="left" vertical="top" indent="3"/>
    </xf>
    <xf numFmtId="0" fontId="1" fillId="2" borderId="0" xfId="0" applyFont="1" applyFill="1" applyAlignment="1">
      <alignment horizontal="left" vertical="top" indent="3"/>
    </xf>
    <xf numFmtId="0" fontId="1" fillId="0" borderId="0" xfId="0" applyFont="1" applyAlignment="1">
      <alignment horizontal="left" vertical="top" indent="4"/>
    </xf>
    <xf numFmtId="0" fontId="1" fillId="2" borderId="0" xfId="0" applyFont="1" applyFill="1" applyAlignment="1">
      <alignment horizontal="left" vertical="top" indent="4"/>
    </xf>
    <xf numFmtId="0" fontId="1" fillId="0" borderId="0" xfId="0" applyFont="1" applyAlignment="1">
      <alignment horizontal="left" vertical="top" indent="5"/>
    </xf>
    <xf numFmtId="0" fontId="1" fillId="2" borderId="0" xfId="0" applyFont="1" applyFill="1" applyAlignment="1">
      <alignment horizontal="left" vertical="top" indent="5"/>
    </xf>
    <xf numFmtId="0" fontId="1" fillId="0" borderId="0" xfId="0" applyFont="1" applyAlignment="1">
      <alignment horizontal="left" vertical="top" indent="6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 vertical="top" indent="1"/>
    </xf>
    <xf numFmtId="0" fontId="1" fillId="0" borderId="0" xfId="0" applyFont="1" applyFill="1" applyAlignment="1">
      <alignment vertical="top" wrapText="1"/>
    </xf>
    <xf numFmtId="49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left" vertical="top" indent="1"/>
    </xf>
    <xf numFmtId="49" fontId="1" fillId="2" borderId="0" xfId="0" applyNumberFormat="1" applyFont="1" applyFill="1" applyAlignment="1">
      <alignment vertical="top"/>
    </xf>
    <xf numFmtId="49" fontId="1" fillId="2" borderId="0" xfId="0" applyNumberFormat="1" applyFont="1" applyFill="1" applyAlignment="1">
      <alignment horizontal="left" vertical="top" indent="1"/>
    </xf>
    <xf numFmtId="49" fontId="1" fillId="0" borderId="0" xfId="0" applyNumberFormat="1" applyFont="1" applyAlignment="1">
      <alignment horizontal="left" vertical="top" indent="2"/>
    </xf>
    <xf numFmtId="49" fontId="1" fillId="0" borderId="0" xfId="0" applyNumberFormat="1" applyFont="1" applyAlignment="1">
      <alignment vertical="top" wrapText="1"/>
    </xf>
    <xf numFmtId="49" fontId="1" fillId="2" borderId="0" xfId="0" applyNumberFormat="1" applyFont="1" applyFill="1" applyAlignment="1">
      <alignment horizontal="left" vertical="top" indent="2"/>
    </xf>
    <xf numFmtId="49" fontId="1" fillId="0" borderId="0" xfId="0" applyNumberFormat="1" applyFont="1" applyAlignment="1">
      <alignment horizontal="left" vertical="top" indent="3"/>
    </xf>
    <xf numFmtId="49" fontId="1" fillId="2" borderId="0" xfId="0" applyNumberFormat="1" applyFont="1" applyFill="1" applyAlignment="1">
      <alignment horizontal="left" vertical="top" indent="3"/>
    </xf>
    <xf numFmtId="49" fontId="1" fillId="0" borderId="0" xfId="0" applyNumberFormat="1" applyFont="1" applyAlignment="1">
      <alignment horizontal="left" vertical="top" indent="4"/>
    </xf>
    <xf numFmtId="49" fontId="1" fillId="2" borderId="0" xfId="0" applyNumberFormat="1" applyFont="1" applyFill="1" applyAlignment="1">
      <alignment horizontal="left" vertical="top" indent="4"/>
    </xf>
    <xf numFmtId="49" fontId="1" fillId="0" borderId="0" xfId="0" applyNumberFormat="1" applyFont="1" applyAlignment="1">
      <alignment horizontal="left" vertical="top" indent="5"/>
    </xf>
    <xf numFmtId="49" fontId="1" fillId="2" borderId="0" xfId="0" applyNumberFormat="1" applyFont="1" applyFill="1" applyAlignment="1">
      <alignment horizontal="left" vertical="top" indent="5"/>
    </xf>
    <xf numFmtId="49" fontId="1" fillId="0" borderId="0" xfId="0" applyNumberFormat="1" applyFont="1" applyAlignment="1">
      <alignment horizontal="left" vertical="top" indent="6"/>
    </xf>
    <xf numFmtId="49" fontId="1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14"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951F-05ED-4327-9EE9-300742576AEF}">
  <sheetPr codeName="Ark1">
    <tabColor rgb="FF00B050"/>
  </sheetPr>
  <dimension ref="A1:R302"/>
  <sheetViews>
    <sheetView workbookViewId="0">
      <selection activeCell="E2" sqref="E2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409</v>
      </c>
      <c r="K1" t="s">
        <v>9</v>
      </c>
      <c r="L1" t="s">
        <v>410</v>
      </c>
      <c r="M1" t="s">
        <v>10</v>
      </c>
      <c r="N1" t="s">
        <v>411</v>
      </c>
      <c r="P1" t="s">
        <v>11</v>
      </c>
      <c r="Q1" t="s">
        <v>12</v>
      </c>
      <c r="R1" t="s">
        <v>412</v>
      </c>
    </row>
    <row r="2" spans="1:18" x14ac:dyDescent="0.25">
      <c r="A2" t="s">
        <v>14</v>
      </c>
      <c r="B2">
        <v>0</v>
      </c>
      <c r="C2" t="s">
        <v>13</v>
      </c>
      <c r="E2" t="s">
        <v>788</v>
      </c>
      <c r="M2" t="s">
        <v>15</v>
      </c>
      <c r="P2" t="s">
        <v>16</v>
      </c>
    </row>
    <row r="3" spans="1:18" x14ac:dyDescent="0.25">
      <c r="A3" t="s">
        <v>14</v>
      </c>
      <c r="B3">
        <v>1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M3" t="s">
        <v>22</v>
      </c>
      <c r="P3" t="s">
        <v>23</v>
      </c>
    </row>
    <row r="4" spans="1:18" x14ac:dyDescent="0.25">
      <c r="A4" t="s">
        <v>14</v>
      </c>
      <c r="B4">
        <v>1</v>
      </c>
      <c r="C4" t="s">
        <v>17</v>
      </c>
      <c r="D4" t="s">
        <v>18</v>
      </c>
      <c r="E4" t="s">
        <v>24</v>
      </c>
      <c r="F4" t="s">
        <v>20</v>
      </c>
      <c r="G4" t="s">
        <v>21</v>
      </c>
      <c r="M4" t="s">
        <v>25</v>
      </c>
      <c r="P4" t="s">
        <v>26</v>
      </c>
    </row>
    <row r="5" spans="1:18" x14ac:dyDescent="0.25">
      <c r="A5" t="s">
        <v>14</v>
      </c>
      <c r="B5">
        <v>1</v>
      </c>
      <c r="C5" t="s">
        <v>17</v>
      </c>
      <c r="D5" t="s">
        <v>18</v>
      </c>
      <c r="E5" t="s">
        <v>27</v>
      </c>
      <c r="F5" t="s">
        <v>65</v>
      </c>
      <c r="G5" t="s">
        <v>21</v>
      </c>
      <c r="M5" t="s">
        <v>28</v>
      </c>
      <c r="P5" t="s">
        <v>29</v>
      </c>
    </row>
    <row r="6" spans="1:18" x14ac:dyDescent="0.25">
      <c r="A6" t="s">
        <v>14</v>
      </c>
      <c r="B6">
        <v>1</v>
      </c>
      <c r="C6" t="s">
        <v>17</v>
      </c>
      <c r="D6" t="s">
        <v>18</v>
      </c>
      <c r="E6" t="s">
        <v>30</v>
      </c>
      <c r="F6" t="s">
        <v>20</v>
      </c>
      <c r="G6" t="s">
        <v>21</v>
      </c>
      <c r="M6" t="s">
        <v>31</v>
      </c>
      <c r="P6" t="s">
        <v>32</v>
      </c>
    </row>
    <row r="7" spans="1:18" x14ac:dyDescent="0.25">
      <c r="A7" t="s">
        <v>14</v>
      </c>
      <c r="B7">
        <v>1</v>
      </c>
      <c r="C7" t="s">
        <v>17</v>
      </c>
      <c r="D7" t="s">
        <v>18</v>
      </c>
      <c r="E7" t="s">
        <v>33</v>
      </c>
      <c r="F7" t="s">
        <v>452</v>
      </c>
      <c r="G7" t="s">
        <v>21</v>
      </c>
      <c r="J7" t="s">
        <v>451</v>
      </c>
      <c r="M7" t="s">
        <v>34</v>
      </c>
      <c r="P7" t="s">
        <v>35</v>
      </c>
    </row>
    <row r="8" spans="1:18" x14ac:dyDescent="0.25">
      <c r="A8" t="s">
        <v>14</v>
      </c>
      <c r="B8">
        <v>1</v>
      </c>
      <c r="C8" t="s">
        <v>17</v>
      </c>
      <c r="D8" t="s">
        <v>36</v>
      </c>
      <c r="E8" t="s">
        <v>37</v>
      </c>
      <c r="F8" t="s">
        <v>20</v>
      </c>
      <c r="G8" t="s">
        <v>450</v>
      </c>
      <c r="H8" t="s">
        <v>454</v>
      </c>
      <c r="I8" t="s">
        <v>453</v>
      </c>
      <c r="M8" t="s">
        <v>39</v>
      </c>
      <c r="P8" t="s">
        <v>40</v>
      </c>
    </row>
    <row r="9" spans="1:18" x14ac:dyDescent="0.25">
      <c r="A9" t="s">
        <v>14</v>
      </c>
      <c r="B9">
        <v>1</v>
      </c>
      <c r="C9" t="s">
        <v>41</v>
      </c>
      <c r="D9" t="s">
        <v>18</v>
      </c>
      <c r="E9" t="s">
        <v>42</v>
      </c>
      <c r="G9" t="s">
        <v>21</v>
      </c>
      <c r="M9" t="s">
        <v>43</v>
      </c>
    </row>
    <row r="10" spans="1:18" x14ac:dyDescent="0.25">
      <c r="A10" t="s">
        <v>14</v>
      </c>
      <c r="B10">
        <v>2</v>
      </c>
      <c r="C10" t="s">
        <v>17</v>
      </c>
      <c r="D10" t="s">
        <v>36</v>
      </c>
      <c r="E10" t="s">
        <v>44</v>
      </c>
      <c r="F10" t="s">
        <v>45</v>
      </c>
      <c r="G10" t="s">
        <v>450</v>
      </c>
      <c r="L10" t="s">
        <v>524</v>
      </c>
      <c r="M10" t="s">
        <v>46</v>
      </c>
      <c r="P10" t="s">
        <v>47</v>
      </c>
    </row>
    <row r="11" spans="1:18" x14ac:dyDescent="0.25">
      <c r="A11" t="s">
        <v>14</v>
      </c>
      <c r="B11">
        <v>2</v>
      </c>
      <c r="C11" t="s">
        <v>17</v>
      </c>
      <c r="D11" t="s">
        <v>36</v>
      </c>
      <c r="E11" t="s">
        <v>48</v>
      </c>
      <c r="F11" t="s">
        <v>49</v>
      </c>
      <c r="G11" t="s">
        <v>38</v>
      </c>
      <c r="H11" t="s">
        <v>459</v>
      </c>
      <c r="M11" t="s">
        <v>50</v>
      </c>
      <c r="P11" t="s">
        <v>51</v>
      </c>
    </row>
    <row r="12" spans="1:18" x14ac:dyDescent="0.25">
      <c r="A12" t="s">
        <v>14</v>
      </c>
      <c r="B12">
        <v>2</v>
      </c>
      <c r="C12" t="s">
        <v>17</v>
      </c>
      <c r="D12" t="s">
        <v>18</v>
      </c>
      <c r="E12" t="s">
        <v>52</v>
      </c>
      <c r="F12" t="s">
        <v>53</v>
      </c>
      <c r="G12" t="s">
        <v>21</v>
      </c>
      <c r="J12" t="s">
        <v>461</v>
      </c>
      <c r="L12" t="s">
        <v>460</v>
      </c>
      <c r="M12" t="s">
        <v>54</v>
      </c>
      <c r="P12" t="s">
        <v>55</v>
      </c>
    </row>
    <row r="13" spans="1:18" x14ac:dyDescent="0.25">
      <c r="A13" t="s">
        <v>14</v>
      </c>
      <c r="B13">
        <v>2</v>
      </c>
      <c r="C13" t="s">
        <v>17</v>
      </c>
      <c r="D13" t="s">
        <v>18</v>
      </c>
      <c r="E13" t="s">
        <v>56</v>
      </c>
      <c r="F13" t="s">
        <v>57</v>
      </c>
      <c r="G13" t="s">
        <v>21</v>
      </c>
      <c r="J13" t="s">
        <v>462</v>
      </c>
      <c r="L13" t="s">
        <v>463</v>
      </c>
      <c r="M13" t="s">
        <v>58</v>
      </c>
      <c r="P13" t="s">
        <v>59</v>
      </c>
    </row>
    <row r="14" spans="1:18" x14ac:dyDescent="0.25">
      <c r="A14" t="s">
        <v>14</v>
      </c>
      <c r="B14">
        <v>2</v>
      </c>
      <c r="C14" t="s">
        <v>17</v>
      </c>
      <c r="D14" t="s">
        <v>36</v>
      </c>
      <c r="E14" t="s">
        <v>60</v>
      </c>
      <c r="F14" t="s">
        <v>61</v>
      </c>
      <c r="G14" t="s">
        <v>450</v>
      </c>
      <c r="H14" t="s">
        <v>520</v>
      </c>
      <c r="I14" t="s">
        <v>519</v>
      </c>
      <c r="L14" t="s">
        <v>518</v>
      </c>
      <c r="M14" t="s">
        <v>62</v>
      </c>
      <c r="P14" t="s">
        <v>63</v>
      </c>
    </row>
    <row r="15" spans="1:18" x14ac:dyDescent="0.25">
      <c r="A15" t="s">
        <v>14</v>
      </c>
      <c r="B15">
        <v>2</v>
      </c>
      <c r="C15" t="s">
        <v>17</v>
      </c>
      <c r="D15" t="s">
        <v>36</v>
      </c>
      <c r="E15" t="s">
        <v>64</v>
      </c>
      <c r="F15" t="s">
        <v>65</v>
      </c>
      <c r="G15" t="s">
        <v>38</v>
      </c>
      <c r="L15" t="s">
        <v>786</v>
      </c>
      <c r="M15" t="s">
        <v>66</v>
      </c>
      <c r="P15" t="s">
        <v>67</v>
      </c>
    </row>
    <row r="16" spans="1:18" x14ac:dyDescent="0.25">
      <c r="A16" t="s">
        <v>14</v>
      </c>
      <c r="B16">
        <v>2</v>
      </c>
      <c r="C16" t="s">
        <v>17</v>
      </c>
      <c r="D16" t="s">
        <v>18</v>
      </c>
      <c r="E16" t="s">
        <v>68</v>
      </c>
      <c r="F16" t="s">
        <v>69</v>
      </c>
      <c r="G16" t="s">
        <v>21</v>
      </c>
      <c r="J16" t="s">
        <v>471</v>
      </c>
      <c r="L16" t="s">
        <v>470</v>
      </c>
      <c r="M16" t="s">
        <v>70</v>
      </c>
      <c r="P16" t="s">
        <v>71</v>
      </c>
    </row>
    <row r="17" spans="1:16" x14ac:dyDescent="0.25">
      <c r="A17" t="s">
        <v>14</v>
      </c>
      <c r="B17">
        <v>2</v>
      </c>
      <c r="C17" t="s">
        <v>17</v>
      </c>
      <c r="D17" t="s">
        <v>18</v>
      </c>
      <c r="E17" t="s">
        <v>72</v>
      </c>
      <c r="F17" t="s">
        <v>400</v>
      </c>
      <c r="G17" t="s">
        <v>21</v>
      </c>
      <c r="H17" t="s">
        <v>474</v>
      </c>
      <c r="J17" t="s">
        <v>473</v>
      </c>
      <c r="L17" t="s">
        <v>472</v>
      </c>
      <c r="M17" t="s">
        <v>73</v>
      </c>
      <c r="P17" t="s">
        <v>74</v>
      </c>
    </row>
    <row r="18" spans="1:16" x14ac:dyDescent="0.25">
      <c r="A18" t="s">
        <v>14</v>
      </c>
      <c r="B18">
        <v>2</v>
      </c>
      <c r="C18" t="s">
        <v>17</v>
      </c>
      <c r="D18" t="s">
        <v>36</v>
      </c>
      <c r="E18" t="s">
        <v>75</v>
      </c>
      <c r="F18" t="s">
        <v>76</v>
      </c>
      <c r="G18" t="s">
        <v>38</v>
      </c>
      <c r="J18" t="s">
        <v>469</v>
      </c>
      <c r="L18" t="s">
        <v>468</v>
      </c>
      <c r="M18" t="s">
        <v>77</v>
      </c>
      <c r="P18" t="s">
        <v>78</v>
      </c>
    </row>
    <row r="19" spans="1:16" x14ac:dyDescent="0.25">
      <c r="A19" t="s">
        <v>14</v>
      </c>
      <c r="B19">
        <v>2</v>
      </c>
      <c r="C19" t="s">
        <v>17</v>
      </c>
      <c r="D19" t="s">
        <v>36</v>
      </c>
      <c r="E19" t="s">
        <v>79</v>
      </c>
      <c r="F19" t="s">
        <v>80</v>
      </c>
      <c r="G19" t="s">
        <v>38</v>
      </c>
      <c r="H19" t="s">
        <v>456</v>
      </c>
      <c r="J19" t="s">
        <v>455</v>
      </c>
      <c r="M19" t="s">
        <v>81</v>
      </c>
      <c r="P19" t="s">
        <v>82</v>
      </c>
    </row>
    <row r="20" spans="1:16" x14ac:dyDescent="0.25">
      <c r="A20" t="s">
        <v>14</v>
      </c>
      <c r="B20">
        <v>2</v>
      </c>
      <c r="C20" t="s">
        <v>17</v>
      </c>
      <c r="D20" t="s">
        <v>18</v>
      </c>
      <c r="E20" t="s">
        <v>83</v>
      </c>
      <c r="F20" t="s">
        <v>400</v>
      </c>
      <c r="G20" t="s">
        <v>21</v>
      </c>
      <c r="J20" t="s">
        <v>473</v>
      </c>
      <c r="L20" t="s">
        <v>668</v>
      </c>
      <c r="M20" t="s">
        <v>84</v>
      </c>
      <c r="P20" t="s">
        <v>74</v>
      </c>
    </row>
    <row r="21" spans="1:16" x14ac:dyDescent="0.25">
      <c r="A21" t="s">
        <v>14</v>
      </c>
      <c r="B21">
        <v>2</v>
      </c>
      <c r="C21" t="s">
        <v>17</v>
      </c>
      <c r="D21" t="s">
        <v>18</v>
      </c>
      <c r="E21" t="s">
        <v>85</v>
      </c>
      <c r="G21" t="s">
        <v>21</v>
      </c>
      <c r="M21" t="s">
        <v>86</v>
      </c>
      <c r="P21" t="s">
        <v>74</v>
      </c>
    </row>
    <row r="22" spans="1:16" x14ac:dyDescent="0.25">
      <c r="A22" t="s">
        <v>14</v>
      </c>
      <c r="B22">
        <v>2</v>
      </c>
      <c r="C22" t="s">
        <v>17</v>
      </c>
      <c r="D22" t="s">
        <v>36</v>
      </c>
      <c r="E22" t="s">
        <v>87</v>
      </c>
      <c r="F22" t="s">
        <v>88</v>
      </c>
      <c r="G22" t="s">
        <v>450</v>
      </c>
      <c r="H22" t="s">
        <v>458</v>
      </c>
      <c r="I22" t="s">
        <v>457</v>
      </c>
      <c r="M22" t="s">
        <v>89</v>
      </c>
      <c r="P22" t="s">
        <v>90</v>
      </c>
    </row>
    <row r="23" spans="1:16" x14ac:dyDescent="0.25">
      <c r="A23" t="s">
        <v>14</v>
      </c>
      <c r="B23">
        <v>1</v>
      </c>
      <c r="C23" t="s">
        <v>41</v>
      </c>
      <c r="D23" t="s">
        <v>91</v>
      </c>
      <c r="E23" t="s">
        <v>92</v>
      </c>
      <c r="G23" t="s">
        <v>450</v>
      </c>
      <c r="H23" t="s">
        <v>529</v>
      </c>
      <c r="I23" t="s">
        <v>528</v>
      </c>
      <c r="L23" t="s">
        <v>525</v>
      </c>
      <c r="M23" t="s">
        <v>92</v>
      </c>
    </row>
    <row r="24" spans="1:16" x14ac:dyDescent="0.25">
      <c r="A24" t="s">
        <v>14</v>
      </c>
      <c r="B24">
        <v>2</v>
      </c>
      <c r="C24" t="s">
        <v>17</v>
      </c>
      <c r="D24" t="s">
        <v>18</v>
      </c>
      <c r="E24" t="s">
        <v>93</v>
      </c>
      <c r="F24" t="s">
        <v>530</v>
      </c>
      <c r="G24" t="s">
        <v>21</v>
      </c>
      <c r="H24" t="s">
        <v>475</v>
      </c>
      <c r="M24" t="s">
        <v>95</v>
      </c>
      <c r="P24" t="s">
        <v>96</v>
      </c>
    </row>
    <row r="25" spans="1:16" x14ac:dyDescent="0.25">
      <c r="A25" t="s">
        <v>14</v>
      </c>
      <c r="B25">
        <v>2</v>
      </c>
      <c r="C25" t="s">
        <v>17</v>
      </c>
      <c r="D25" t="s">
        <v>18</v>
      </c>
      <c r="E25" t="s">
        <v>2</v>
      </c>
      <c r="F25" t="s">
        <v>97</v>
      </c>
      <c r="G25" t="s">
        <v>21</v>
      </c>
      <c r="H25" t="s">
        <v>533</v>
      </c>
      <c r="J25" t="s">
        <v>531</v>
      </c>
      <c r="L25" t="s">
        <v>526</v>
      </c>
      <c r="M25" t="s">
        <v>98</v>
      </c>
      <c r="P25" t="s">
        <v>99</v>
      </c>
    </row>
    <row r="26" spans="1:16" x14ac:dyDescent="0.25">
      <c r="A26" t="s">
        <v>14</v>
      </c>
      <c r="B26">
        <v>2</v>
      </c>
      <c r="C26" t="s">
        <v>17</v>
      </c>
      <c r="D26" t="s">
        <v>18</v>
      </c>
      <c r="E26" t="s">
        <v>100</v>
      </c>
      <c r="F26" t="s">
        <v>101</v>
      </c>
      <c r="G26" t="s">
        <v>21</v>
      </c>
      <c r="H26" t="s">
        <v>532</v>
      </c>
      <c r="L26" t="s">
        <v>527</v>
      </c>
      <c r="M26" t="s">
        <v>102</v>
      </c>
      <c r="P26" t="s">
        <v>103</v>
      </c>
    </row>
    <row r="27" spans="1:16" x14ac:dyDescent="0.25">
      <c r="A27" t="s">
        <v>14</v>
      </c>
      <c r="B27">
        <v>1</v>
      </c>
      <c r="C27" t="s">
        <v>41</v>
      </c>
      <c r="D27" t="s">
        <v>18</v>
      </c>
      <c r="E27" t="s">
        <v>104</v>
      </c>
      <c r="G27" t="s">
        <v>21</v>
      </c>
      <c r="L27" t="s">
        <v>669</v>
      </c>
      <c r="M27" t="s">
        <v>105</v>
      </c>
    </row>
    <row r="28" spans="1:16" x14ac:dyDescent="0.25">
      <c r="A28" t="s">
        <v>14</v>
      </c>
      <c r="B28">
        <v>2</v>
      </c>
      <c r="C28" t="s">
        <v>17</v>
      </c>
      <c r="D28" t="s">
        <v>18</v>
      </c>
      <c r="E28" t="s">
        <v>100</v>
      </c>
      <c r="F28" t="s">
        <v>106</v>
      </c>
      <c r="G28" t="s">
        <v>21</v>
      </c>
      <c r="H28" t="s">
        <v>671</v>
      </c>
      <c r="J28" t="s">
        <v>645</v>
      </c>
      <c r="L28" t="s">
        <v>670</v>
      </c>
      <c r="M28" t="s">
        <v>102</v>
      </c>
      <c r="P28" t="s">
        <v>107</v>
      </c>
    </row>
    <row r="29" spans="1:16" x14ac:dyDescent="0.25">
      <c r="A29" t="s">
        <v>14</v>
      </c>
      <c r="B29">
        <v>1</v>
      </c>
      <c r="C29" t="s">
        <v>41</v>
      </c>
      <c r="D29" t="s">
        <v>18</v>
      </c>
      <c r="E29" t="s">
        <v>108</v>
      </c>
      <c r="G29" t="s">
        <v>21</v>
      </c>
      <c r="L29" t="s">
        <v>677</v>
      </c>
      <c r="M29" t="s">
        <v>109</v>
      </c>
    </row>
    <row r="30" spans="1:16" x14ac:dyDescent="0.25">
      <c r="A30" t="s">
        <v>14</v>
      </c>
      <c r="B30">
        <v>2</v>
      </c>
      <c r="C30" t="s">
        <v>17</v>
      </c>
      <c r="D30" t="s">
        <v>18</v>
      </c>
      <c r="E30" t="s">
        <v>100</v>
      </c>
      <c r="F30" t="s">
        <v>106</v>
      </c>
      <c r="G30" t="s">
        <v>21</v>
      </c>
      <c r="H30" t="s">
        <v>680</v>
      </c>
      <c r="J30" t="s">
        <v>679</v>
      </c>
      <c r="L30" t="s">
        <v>678</v>
      </c>
      <c r="M30" t="s">
        <v>102</v>
      </c>
      <c r="P30" t="s">
        <v>107</v>
      </c>
    </row>
    <row r="31" spans="1:16" x14ac:dyDescent="0.25">
      <c r="A31" t="s">
        <v>14</v>
      </c>
      <c r="B31">
        <v>1</v>
      </c>
      <c r="C31" t="s">
        <v>41</v>
      </c>
      <c r="D31" t="s">
        <v>91</v>
      </c>
      <c r="E31" t="s">
        <v>110</v>
      </c>
      <c r="G31" t="s">
        <v>450</v>
      </c>
      <c r="I31" t="s">
        <v>673</v>
      </c>
      <c r="L31" t="s">
        <v>672</v>
      </c>
      <c r="M31" t="s">
        <v>111</v>
      </c>
    </row>
    <row r="32" spans="1:16" x14ac:dyDescent="0.25">
      <c r="A32" t="s">
        <v>14</v>
      </c>
      <c r="B32">
        <v>2</v>
      </c>
      <c r="C32" t="s">
        <v>17</v>
      </c>
      <c r="D32" t="s">
        <v>18</v>
      </c>
      <c r="E32" t="s">
        <v>93</v>
      </c>
      <c r="F32" t="s">
        <v>530</v>
      </c>
      <c r="G32" t="s">
        <v>21</v>
      </c>
      <c r="H32" t="s">
        <v>475</v>
      </c>
      <c r="M32" t="s">
        <v>95</v>
      </c>
      <c r="P32" t="s">
        <v>96</v>
      </c>
    </row>
    <row r="33" spans="1:16" x14ac:dyDescent="0.25">
      <c r="A33" t="s">
        <v>14</v>
      </c>
      <c r="B33">
        <v>2</v>
      </c>
      <c r="C33" t="s">
        <v>17</v>
      </c>
      <c r="D33" t="s">
        <v>18</v>
      </c>
      <c r="E33" t="s">
        <v>100</v>
      </c>
      <c r="F33" t="s">
        <v>106</v>
      </c>
      <c r="G33" t="s">
        <v>21</v>
      </c>
      <c r="H33" t="s">
        <v>676</v>
      </c>
      <c r="J33" t="s">
        <v>674</v>
      </c>
      <c r="L33" t="s">
        <v>675</v>
      </c>
      <c r="M33" t="s">
        <v>102</v>
      </c>
      <c r="P33" t="s">
        <v>107</v>
      </c>
    </row>
    <row r="34" spans="1:16" x14ac:dyDescent="0.25">
      <c r="A34" t="s">
        <v>14</v>
      </c>
      <c r="B34">
        <v>2</v>
      </c>
      <c r="C34" t="s">
        <v>17</v>
      </c>
      <c r="D34" t="s">
        <v>36</v>
      </c>
      <c r="E34" t="s">
        <v>112</v>
      </c>
      <c r="F34" t="s">
        <v>65</v>
      </c>
      <c r="G34" t="s">
        <v>38</v>
      </c>
      <c r="M34" t="s">
        <v>113</v>
      </c>
      <c r="P34" t="s">
        <v>114</v>
      </c>
    </row>
    <row r="35" spans="1:16" x14ac:dyDescent="0.25">
      <c r="A35" t="s">
        <v>14</v>
      </c>
      <c r="B35">
        <v>1</v>
      </c>
      <c r="C35" t="s">
        <v>41</v>
      </c>
      <c r="D35" t="s">
        <v>91</v>
      </c>
      <c r="E35" t="s">
        <v>115</v>
      </c>
      <c r="G35" t="s">
        <v>450</v>
      </c>
      <c r="H35" t="s">
        <v>686</v>
      </c>
      <c r="I35" t="s">
        <v>685</v>
      </c>
      <c r="L35" t="s">
        <v>681</v>
      </c>
      <c r="M35" t="s">
        <v>116</v>
      </c>
    </row>
    <row r="36" spans="1:16" x14ac:dyDescent="0.25">
      <c r="A36" t="s">
        <v>14</v>
      </c>
      <c r="B36">
        <v>2</v>
      </c>
      <c r="C36" t="s">
        <v>17</v>
      </c>
      <c r="D36" t="s">
        <v>18</v>
      </c>
      <c r="E36" t="s">
        <v>93</v>
      </c>
      <c r="F36" t="s">
        <v>530</v>
      </c>
      <c r="G36" t="s">
        <v>21</v>
      </c>
      <c r="H36" t="s">
        <v>475</v>
      </c>
      <c r="M36" t="s">
        <v>95</v>
      </c>
      <c r="P36" t="s">
        <v>96</v>
      </c>
    </row>
    <row r="37" spans="1:16" x14ac:dyDescent="0.25">
      <c r="A37" t="s">
        <v>14</v>
      </c>
      <c r="B37">
        <v>2</v>
      </c>
      <c r="C37" t="s">
        <v>17</v>
      </c>
      <c r="D37" t="s">
        <v>18</v>
      </c>
      <c r="E37" t="s">
        <v>100</v>
      </c>
      <c r="F37" t="s">
        <v>106</v>
      </c>
      <c r="G37" t="s">
        <v>21</v>
      </c>
      <c r="H37" t="s">
        <v>684</v>
      </c>
      <c r="J37" t="s">
        <v>683</v>
      </c>
      <c r="L37" t="s">
        <v>682</v>
      </c>
      <c r="M37" t="s">
        <v>102</v>
      </c>
      <c r="P37" t="s">
        <v>107</v>
      </c>
    </row>
    <row r="38" spans="1:16" x14ac:dyDescent="0.25">
      <c r="A38" t="s">
        <v>14</v>
      </c>
      <c r="B38">
        <v>1</v>
      </c>
      <c r="C38" t="s">
        <v>41</v>
      </c>
      <c r="D38" t="s">
        <v>18</v>
      </c>
      <c r="E38" t="s">
        <v>117</v>
      </c>
      <c r="G38" t="s">
        <v>21</v>
      </c>
      <c r="L38" t="s">
        <v>573</v>
      </c>
      <c r="M38" t="s">
        <v>118</v>
      </c>
    </row>
    <row r="39" spans="1:16" x14ac:dyDescent="0.25">
      <c r="A39" t="s">
        <v>14</v>
      </c>
      <c r="B39">
        <v>2</v>
      </c>
      <c r="C39" t="s">
        <v>17</v>
      </c>
      <c r="D39" t="s">
        <v>36</v>
      </c>
      <c r="E39" t="s">
        <v>119</v>
      </c>
      <c r="F39" t="s">
        <v>120</v>
      </c>
      <c r="G39" t="s">
        <v>38</v>
      </c>
      <c r="H39" t="s">
        <v>575</v>
      </c>
      <c r="L39" t="s">
        <v>574</v>
      </c>
      <c r="M39" t="s">
        <v>121</v>
      </c>
      <c r="P39" t="s">
        <v>122</v>
      </c>
    </row>
    <row r="40" spans="1:16" x14ac:dyDescent="0.25">
      <c r="A40" t="s">
        <v>14</v>
      </c>
      <c r="B40">
        <v>2</v>
      </c>
      <c r="C40" t="s">
        <v>17</v>
      </c>
      <c r="D40" t="s">
        <v>36</v>
      </c>
      <c r="E40" t="s">
        <v>123</v>
      </c>
      <c r="F40" t="s">
        <v>120</v>
      </c>
      <c r="G40" t="s">
        <v>450</v>
      </c>
      <c r="H40" t="s">
        <v>458</v>
      </c>
      <c r="I40" t="s">
        <v>578</v>
      </c>
      <c r="L40" t="s">
        <v>576</v>
      </c>
      <c r="M40" t="s">
        <v>124</v>
      </c>
      <c r="P40" t="s">
        <v>125</v>
      </c>
    </row>
    <row r="41" spans="1:16" x14ac:dyDescent="0.25">
      <c r="A41" t="s">
        <v>14</v>
      </c>
      <c r="B41">
        <v>2</v>
      </c>
      <c r="C41" t="s">
        <v>17</v>
      </c>
      <c r="D41" t="s">
        <v>36</v>
      </c>
      <c r="E41" t="s">
        <v>4</v>
      </c>
      <c r="F41" t="s">
        <v>126</v>
      </c>
      <c r="G41" t="s">
        <v>450</v>
      </c>
      <c r="I41" t="s">
        <v>541</v>
      </c>
      <c r="L41" t="s">
        <v>577</v>
      </c>
      <c r="M41" t="s">
        <v>127</v>
      </c>
      <c r="P41" t="s">
        <v>128</v>
      </c>
    </row>
    <row r="42" spans="1:16" x14ac:dyDescent="0.25">
      <c r="A42" t="s">
        <v>14</v>
      </c>
      <c r="B42">
        <v>2</v>
      </c>
      <c r="C42" t="s">
        <v>41</v>
      </c>
      <c r="D42" t="s">
        <v>36</v>
      </c>
      <c r="E42" t="s">
        <v>129</v>
      </c>
      <c r="G42" t="s">
        <v>450</v>
      </c>
      <c r="I42" t="s">
        <v>541</v>
      </c>
      <c r="L42" t="s">
        <v>579</v>
      </c>
      <c r="M42" t="s">
        <v>129</v>
      </c>
    </row>
    <row r="43" spans="1:16" x14ac:dyDescent="0.25">
      <c r="A43" t="s">
        <v>14</v>
      </c>
      <c r="B43">
        <v>3</v>
      </c>
      <c r="C43" t="s">
        <v>17</v>
      </c>
      <c r="D43" t="s">
        <v>18</v>
      </c>
      <c r="E43" t="s">
        <v>130</v>
      </c>
      <c r="F43" t="s">
        <v>126</v>
      </c>
      <c r="G43" t="s">
        <v>21</v>
      </c>
      <c r="L43" t="s">
        <v>580</v>
      </c>
      <c r="M43" t="s">
        <v>131</v>
      </c>
      <c r="P43" t="s">
        <v>132</v>
      </c>
    </row>
    <row r="44" spans="1:16" x14ac:dyDescent="0.25">
      <c r="A44" t="s">
        <v>14</v>
      </c>
      <c r="B44">
        <v>3</v>
      </c>
      <c r="C44" t="s">
        <v>17</v>
      </c>
      <c r="D44" t="s">
        <v>36</v>
      </c>
      <c r="E44" t="s">
        <v>133</v>
      </c>
      <c r="F44" t="s">
        <v>120</v>
      </c>
      <c r="G44" t="s">
        <v>450</v>
      </c>
      <c r="I44" t="s">
        <v>544</v>
      </c>
      <c r="L44" t="s">
        <v>581</v>
      </c>
      <c r="M44" t="s">
        <v>134</v>
      </c>
      <c r="P44" t="s">
        <v>135</v>
      </c>
    </row>
    <row r="45" spans="1:16" x14ac:dyDescent="0.25">
      <c r="A45" t="s">
        <v>14</v>
      </c>
      <c r="B45">
        <v>3</v>
      </c>
      <c r="C45" t="s">
        <v>17</v>
      </c>
      <c r="D45" t="s">
        <v>18</v>
      </c>
      <c r="E45" t="s">
        <v>136</v>
      </c>
      <c r="F45" t="s">
        <v>101</v>
      </c>
      <c r="G45" t="s">
        <v>21</v>
      </c>
      <c r="L45" t="s">
        <v>582</v>
      </c>
      <c r="M45" t="s">
        <v>137</v>
      </c>
      <c r="P45" t="s">
        <v>138</v>
      </c>
    </row>
    <row r="46" spans="1:16" x14ac:dyDescent="0.25">
      <c r="A46" t="s">
        <v>14</v>
      </c>
      <c r="B46">
        <v>3</v>
      </c>
      <c r="C46" t="s">
        <v>17</v>
      </c>
      <c r="D46" t="s">
        <v>18</v>
      </c>
      <c r="E46" t="s">
        <v>139</v>
      </c>
      <c r="F46" t="s">
        <v>140</v>
      </c>
      <c r="G46" t="s">
        <v>21</v>
      </c>
      <c r="J46" t="s">
        <v>547</v>
      </c>
      <c r="L46" t="s">
        <v>583</v>
      </c>
      <c r="M46" t="s">
        <v>141</v>
      </c>
      <c r="P46" t="s">
        <v>142</v>
      </c>
    </row>
    <row r="47" spans="1:16" x14ac:dyDescent="0.25">
      <c r="A47" t="s">
        <v>14</v>
      </c>
      <c r="B47">
        <v>2</v>
      </c>
      <c r="C47" t="s">
        <v>41</v>
      </c>
      <c r="D47" t="s">
        <v>36</v>
      </c>
      <c r="E47" t="s">
        <v>143</v>
      </c>
      <c r="G47" t="s">
        <v>38</v>
      </c>
      <c r="H47" t="s">
        <v>549</v>
      </c>
      <c r="L47" t="s">
        <v>584</v>
      </c>
      <c r="M47" t="s">
        <v>144</v>
      </c>
    </row>
    <row r="48" spans="1:16" x14ac:dyDescent="0.25">
      <c r="A48" t="s">
        <v>14</v>
      </c>
      <c r="B48">
        <v>3</v>
      </c>
      <c r="C48" t="s">
        <v>17</v>
      </c>
      <c r="D48" t="s">
        <v>18</v>
      </c>
      <c r="E48" t="s">
        <v>4</v>
      </c>
      <c r="F48" t="s">
        <v>126</v>
      </c>
      <c r="G48" t="s">
        <v>21</v>
      </c>
      <c r="L48" t="s">
        <v>585</v>
      </c>
      <c r="M48" t="s">
        <v>127</v>
      </c>
      <c r="P48" t="s">
        <v>128</v>
      </c>
    </row>
    <row r="49" spans="1:16" x14ac:dyDescent="0.25">
      <c r="A49" t="s">
        <v>14</v>
      </c>
      <c r="B49">
        <v>3</v>
      </c>
      <c r="C49" t="s">
        <v>17</v>
      </c>
      <c r="D49" t="s">
        <v>18</v>
      </c>
      <c r="E49" t="s">
        <v>145</v>
      </c>
      <c r="F49" t="s">
        <v>20</v>
      </c>
      <c r="G49" t="s">
        <v>21</v>
      </c>
      <c r="L49" t="s">
        <v>586</v>
      </c>
      <c r="M49" t="s">
        <v>146</v>
      </c>
      <c r="P49" t="s">
        <v>147</v>
      </c>
    </row>
    <row r="50" spans="1:16" x14ac:dyDescent="0.25">
      <c r="A50" t="s">
        <v>14</v>
      </c>
      <c r="B50">
        <v>3</v>
      </c>
      <c r="C50" t="s">
        <v>17</v>
      </c>
      <c r="D50" t="s">
        <v>36</v>
      </c>
      <c r="E50" t="s">
        <v>148</v>
      </c>
      <c r="F50" t="s">
        <v>149</v>
      </c>
      <c r="G50" t="s">
        <v>38</v>
      </c>
      <c r="H50" t="s">
        <v>458</v>
      </c>
      <c r="L50" t="s">
        <v>587</v>
      </c>
      <c r="M50" t="s">
        <v>150</v>
      </c>
      <c r="P50" t="s">
        <v>151</v>
      </c>
    </row>
    <row r="51" spans="1:16" x14ac:dyDescent="0.25">
      <c r="A51" t="s">
        <v>14</v>
      </c>
      <c r="B51">
        <v>1</v>
      </c>
      <c r="C51" t="s">
        <v>41</v>
      </c>
      <c r="D51" t="s">
        <v>36</v>
      </c>
      <c r="E51" t="s">
        <v>152</v>
      </c>
      <c r="G51" t="s">
        <v>38</v>
      </c>
      <c r="H51" t="s">
        <v>572</v>
      </c>
      <c r="L51" t="s">
        <v>565</v>
      </c>
      <c r="M51" t="s">
        <v>152</v>
      </c>
    </row>
    <row r="52" spans="1:16" x14ac:dyDescent="0.25">
      <c r="A52" t="s">
        <v>14</v>
      </c>
      <c r="B52">
        <v>2</v>
      </c>
      <c r="C52" t="s">
        <v>17</v>
      </c>
      <c r="D52" t="s">
        <v>18</v>
      </c>
      <c r="E52" t="s">
        <v>119</v>
      </c>
      <c r="F52" t="s">
        <v>120</v>
      </c>
      <c r="G52" t="s">
        <v>21</v>
      </c>
      <c r="H52" t="s">
        <v>537</v>
      </c>
      <c r="L52" t="s">
        <v>564</v>
      </c>
      <c r="M52" t="s">
        <v>121</v>
      </c>
      <c r="P52" t="s">
        <v>122</v>
      </c>
    </row>
    <row r="53" spans="1:16" x14ac:dyDescent="0.25">
      <c r="A53" t="s">
        <v>14</v>
      </c>
      <c r="B53">
        <v>2</v>
      </c>
      <c r="C53" t="s">
        <v>17</v>
      </c>
      <c r="D53" t="s">
        <v>18</v>
      </c>
      <c r="E53" t="s">
        <v>6</v>
      </c>
      <c r="F53" t="s">
        <v>69</v>
      </c>
      <c r="G53" t="s">
        <v>21</v>
      </c>
      <c r="J53" t="s">
        <v>571</v>
      </c>
      <c r="L53" t="s">
        <v>566</v>
      </c>
      <c r="M53" t="s">
        <v>153</v>
      </c>
      <c r="P53" t="s">
        <v>154</v>
      </c>
    </row>
    <row r="54" spans="1:16" x14ac:dyDescent="0.25">
      <c r="A54" t="s">
        <v>14</v>
      </c>
      <c r="B54">
        <v>2</v>
      </c>
      <c r="C54" t="s">
        <v>41</v>
      </c>
      <c r="D54" t="s">
        <v>36</v>
      </c>
      <c r="E54" t="s">
        <v>143</v>
      </c>
      <c r="G54" t="s">
        <v>38</v>
      </c>
      <c r="H54" t="s">
        <v>549</v>
      </c>
      <c r="L54" t="s">
        <v>567</v>
      </c>
      <c r="M54" t="s">
        <v>144</v>
      </c>
    </row>
    <row r="55" spans="1:16" x14ac:dyDescent="0.25">
      <c r="A55" t="s">
        <v>14</v>
      </c>
      <c r="B55">
        <v>3</v>
      </c>
      <c r="C55" t="s">
        <v>17</v>
      </c>
      <c r="D55" t="s">
        <v>18</v>
      </c>
      <c r="E55" t="s">
        <v>4</v>
      </c>
      <c r="F55" t="s">
        <v>126</v>
      </c>
      <c r="G55" t="s">
        <v>21</v>
      </c>
      <c r="L55" t="s">
        <v>568</v>
      </c>
      <c r="M55" t="s">
        <v>127</v>
      </c>
      <c r="P55" t="s">
        <v>128</v>
      </c>
    </row>
    <row r="56" spans="1:16" x14ac:dyDescent="0.25">
      <c r="A56" t="s">
        <v>14</v>
      </c>
      <c r="B56">
        <v>3</v>
      </c>
      <c r="C56" t="s">
        <v>17</v>
      </c>
      <c r="D56" t="s">
        <v>18</v>
      </c>
      <c r="E56" t="s">
        <v>145</v>
      </c>
      <c r="F56" t="s">
        <v>20</v>
      </c>
      <c r="G56" t="s">
        <v>21</v>
      </c>
      <c r="L56" t="s">
        <v>569</v>
      </c>
      <c r="M56" t="s">
        <v>146</v>
      </c>
      <c r="P56" t="s">
        <v>147</v>
      </c>
    </row>
    <row r="57" spans="1:16" x14ac:dyDescent="0.25">
      <c r="A57" t="s">
        <v>14</v>
      </c>
      <c r="B57">
        <v>3</v>
      </c>
      <c r="C57" t="s">
        <v>17</v>
      </c>
      <c r="D57" t="s">
        <v>36</v>
      </c>
      <c r="E57" t="s">
        <v>148</v>
      </c>
      <c r="F57" t="s">
        <v>149</v>
      </c>
      <c r="G57" t="s">
        <v>38</v>
      </c>
      <c r="H57" t="s">
        <v>458</v>
      </c>
      <c r="L57" t="s">
        <v>570</v>
      </c>
      <c r="M57" t="s">
        <v>150</v>
      </c>
      <c r="P57" t="s">
        <v>151</v>
      </c>
    </row>
    <row r="58" spans="1:16" x14ac:dyDescent="0.25">
      <c r="A58" t="s">
        <v>14</v>
      </c>
      <c r="B58">
        <v>1</v>
      </c>
      <c r="C58" t="s">
        <v>41</v>
      </c>
      <c r="D58" t="s">
        <v>155</v>
      </c>
      <c r="E58" t="s">
        <v>156</v>
      </c>
      <c r="G58" t="s">
        <v>21</v>
      </c>
      <c r="L58" t="s">
        <v>768</v>
      </c>
      <c r="M58" t="s">
        <v>156</v>
      </c>
    </row>
    <row r="59" spans="1:16" x14ac:dyDescent="0.25">
      <c r="A59" t="s">
        <v>14</v>
      </c>
      <c r="B59">
        <v>2</v>
      </c>
      <c r="C59" t="s">
        <v>17</v>
      </c>
      <c r="D59" t="s">
        <v>18</v>
      </c>
      <c r="E59" t="s">
        <v>93</v>
      </c>
      <c r="F59" t="s">
        <v>530</v>
      </c>
      <c r="G59" t="s">
        <v>21</v>
      </c>
      <c r="H59" t="s">
        <v>475</v>
      </c>
      <c r="M59" t="s">
        <v>95</v>
      </c>
      <c r="P59" t="s">
        <v>96</v>
      </c>
    </row>
    <row r="60" spans="1:16" x14ac:dyDescent="0.25">
      <c r="A60" t="s">
        <v>14</v>
      </c>
      <c r="B60">
        <v>2</v>
      </c>
      <c r="C60" t="s">
        <v>17</v>
      </c>
      <c r="D60" t="s">
        <v>18</v>
      </c>
      <c r="E60" t="s">
        <v>157</v>
      </c>
      <c r="F60" t="s">
        <v>158</v>
      </c>
      <c r="G60" t="s">
        <v>21</v>
      </c>
      <c r="H60" t="s">
        <v>771</v>
      </c>
      <c r="J60" t="s">
        <v>770</v>
      </c>
      <c r="L60" t="s">
        <v>769</v>
      </c>
      <c r="M60" t="s">
        <v>159</v>
      </c>
      <c r="P60" t="s">
        <v>160</v>
      </c>
    </row>
    <row r="61" spans="1:16" x14ac:dyDescent="0.25">
      <c r="A61" t="s">
        <v>14</v>
      </c>
      <c r="B61">
        <v>2</v>
      </c>
      <c r="C61" t="s">
        <v>17</v>
      </c>
      <c r="D61" t="s">
        <v>36</v>
      </c>
      <c r="E61" t="s">
        <v>161</v>
      </c>
      <c r="F61" t="s">
        <v>101</v>
      </c>
      <c r="G61" t="s">
        <v>450</v>
      </c>
      <c r="I61" t="s">
        <v>773</v>
      </c>
      <c r="L61" t="s">
        <v>772</v>
      </c>
      <c r="M61" t="s">
        <v>162</v>
      </c>
      <c r="P61" t="s">
        <v>163</v>
      </c>
    </row>
    <row r="62" spans="1:16" x14ac:dyDescent="0.25">
      <c r="A62" t="s">
        <v>14</v>
      </c>
      <c r="B62">
        <v>2</v>
      </c>
      <c r="C62" t="s">
        <v>41</v>
      </c>
      <c r="D62" t="s">
        <v>164</v>
      </c>
      <c r="E62" t="s">
        <v>165</v>
      </c>
      <c r="G62" t="s">
        <v>450</v>
      </c>
      <c r="I62" t="s">
        <v>775</v>
      </c>
      <c r="L62" t="s">
        <v>774</v>
      </c>
      <c r="M62" t="s">
        <v>166</v>
      </c>
    </row>
    <row r="63" spans="1:16" x14ac:dyDescent="0.25">
      <c r="A63" t="s">
        <v>14</v>
      </c>
      <c r="B63">
        <v>3</v>
      </c>
      <c r="C63" t="s">
        <v>17</v>
      </c>
      <c r="D63" t="s">
        <v>18</v>
      </c>
      <c r="E63" t="s">
        <v>93</v>
      </c>
      <c r="F63" t="s">
        <v>483</v>
      </c>
      <c r="G63" t="s">
        <v>21</v>
      </c>
      <c r="H63" t="s">
        <v>475</v>
      </c>
      <c r="M63" t="s">
        <v>95</v>
      </c>
      <c r="P63" t="s">
        <v>96</v>
      </c>
    </row>
    <row r="64" spans="1:16" x14ac:dyDescent="0.25">
      <c r="A64" t="s">
        <v>14</v>
      </c>
      <c r="B64">
        <v>3</v>
      </c>
      <c r="C64" t="s">
        <v>17</v>
      </c>
      <c r="D64" t="s">
        <v>36</v>
      </c>
      <c r="E64" t="s">
        <v>167</v>
      </c>
      <c r="F64" t="s">
        <v>168</v>
      </c>
      <c r="G64" t="s">
        <v>450</v>
      </c>
      <c r="H64" t="s">
        <v>778</v>
      </c>
      <c r="I64" t="s">
        <v>777</v>
      </c>
      <c r="L64" t="s">
        <v>776</v>
      </c>
      <c r="M64" t="s">
        <v>169</v>
      </c>
      <c r="P64" t="s">
        <v>170</v>
      </c>
    </row>
    <row r="65" spans="1:16" x14ac:dyDescent="0.25">
      <c r="A65" t="s">
        <v>14</v>
      </c>
      <c r="B65">
        <v>3</v>
      </c>
      <c r="C65" t="s">
        <v>17</v>
      </c>
      <c r="D65" t="s">
        <v>36</v>
      </c>
      <c r="E65" t="s">
        <v>171</v>
      </c>
      <c r="F65" t="s">
        <v>172</v>
      </c>
      <c r="G65" t="s">
        <v>450</v>
      </c>
      <c r="I65" t="s">
        <v>777</v>
      </c>
      <c r="L65" t="s">
        <v>779</v>
      </c>
      <c r="M65" t="s">
        <v>173</v>
      </c>
      <c r="P65" t="s">
        <v>174</v>
      </c>
    </row>
    <row r="66" spans="1:16" x14ac:dyDescent="0.25">
      <c r="A66" t="s">
        <v>14</v>
      </c>
      <c r="B66">
        <v>3</v>
      </c>
      <c r="C66" t="s">
        <v>17</v>
      </c>
      <c r="D66" t="s">
        <v>18</v>
      </c>
      <c r="E66" t="s">
        <v>175</v>
      </c>
      <c r="F66" t="s">
        <v>176</v>
      </c>
      <c r="G66" t="s">
        <v>21</v>
      </c>
      <c r="H66" t="s">
        <v>781</v>
      </c>
      <c r="L66" t="s">
        <v>780</v>
      </c>
      <c r="M66" t="s">
        <v>177</v>
      </c>
      <c r="P66" t="s">
        <v>178</v>
      </c>
    </row>
    <row r="67" spans="1:16" x14ac:dyDescent="0.25">
      <c r="A67" t="s">
        <v>14</v>
      </c>
      <c r="B67">
        <v>3</v>
      </c>
      <c r="C67" t="s">
        <v>17</v>
      </c>
      <c r="D67" t="s">
        <v>18</v>
      </c>
      <c r="E67" t="s">
        <v>179</v>
      </c>
      <c r="F67" t="s">
        <v>180</v>
      </c>
      <c r="G67" t="s">
        <v>21</v>
      </c>
      <c r="H67" t="s">
        <v>783</v>
      </c>
      <c r="J67" t="s">
        <v>784</v>
      </c>
      <c r="L67" t="s">
        <v>782</v>
      </c>
      <c r="M67" t="s">
        <v>181</v>
      </c>
      <c r="P67" t="s">
        <v>182</v>
      </c>
    </row>
    <row r="68" spans="1:16" x14ac:dyDescent="0.25">
      <c r="A68" t="s">
        <v>14</v>
      </c>
      <c r="B68">
        <v>1</v>
      </c>
      <c r="C68" t="s">
        <v>41</v>
      </c>
      <c r="D68" t="s">
        <v>18</v>
      </c>
      <c r="E68" t="s">
        <v>183</v>
      </c>
      <c r="G68" t="s">
        <v>21</v>
      </c>
      <c r="L68" t="s">
        <v>718</v>
      </c>
      <c r="M68" t="s">
        <v>183</v>
      </c>
    </row>
    <row r="69" spans="1:16" x14ac:dyDescent="0.25">
      <c r="A69" t="s">
        <v>14</v>
      </c>
      <c r="B69">
        <v>2</v>
      </c>
      <c r="C69" t="s">
        <v>17</v>
      </c>
      <c r="D69" t="s">
        <v>36</v>
      </c>
      <c r="E69" t="s">
        <v>184</v>
      </c>
      <c r="F69" t="s">
        <v>140</v>
      </c>
      <c r="G69" t="s">
        <v>450</v>
      </c>
      <c r="H69" t="s">
        <v>611</v>
      </c>
      <c r="I69" t="s">
        <v>610</v>
      </c>
      <c r="J69" t="s">
        <v>606</v>
      </c>
      <c r="L69" t="s">
        <v>609</v>
      </c>
      <c r="M69" t="s">
        <v>185</v>
      </c>
      <c r="P69" t="s">
        <v>186</v>
      </c>
    </row>
    <row r="70" spans="1:16" x14ac:dyDescent="0.25">
      <c r="A70" t="s">
        <v>14</v>
      </c>
      <c r="B70">
        <v>2</v>
      </c>
      <c r="C70" t="s">
        <v>17</v>
      </c>
      <c r="D70" t="s">
        <v>36</v>
      </c>
      <c r="E70" t="s">
        <v>187</v>
      </c>
      <c r="F70" t="s">
        <v>140</v>
      </c>
      <c r="G70" t="s">
        <v>450</v>
      </c>
      <c r="H70" t="s">
        <v>608</v>
      </c>
      <c r="I70" t="s">
        <v>607</v>
      </c>
      <c r="J70" t="s">
        <v>606</v>
      </c>
      <c r="L70" t="s">
        <v>605</v>
      </c>
      <c r="M70" t="s">
        <v>188</v>
      </c>
      <c r="P70" t="s">
        <v>189</v>
      </c>
    </row>
    <row r="71" spans="1:16" x14ac:dyDescent="0.25">
      <c r="A71" t="s">
        <v>14</v>
      </c>
      <c r="B71">
        <v>2</v>
      </c>
      <c r="C71" t="s">
        <v>17</v>
      </c>
      <c r="D71" t="s">
        <v>36</v>
      </c>
      <c r="E71" t="s">
        <v>190</v>
      </c>
      <c r="F71" t="s">
        <v>400</v>
      </c>
      <c r="G71" t="s">
        <v>450</v>
      </c>
      <c r="H71" t="s">
        <v>721</v>
      </c>
      <c r="I71" t="s">
        <v>720</v>
      </c>
      <c r="J71" t="s">
        <v>473</v>
      </c>
      <c r="L71" t="s">
        <v>719</v>
      </c>
      <c r="M71" t="s">
        <v>191</v>
      </c>
      <c r="P71" t="s">
        <v>74</v>
      </c>
    </row>
    <row r="72" spans="1:16" x14ac:dyDescent="0.25">
      <c r="A72" t="s">
        <v>14</v>
      </c>
      <c r="B72">
        <v>2</v>
      </c>
      <c r="C72" t="s">
        <v>17</v>
      </c>
      <c r="D72" t="s">
        <v>36</v>
      </c>
      <c r="E72" t="s">
        <v>192</v>
      </c>
      <c r="F72" t="s">
        <v>69</v>
      </c>
      <c r="G72" t="s">
        <v>38</v>
      </c>
      <c r="J72" t="s">
        <v>723</v>
      </c>
      <c r="L72" t="s">
        <v>726</v>
      </c>
      <c r="M72" t="s">
        <v>193</v>
      </c>
      <c r="P72" t="s">
        <v>194</v>
      </c>
    </row>
    <row r="73" spans="1:16" x14ac:dyDescent="0.25">
      <c r="A73" t="s">
        <v>14</v>
      </c>
      <c r="B73">
        <v>2</v>
      </c>
      <c r="C73" t="s">
        <v>17</v>
      </c>
      <c r="D73" t="s">
        <v>36</v>
      </c>
      <c r="E73" t="s">
        <v>195</v>
      </c>
      <c r="F73" t="s">
        <v>69</v>
      </c>
      <c r="G73" t="s">
        <v>450</v>
      </c>
      <c r="H73" t="s">
        <v>725</v>
      </c>
      <c r="I73" t="s">
        <v>724</v>
      </c>
      <c r="J73" t="s">
        <v>723</v>
      </c>
      <c r="L73" t="s">
        <v>722</v>
      </c>
      <c r="M73" t="s">
        <v>196</v>
      </c>
      <c r="P73" t="s">
        <v>197</v>
      </c>
    </row>
    <row r="74" spans="1:16" x14ac:dyDescent="0.25">
      <c r="A74" t="s">
        <v>14</v>
      </c>
      <c r="B74">
        <v>2</v>
      </c>
      <c r="C74" t="s">
        <v>17</v>
      </c>
      <c r="D74" t="s">
        <v>18</v>
      </c>
      <c r="E74" t="s">
        <v>198</v>
      </c>
      <c r="F74" t="s">
        <v>199</v>
      </c>
      <c r="G74" t="s">
        <v>21</v>
      </c>
      <c r="H74" t="s">
        <v>693</v>
      </c>
      <c r="L74" t="s">
        <v>692</v>
      </c>
      <c r="M74" t="s">
        <v>200</v>
      </c>
      <c r="P74" t="s">
        <v>201</v>
      </c>
    </row>
    <row r="75" spans="1:16" x14ac:dyDescent="0.25">
      <c r="A75" t="s">
        <v>14</v>
      </c>
      <c r="B75">
        <v>2</v>
      </c>
      <c r="C75" t="s">
        <v>17</v>
      </c>
      <c r="D75" t="s">
        <v>36</v>
      </c>
      <c r="E75" t="s">
        <v>202</v>
      </c>
      <c r="F75" t="s">
        <v>203</v>
      </c>
      <c r="G75" t="s">
        <v>450</v>
      </c>
      <c r="H75" t="s">
        <v>523</v>
      </c>
      <c r="I75" t="s">
        <v>522</v>
      </c>
      <c r="L75" t="s">
        <v>521</v>
      </c>
      <c r="M75" t="s">
        <v>204</v>
      </c>
      <c r="P75" t="s">
        <v>205</v>
      </c>
    </row>
    <row r="76" spans="1:16" x14ac:dyDescent="0.25">
      <c r="A76" t="s">
        <v>14</v>
      </c>
      <c r="B76">
        <v>2</v>
      </c>
      <c r="C76" t="s">
        <v>41</v>
      </c>
      <c r="D76" t="s">
        <v>36</v>
      </c>
      <c r="E76" t="s">
        <v>206</v>
      </c>
      <c r="G76" t="s">
        <v>38</v>
      </c>
      <c r="H76" t="s">
        <v>594</v>
      </c>
      <c r="L76" t="s">
        <v>588</v>
      </c>
      <c r="M76" t="s">
        <v>206</v>
      </c>
    </row>
    <row r="77" spans="1:16" x14ac:dyDescent="0.25">
      <c r="A77" t="s">
        <v>14</v>
      </c>
      <c r="B77">
        <v>3</v>
      </c>
      <c r="C77" t="s">
        <v>17</v>
      </c>
      <c r="D77" t="s">
        <v>18</v>
      </c>
      <c r="E77" t="s">
        <v>119</v>
      </c>
      <c r="F77" t="s">
        <v>401</v>
      </c>
      <c r="G77" t="s">
        <v>21</v>
      </c>
      <c r="H77" t="s">
        <v>595</v>
      </c>
      <c r="L77" t="s">
        <v>589</v>
      </c>
      <c r="M77" t="s">
        <v>121</v>
      </c>
      <c r="P77" t="s">
        <v>207</v>
      </c>
    </row>
    <row r="78" spans="1:16" x14ac:dyDescent="0.25">
      <c r="A78" t="s">
        <v>14</v>
      </c>
      <c r="B78">
        <v>3</v>
      </c>
      <c r="C78" t="s">
        <v>41</v>
      </c>
      <c r="D78" t="s">
        <v>36</v>
      </c>
      <c r="E78" t="s">
        <v>143</v>
      </c>
      <c r="G78" t="s">
        <v>38</v>
      </c>
      <c r="H78" t="s">
        <v>549</v>
      </c>
      <c r="L78" t="s">
        <v>590</v>
      </c>
      <c r="M78" t="s">
        <v>144</v>
      </c>
    </row>
    <row r="79" spans="1:16" x14ac:dyDescent="0.25">
      <c r="A79" t="s">
        <v>14</v>
      </c>
      <c r="B79">
        <v>4</v>
      </c>
      <c r="C79" t="s">
        <v>17</v>
      </c>
      <c r="D79" t="s">
        <v>18</v>
      </c>
      <c r="E79" t="s">
        <v>4</v>
      </c>
      <c r="F79" t="s">
        <v>126</v>
      </c>
      <c r="G79" t="s">
        <v>21</v>
      </c>
      <c r="L79" t="s">
        <v>591</v>
      </c>
      <c r="M79" t="s">
        <v>127</v>
      </c>
      <c r="P79" t="s">
        <v>128</v>
      </c>
    </row>
    <row r="80" spans="1:16" x14ac:dyDescent="0.25">
      <c r="A80" t="s">
        <v>14</v>
      </c>
      <c r="B80">
        <v>4</v>
      </c>
      <c r="C80" t="s">
        <v>17</v>
      </c>
      <c r="D80" t="s">
        <v>18</v>
      </c>
      <c r="E80" t="s">
        <v>145</v>
      </c>
      <c r="F80" t="s">
        <v>20</v>
      </c>
      <c r="G80" t="s">
        <v>21</v>
      </c>
      <c r="L80" t="s">
        <v>592</v>
      </c>
      <c r="M80" t="s">
        <v>146</v>
      </c>
      <c r="P80" t="s">
        <v>147</v>
      </c>
    </row>
    <row r="81" spans="1:16" x14ac:dyDescent="0.25">
      <c r="A81" t="s">
        <v>14</v>
      </c>
      <c r="B81">
        <v>4</v>
      </c>
      <c r="C81" t="s">
        <v>17</v>
      </c>
      <c r="D81" t="s">
        <v>36</v>
      </c>
      <c r="E81" t="s">
        <v>148</v>
      </c>
      <c r="F81" t="s">
        <v>149</v>
      </c>
      <c r="G81" t="s">
        <v>38</v>
      </c>
      <c r="H81" t="s">
        <v>458</v>
      </c>
      <c r="L81" t="s">
        <v>593</v>
      </c>
      <c r="M81" t="s">
        <v>150</v>
      </c>
      <c r="P81" t="s">
        <v>151</v>
      </c>
    </row>
    <row r="82" spans="1:16" x14ac:dyDescent="0.25">
      <c r="A82" t="s">
        <v>14</v>
      </c>
      <c r="B82">
        <v>2</v>
      </c>
      <c r="C82" t="s">
        <v>41</v>
      </c>
      <c r="D82" t="s">
        <v>36</v>
      </c>
      <c r="E82" t="s">
        <v>208</v>
      </c>
      <c r="G82" t="s">
        <v>450</v>
      </c>
      <c r="H82" t="s">
        <v>539</v>
      </c>
      <c r="I82" t="s">
        <v>538</v>
      </c>
      <c r="L82" t="s">
        <v>534</v>
      </c>
      <c r="M82" t="s">
        <v>208</v>
      </c>
    </row>
    <row r="83" spans="1:16" x14ac:dyDescent="0.25">
      <c r="A83" t="s">
        <v>14</v>
      </c>
      <c r="B83">
        <v>3</v>
      </c>
      <c r="C83" t="s">
        <v>17</v>
      </c>
      <c r="D83" t="s">
        <v>36</v>
      </c>
      <c r="E83" t="s">
        <v>119</v>
      </c>
      <c r="F83" t="s">
        <v>120</v>
      </c>
      <c r="G83" t="s">
        <v>38</v>
      </c>
      <c r="H83" t="s">
        <v>537</v>
      </c>
      <c r="L83" t="s">
        <v>535</v>
      </c>
      <c r="M83" t="s">
        <v>121</v>
      </c>
      <c r="P83" t="s">
        <v>122</v>
      </c>
    </row>
    <row r="84" spans="1:16" x14ac:dyDescent="0.25">
      <c r="A84" t="s">
        <v>14</v>
      </c>
      <c r="B84">
        <v>3</v>
      </c>
      <c r="C84" t="s">
        <v>17</v>
      </c>
      <c r="D84" t="s">
        <v>36</v>
      </c>
      <c r="E84" t="s">
        <v>4</v>
      </c>
      <c r="F84" t="s">
        <v>126</v>
      </c>
      <c r="G84" t="s">
        <v>450</v>
      </c>
      <c r="I84" t="s">
        <v>541</v>
      </c>
      <c r="L84" t="s">
        <v>536</v>
      </c>
      <c r="M84" t="s">
        <v>127</v>
      </c>
      <c r="P84" t="s">
        <v>128</v>
      </c>
    </row>
    <row r="85" spans="1:16" x14ac:dyDescent="0.25">
      <c r="A85" t="s">
        <v>14</v>
      </c>
      <c r="B85">
        <v>3</v>
      </c>
      <c r="C85" t="s">
        <v>41</v>
      </c>
      <c r="D85" t="s">
        <v>36</v>
      </c>
      <c r="E85" t="s">
        <v>129</v>
      </c>
      <c r="G85" t="s">
        <v>450</v>
      </c>
      <c r="I85" t="s">
        <v>541</v>
      </c>
      <c r="L85" t="s">
        <v>540</v>
      </c>
      <c r="M85" t="s">
        <v>129</v>
      </c>
    </row>
    <row r="86" spans="1:16" x14ac:dyDescent="0.25">
      <c r="A86" t="s">
        <v>14</v>
      </c>
      <c r="B86">
        <v>4</v>
      </c>
      <c r="C86" t="s">
        <v>17</v>
      </c>
      <c r="D86" t="s">
        <v>18</v>
      </c>
      <c r="E86" t="s">
        <v>130</v>
      </c>
      <c r="F86" t="s">
        <v>126</v>
      </c>
      <c r="G86" t="s">
        <v>21</v>
      </c>
      <c r="L86" t="s">
        <v>542</v>
      </c>
      <c r="M86" t="s">
        <v>131</v>
      </c>
      <c r="P86" t="s">
        <v>132</v>
      </c>
    </row>
    <row r="87" spans="1:16" x14ac:dyDescent="0.25">
      <c r="A87" t="s">
        <v>14</v>
      </c>
      <c r="B87">
        <v>4</v>
      </c>
      <c r="C87" t="s">
        <v>17</v>
      </c>
      <c r="D87" t="s">
        <v>36</v>
      </c>
      <c r="E87" t="s">
        <v>133</v>
      </c>
      <c r="F87" t="s">
        <v>120</v>
      </c>
      <c r="G87" t="s">
        <v>450</v>
      </c>
      <c r="I87" t="s">
        <v>544</v>
      </c>
      <c r="L87" t="s">
        <v>543</v>
      </c>
      <c r="M87" t="s">
        <v>134</v>
      </c>
      <c r="P87" t="s">
        <v>135</v>
      </c>
    </row>
    <row r="88" spans="1:16" x14ac:dyDescent="0.25">
      <c r="A88" t="s">
        <v>14</v>
      </c>
      <c r="B88">
        <v>4</v>
      </c>
      <c r="C88" t="s">
        <v>17</v>
      </c>
      <c r="D88" t="s">
        <v>18</v>
      </c>
      <c r="E88" t="s">
        <v>136</v>
      </c>
      <c r="F88" t="s">
        <v>101</v>
      </c>
      <c r="G88" t="s">
        <v>21</v>
      </c>
      <c r="L88" t="s">
        <v>545</v>
      </c>
      <c r="M88" t="s">
        <v>137</v>
      </c>
      <c r="P88" t="s">
        <v>138</v>
      </c>
    </row>
    <row r="89" spans="1:16" x14ac:dyDescent="0.25">
      <c r="A89" t="s">
        <v>14</v>
      </c>
      <c r="B89">
        <v>4</v>
      </c>
      <c r="C89" t="s">
        <v>17</v>
      </c>
      <c r="D89" t="s">
        <v>18</v>
      </c>
      <c r="E89" t="s">
        <v>139</v>
      </c>
      <c r="F89" t="s">
        <v>140</v>
      </c>
      <c r="G89" t="s">
        <v>21</v>
      </c>
      <c r="J89" t="s">
        <v>547</v>
      </c>
      <c r="L89" t="s">
        <v>546</v>
      </c>
      <c r="M89" t="s">
        <v>141</v>
      </c>
      <c r="P89" t="s">
        <v>142</v>
      </c>
    </row>
    <row r="90" spans="1:16" x14ac:dyDescent="0.25">
      <c r="A90" t="s">
        <v>14</v>
      </c>
      <c r="B90">
        <v>3</v>
      </c>
      <c r="C90" t="s">
        <v>41</v>
      </c>
      <c r="D90" t="s">
        <v>36</v>
      </c>
      <c r="E90" t="s">
        <v>143</v>
      </c>
      <c r="G90" t="s">
        <v>38</v>
      </c>
      <c r="H90" t="s">
        <v>549</v>
      </c>
      <c r="L90" t="s">
        <v>548</v>
      </c>
      <c r="M90" t="s">
        <v>144</v>
      </c>
    </row>
    <row r="91" spans="1:16" x14ac:dyDescent="0.25">
      <c r="A91" t="s">
        <v>14</v>
      </c>
      <c r="B91">
        <v>4</v>
      </c>
      <c r="C91" t="s">
        <v>17</v>
      </c>
      <c r="D91" t="s">
        <v>18</v>
      </c>
      <c r="E91" t="s">
        <v>4</v>
      </c>
      <c r="F91" t="s">
        <v>126</v>
      </c>
      <c r="G91" t="s">
        <v>21</v>
      </c>
      <c r="L91" t="s">
        <v>550</v>
      </c>
      <c r="M91" t="s">
        <v>127</v>
      </c>
      <c r="P91" t="s">
        <v>128</v>
      </c>
    </row>
    <row r="92" spans="1:16" x14ac:dyDescent="0.25">
      <c r="A92" t="s">
        <v>14</v>
      </c>
      <c r="B92">
        <v>4</v>
      </c>
      <c r="C92" t="s">
        <v>17</v>
      </c>
      <c r="D92" t="s">
        <v>18</v>
      </c>
      <c r="E92" t="s">
        <v>145</v>
      </c>
      <c r="F92" t="s">
        <v>20</v>
      </c>
      <c r="G92" t="s">
        <v>21</v>
      </c>
      <c r="L92" t="s">
        <v>551</v>
      </c>
      <c r="M92" t="s">
        <v>146</v>
      </c>
      <c r="P92" t="s">
        <v>147</v>
      </c>
    </row>
    <row r="93" spans="1:16" x14ac:dyDescent="0.25">
      <c r="A93" t="s">
        <v>14</v>
      </c>
      <c r="B93">
        <v>4</v>
      </c>
      <c r="C93" t="s">
        <v>17</v>
      </c>
      <c r="D93" t="s">
        <v>36</v>
      </c>
      <c r="E93" t="s">
        <v>148</v>
      </c>
      <c r="F93" t="s">
        <v>149</v>
      </c>
      <c r="G93" t="s">
        <v>38</v>
      </c>
      <c r="H93" t="s">
        <v>458</v>
      </c>
      <c r="L93" t="s">
        <v>552</v>
      </c>
      <c r="M93" t="s">
        <v>150</v>
      </c>
      <c r="P93" t="s">
        <v>151</v>
      </c>
    </row>
    <row r="94" spans="1:16" x14ac:dyDescent="0.25">
      <c r="A94" t="s">
        <v>14</v>
      </c>
      <c r="B94">
        <v>2</v>
      </c>
      <c r="C94" t="s">
        <v>41</v>
      </c>
      <c r="D94" t="s">
        <v>36</v>
      </c>
      <c r="E94" t="s">
        <v>209</v>
      </c>
      <c r="G94" t="s">
        <v>450</v>
      </c>
      <c r="H94" t="s">
        <v>557</v>
      </c>
      <c r="I94" t="s">
        <v>556</v>
      </c>
      <c r="L94" t="s">
        <v>553</v>
      </c>
      <c r="M94" t="s">
        <v>209</v>
      </c>
    </row>
    <row r="95" spans="1:16" x14ac:dyDescent="0.25">
      <c r="A95" t="s">
        <v>14</v>
      </c>
      <c r="B95">
        <v>3</v>
      </c>
      <c r="C95" t="s">
        <v>17</v>
      </c>
      <c r="D95" t="s">
        <v>36</v>
      </c>
      <c r="E95" t="s">
        <v>119</v>
      </c>
      <c r="F95" t="s">
        <v>120</v>
      </c>
      <c r="G95" t="s">
        <v>38</v>
      </c>
      <c r="H95" t="s">
        <v>558</v>
      </c>
      <c r="L95" t="s">
        <v>554</v>
      </c>
      <c r="M95" t="s">
        <v>121</v>
      </c>
      <c r="P95" t="s">
        <v>122</v>
      </c>
    </row>
    <row r="96" spans="1:16" x14ac:dyDescent="0.25">
      <c r="A96" t="s">
        <v>14</v>
      </c>
      <c r="B96">
        <v>3</v>
      </c>
      <c r="C96" t="s">
        <v>17</v>
      </c>
      <c r="D96" t="s">
        <v>36</v>
      </c>
      <c r="E96" t="s">
        <v>4</v>
      </c>
      <c r="F96" t="s">
        <v>126</v>
      </c>
      <c r="G96" t="s">
        <v>450</v>
      </c>
      <c r="I96" t="s">
        <v>541</v>
      </c>
      <c r="L96" t="s">
        <v>555</v>
      </c>
      <c r="M96" t="s">
        <v>127</v>
      </c>
      <c r="P96" t="s">
        <v>128</v>
      </c>
    </row>
    <row r="97" spans="1:16" x14ac:dyDescent="0.25">
      <c r="A97" t="s">
        <v>14</v>
      </c>
      <c r="B97">
        <v>3</v>
      </c>
      <c r="C97" t="s">
        <v>41</v>
      </c>
      <c r="D97" t="s">
        <v>36</v>
      </c>
      <c r="E97" t="s">
        <v>129</v>
      </c>
      <c r="G97" t="s">
        <v>450</v>
      </c>
      <c r="I97" t="s">
        <v>541</v>
      </c>
      <c r="L97" t="s">
        <v>559</v>
      </c>
      <c r="M97" t="s">
        <v>129</v>
      </c>
    </row>
    <row r="98" spans="1:16" x14ac:dyDescent="0.25">
      <c r="A98" t="s">
        <v>14</v>
      </c>
      <c r="B98">
        <v>4</v>
      </c>
      <c r="C98" t="s">
        <v>17</v>
      </c>
      <c r="D98" t="s">
        <v>18</v>
      </c>
      <c r="E98" t="s">
        <v>130</v>
      </c>
      <c r="F98" t="s">
        <v>126</v>
      </c>
      <c r="G98" t="s">
        <v>21</v>
      </c>
      <c r="L98" t="s">
        <v>560</v>
      </c>
      <c r="M98" t="s">
        <v>131</v>
      </c>
      <c r="P98" t="s">
        <v>132</v>
      </c>
    </row>
    <row r="99" spans="1:16" x14ac:dyDescent="0.25">
      <c r="A99" t="s">
        <v>14</v>
      </c>
      <c r="B99">
        <v>4</v>
      </c>
      <c r="C99" t="s">
        <v>17</v>
      </c>
      <c r="D99" t="s">
        <v>36</v>
      </c>
      <c r="E99" t="s">
        <v>133</v>
      </c>
      <c r="F99" t="s">
        <v>120</v>
      </c>
      <c r="G99" t="s">
        <v>450</v>
      </c>
      <c r="I99" t="s">
        <v>544</v>
      </c>
      <c r="L99" t="s">
        <v>561</v>
      </c>
      <c r="M99" t="s">
        <v>134</v>
      </c>
      <c r="P99" t="s">
        <v>135</v>
      </c>
    </row>
    <row r="100" spans="1:16" x14ac:dyDescent="0.25">
      <c r="A100" t="s">
        <v>14</v>
      </c>
      <c r="B100">
        <v>4</v>
      </c>
      <c r="C100" t="s">
        <v>17</v>
      </c>
      <c r="D100" t="s">
        <v>18</v>
      </c>
      <c r="E100" t="s">
        <v>136</v>
      </c>
      <c r="F100" t="s">
        <v>101</v>
      </c>
      <c r="G100" t="s">
        <v>21</v>
      </c>
      <c r="L100" t="s">
        <v>562</v>
      </c>
      <c r="M100" t="s">
        <v>137</v>
      </c>
      <c r="P100" t="s">
        <v>138</v>
      </c>
    </row>
    <row r="101" spans="1:16" x14ac:dyDescent="0.25">
      <c r="A101" t="s">
        <v>14</v>
      </c>
      <c r="B101">
        <v>4</v>
      </c>
      <c r="C101" t="s">
        <v>17</v>
      </c>
      <c r="D101" t="s">
        <v>18</v>
      </c>
      <c r="E101" t="s">
        <v>139</v>
      </c>
      <c r="F101" t="s">
        <v>140</v>
      </c>
      <c r="G101" t="s">
        <v>21</v>
      </c>
      <c r="J101" t="s">
        <v>547</v>
      </c>
      <c r="L101" t="s">
        <v>563</v>
      </c>
      <c r="M101" t="s">
        <v>141</v>
      </c>
      <c r="P101" t="s">
        <v>142</v>
      </c>
    </row>
    <row r="102" spans="1:16" x14ac:dyDescent="0.25">
      <c r="A102" t="s">
        <v>14</v>
      </c>
      <c r="B102">
        <v>2</v>
      </c>
      <c r="C102" t="s">
        <v>41</v>
      </c>
      <c r="D102" t="s">
        <v>164</v>
      </c>
      <c r="E102" t="s">
        <v>210</v>
      </c>
      <c r="G102" t="s">
        <v>38</v>
      </c>
      <c r="H102" t="s">
        <v>467</v>
      </c>
      <c r="L102" t="s">
        <v>596</v>
      </c>
      <c r="M102" t="s">
        <v>211</v>
      </c>
    </row>
    <row r="103" spans="1:16" x14ac:dyDescent="0.25">
      <c r="A103" t="s">
        <v>14</v>
      </c>
      <c r="B103">
        <v>3</v>
      </c>
      <c r="C103" t="s">
        <v>17</v>
      </c>
      <c r="D103" t="s">
        <v>18</v>
      </c>
      <c r="E103" t="s">
        <v>93</v>
      </c>
      <c r="F103" t="s">
        <v>483</v>
      </c>
      <c r="G103" t="s">
        <v>21</v>
      </c>
      <c r="H103" t="s">
        <v>475</v>
      </c>
      <c r="M103" t="s">
        <v>95</v>
      </c>
      <c r="P103" t="s">
        <v>96</v>
      </c>
    </row>
    <row r="104" spans="1:16" x14ac:dyDescent="0.25">
      <c r="A104" t="s">
        <v>14</v>
      </c>
      <c r="B104">
        <v>3</v>
      </c>
      <c r="C104" t="s">
        <v>17</v>
      </c>
      <c r="D104" t="s">
        <v>18</v>
      </c>
      <c r="E104" t="s">
        <v>212</v>
      </c>
      <c r="F104" t="s">
        <v>213</v>
      </c>
      <c r="G104" t="s">
        <v>21</v>
      </c>
      <c r="J104" t="s">
        <v>599</v>
      </c>
      <c r="L104" t="s">
        <v>598</v>
      </c>
      <c r="M104" t="s">
        <v>214</v>
      </c>
      <c r="P104" t="s">
        <v>215</v>
      </c>
    </row>
    <row r="105" spans="1:16" x14ac:dyDescent="0.25">
      <c r="A105" t="s">
        <v>14</v>
      </c>
      <c r="B105">
        <v>3</v>
      </c>
      <c r="C105" t="s">
        <v>17</v>
      </c>
      <c r="D105" t="s">
        <v>18</v>
      </c>
      <c r="E105" t="s">
        <v>119</v>
      </c>
      <c r="F105" t="s">
        <v>140</v>
      </c>
      <c r="G105" t="s">
        <v>21</v>
      </c>
      <c r="H105" t="s">
        <v>595</v>
      </c>
      <c r="L105" t="s">
        <v>597</v>
      </c>
      <c r="M105" t="s">
        <v>121</v>
      </c>
      <c r="P105" t="s">
        <v>207</v>
      </c>
    </row>
    <row r="106" spans="1:16" x14ac:dyDescent="0.25">
      <c r="A106" t="s">
        <v>14</v>
      </c>
      <c r="B106">
        <v>2</v>
      </c>
      <c r="C106" t="s">
        <v>41</v>
      </c>
      <c r="D106" t="s">
        <v>216</v>
      </c>
      <c r="E106" t="s">
        <v>217</v>
      </c>
      <c r="G106" t="s">
        <v>450</v>
      </c>
      <c r="H106" t="s">
        <v>744</v>
      </c>
      <c r="I106" t="s">
        <v>743</v>
      </c>
      <c r="L106" t="s">
        <v>737</v>
      </c>
      <c r="M106" t="s">
        <v>218</v>
      </c>
    </row>
    <row r="107" spans="1:16" x14ac:dyDescent="0.25">
      <c r="A107" t="s">
        <v>14</v>
      </c>
      <c r="B107">
        <v>3</v>
      </c>
      <c r="C107" t="s">
        <v>17</v>
      </c>
      <c r="D107" t="s">
        <v>18</v>
      </c>
      <c r="E107" t="s">
        <v>93</v>
      </c>
      <c r="F107" t="s">
        <v>504</v>
      </c>
      <c r="G107" t="s">
        <v>21</v>
      </c>
      <c r="H107" t="s">
        <v>475</v>
      </c>
      <c r="M107" t="s">
        <v>95</v>
      </c>
      <c r="P107" t="s">
        <v>96</v>
      </c>
    </row>
    <row r="108" spans="1:16" x14ac:dyDescent="0.25">
      <c r="A108" t="s">
        <v>14</v>
      </c>
      <c r="B108">
        <v>3</v>
      </c>
      <c r="C108" t="s">
        <v>17</v>
      </c>
      <c r="D108" t="s">
        <v>36</v>
      </c>
      <c r="E108" t="s">
        <v>219</v>
      </c>
      <c r="F108" t="s">
        <v>220</v>
      </c>
      <c r="G108" t="s">
        <v>450</v>
      </c>
      <c r="H108" t="s">
        <v>458</v>
      </c>
      <c r="I108" t="s">
        <v>745</v>
      </c>
      <c r="L108" t="s">
        <v>739</v>
      </c>
      <c r="M108" t="s">
        <v>221</v>
      </c>
      <c r="P108" t="s">
        <v>222</v>
      </c>
    </row>
    <row r="109" spans="1:16" x14ac:dyDescent="0.25">
      <c r="A109" t="s">
        <v>14</v>
      </c>
      <c r="B109">
        <v>3</v>
      </c>
      <c r="C109" t="s">
        <v>17</v>
      </c>
      <c r="D109" t="s">
        <v>18</v>
      </c>
      <c r="E109" t="s">
        <v>223</v>
      </c>
      <c r="F109" t="s">
        <v>224</v>
      </c>
      <c r="G109" t="s">
        <v>21</v>
      </c>
      <c r="H109" t="s">
        <v>746</v>
      </c>
      <c r="L109" t="s">
        <v>742</v>
      </c>
      <c r="M109" t="s">
        <v>225</v>
      </c>
      <c r="P109" t="s">
        <v>226</v>
      </c>
    </row>
    <row r="110" spans="1:16" x14ac:dyDescent="0.25">
      <c r="A110" t="s">
        <v>14</v>
      </c>
      <c r="B110">
        <v>3</v>
      </c>
      <c r="C110" t="s">
        <v>41</v>
      </c>
      <c r="D110" t="s">
        <v>164</v>
      </c>
      <c r="E110" t="s">
        <v>227</v>
      </c>
      <c r="G110" t="s">
        <v>450</v>
      </c>
      <c r="I110" t="s">
        <v>747</v>
      </c>
      <c r="L110" t="s">
        <v>740</v>
      </c>
      <c r="M110" t="s">
        <v>227</v>
      </c>
    </row>
    <row r="111" spans="1:16" x14ac:dyDescent="0.25">
      <c r="A111" t="s">
        <v>14</v>
      </c>
      <c r="B111">
        <v>4</v>
      </c>
      <c r="C111" t="s">
        <v>17</v>
      </c>
      <c r="D111" t="s">
        <v>18</v>
      </c>
      <c r="E111" t="s">
        <v>93</v>
      </c>
      <c r="F111" t="s">
        <v>483</v>
      </c>
      <c r="G111" t="s">
        <v>21</v>
      </c>
      <c r="H111" t="s">
        <v>475</v>
      </c>
      <c r="M111" t="s">
        <v>95</v>
      </c>
      <c r="P111" t="s">
        <v>96</v>
      </c>
    </row>
    <row r="112" spans="1:16" x14ac:dyDescent="0.25">
      <c r="A112" t="s">
        <v>14</v>
      </c>
      <c r="B112">
        <v>4</v>
      </c>
      <c r="C112" t="s">
        <v>17</v>
      </c>
      <c r="D112" t="s">
        <v>18</v>
      </c>
      <c r="E112" t="s">
        <v>228</v>
      </c>
      <c r="F112" t="s">
        <v>229</v>
      </c>
      <c r="G112" t="s">
        <v>21</v>
      </c>
      <c r="H112" t="s">
        <v>748</v>
      </c>
      <c r="L112" t="s">
        <v>741</v>
      </c>
      <c r="M112" t="s">
        <v>230</v>
      </c>
      <c r="P112" t="s">
        <v>231</v>
      </c>
    </row>
    <row r="113" spans="1:16" x14ac:dyDescent="0.25">
      <c r="A113" t="s">
        <v>14</v>
      </c>
      <c r="B113">
        <v>3</v>
      </c>
      <c r="C113" t="s">
        <v>41</v>
      </c>
      <c r="D113" t="s">
        <v>216</v>
      </c>
      <c r="E113" t="s">
        <v>232</v>
      </c>
      <c r="G113" t="s">
        <v>450</v>
      </c>
      <c r="H113" t="s">
        <v>750</v>
      </c>
      <c r="I113" t="s">
        <v>749</v>
      </c>
      <c r="L113" t="s">
        <v>738</v>
      </c>
      <c r="M113" t="s">
        <v>233</v>
      </c>
    </row>
    <row r="114" spans="1:16" x14ac:dyDescent="0.25">
      <c r="A114" t="s">
        <v>14</v>
      </c>
      <c r="B114">
        <v>4</v>
      </c>
      <c r="C114" t="s">
        <v>17</v>
      </c>
      <c r="D114" t="s">
        <v>18</v>
      </c>
      <c r="E114" t="s">
        <v>93</v>
      </c>
      <c r="F114" t="s">
        <v>94</v>
      </c>
      <c r="G114" t="s">
        <v>21</v>
      </c>
      <c r="H114" t="s">
        <v>475</v>
      </c>
      <c r="M114" t="s">
        <v>95</v>
      </c>
      <c r="P114" t="s">
        <v>96</v>
      </c>
    </row>
    <row r="115" spans="1:16" x14ac:dyDescent="0.25">
      <c r="A115" t="s">
        <v>14</v>
      </c>
      <c r="B115">
        <v>4</v>
      </c>
      <c r="C115" t="s">
        <v>17</v>
      </c>
      <c r="D115" t="s">
        <v>18</v>
      </c>
      <c r="E115" t="s">
        <v>234</v>
      </c>
      <c r="F115" t="s">
        <v>235</v>
      </c>
      <c r="G115" t="s">
        <v>21</v>
      </c>
      <c r="I115" t="s">
        <v>751</v>
      </c>
      <c r="L115" t="s">
        <v>752</v>
      </c>
      <c r="M115" t="s">
        <v>236</v>
      </c>
      <c r="P115" t="s">
        <v>237</v>
      </c>
    </row>
    <row r="116" spans="1:16" x14ac:dyDescent="0.25">
      <c r="A116" t="s">
        <v>14</v>
      </c>
      <c r="B116">
        <v>2</v>
      </c>
      <c r="C116" t="s">
        <v>41</v>
      </c>
      <c r="D116" t="s">
        <v>36</v>
      </c>
      <c r="E116" t="s">
        <v>238</v>
      </c>
      <c r="G116" t="s">
        <v>450</v>
      </c>
      <c r="H116" t="s">
        <v>637</v>
      </c>
      <c r="I116" t="s">
        <v>636</v>
      </c>
      <c r="L116" t="s">
        <v>630</v>
      </c>
      <c r="M116" t="s">
        <v>239</v>
      </c>
    </row>
    <row r="117" spans="1:16" x14ac:dyDescent="0.25">
      <c r="A117" t="s">
        <v>14</v>
      </c>
      <c r="B117">
        <v>3</v>
      </c>
      <c r="C117" t="s">
        <v>17</v>
      </c>
      <c r="D117" t="s">
        <v>18</v>
      </c>
      <c r="E117" t="s">
        <v>240</v>
      </c>
      <c r="F117" t="s">
        <v>57</v>
      </c>
      <c r="G117" t="s">
        <v>21</v>
      </c>
      <c r="J117" t="s">
        <v>638</v>
      </c>
      <c r="L117" t="s">
        <v>631</v>
      </c>
      <c r="M117" t="s">
        <v>241</v>
      </c>
      <c r="P117" t="s">
        <v>242</v>
      </c>
    </row>
    <row r="118" spans="1:16" x14ac:dyDescent="0.25">
      <c r="A118" t="s">
        <v>14</v>
      </c>
      <c r="B118">
        <v>3</v>
      </c>
      <c r="C118" t="s">
        <v>17</v>
      </c>
      <c r="D118" t="s">
        <v>18</v>
      </c>
      <c r="E118" t="s">
        <v>243</v>
      </c>
      <c r="F118" t="s">
        <v>57</v>
      </c>
      <c r="G118" t="s">
        <v>21</v>
      </c>
      <c r="H118" t="s">
        <v>639</v>
      </c>
      <c r="J118" t="s">
        <v>640</v>
      </c>
      <c r="L118" t="s">
        <v>632</v>
      </c>
      <c r="M118" t="s">
        <v>244</v>
      </c>
      <c r="P118" t="s">
        <v>245</v>
      </c>
    </row>
    <row r="119" spans="1:16" x14ac:dyDescent="0.25">
      <c r="A119" t="s">
        <v>14</v>
      </c>
      <c r="B119">
        <v>3</v>
      </c>
      <c r="C119" t="s">
        <v>17</v>
      </c>
      <c r="D119" t="s">
        <v>36</v>
      </c>
      <c r="E119" t="s">
        <v>246</v>
      </c>
      <c r="F119" t="s">
        <v>101</v>
      </c>
      <c r="G119" t="s">
        <v>450</v>
      </c>
      <c r="I119" t="s">
        <v>641</v>
      </c>
      <c r="L119" t="s">
        <v>633</v>
      </c>
      <c r="M119" t="s">
        <v>247</v>
      </c>
      <c r="P119" t="s">
        <v>248</v>
      </c>
    </row>
    <row r="120" spans="1:16" x14ac:dyDescent="0.25">
      <c r="A120" t="s">
        <v>14</v>
      </c>
      <c r="B120">
        <v>3</v>
      </c>
      <c r="C120" t="s">
        <v>17</v>
      </c>
      <c r="D120" t="s">
        <v>36</v>
      </c>
      <c r="E120" t="s">
        <v>249</v>
      </c>
      <c r="F120" t="s">
        <v>250</v>
      </c>
      <c r="G120" t="s">
        <v>450</v>
      </c>
      <c r="I120" t="s">
        <v>642</v>
      </c>
      <c r="L120" t="s">
        <v>634</v>
      </c>
      <c r="M120" t="s">
        <v>251</v>
      </c>
      <c r="P120" t="s">
        <v>252</v>
      </c>
    </row>
    <row r="121" spans="1:16" x14ac:dyDescent="0.25">
      <c r="A121" t="s">
        <v>14</v>
      </c>
      <c r="B121">
        <v>3</v>
      </c>
      <c r="C121" t="s">
        <v>17</v>
      </c>
      <c r="D121" t="s">
        <v>36</v>
      </c>
      <c r="E121" t="s">
        <v>253</v>
      </c>
      <c r="F121" t="s">
        <v>254</v>
      </c>
      <c r="G121" t="s">
        <v>450</v>
      </c>
      <c r="I121" t="s">
        <v>641</v>
      </c>
      <c r="J121" t="s">
        <v>622</v>
      </c>
      <c r="L121" t="s">
        <v>635</v>
      </c>
      <c r="M121" t="s">
        <v>255</v>
      </c>
      <c r="P121" t="s">
        <v>256</v>
      </c>
    </row>
    <row r="122" spans="1:16" x14ac:dyDescent="0.25">
      <c r="A122" t="s">
        <v>14</v>
      </c>
      <c r="B122">
        <v>3</v>
      </c>
      <c r="C122" t="s">
        <v>41</v>
      </c>
      <c r="D122" t="s">
        <v>36</v>
      </c>
      <c r="E122" t="s">
        <v>257</v>
      </c>
      <c r="G122" t="s">
        <v>450</v>
      </c>
      <c r="I122" t="s">
        <v>641</v>
      </c>
      <c r="L122" t="s">
        <v>643</v>
      </c>
      <c r="M122" t="s">
        <v>258</v>
      </c>
    </row>
    <row r="123" spans="1:16" x14ac:dyDescent="0.25">
      <c r="A123" t="s">
        <v>14</v>
      </c>
      <c r="B123">
        <v>4</v>
      </c>
      <c r="C123" t="s">
        <v>17</v>
      </c>
      <c r="D123" t="s">
        <v>18</v>
      </c>
      <c r="E123" t="s">
        <v>100</v>
      </c>
      <c r="F123" t="s">
        <v>106</v>
      </c>
      <c r="G123" t="s">
        <v>21</v>
      </c>
      <c r="J123" t="s">
        <v>645</v>
      </c>
      <c r="L123" t="s">
        <v>644</v>
      </c>
      <c r="M123" t="s">
        <v>102</v>
      </c>
      <c r="P123" t="s">
        <v>107</v>
      </c>
    </row>
    <row r="124" spans="1:16" x14ac:dyDescent="0.25">
      <c r="A124" t="s">
        <v>14</v>
      </c>
      <c r="B124">
        <v>3</v>
      </c>
      <c r="C124" t="s">
        <v>41</v>
      </c>
      <c r="D124" t="s">
        <v>36</v>
      </c>
      <c r="E124" t="s">
        <v>259</v>
      </c>
      <c r="G124" t="s">
        <v>450</v>
      </c>
      <c r="I124" t="s">
        <v>641</v>
      </c>
      <c r="L124" t="s">
        <v>646</v>
      </c>
      <c r="M124" t="s">
        <v>260</v>
      </c>
    </row>
    <row r="125" spans="1:16" x14ac:dyDescent="0.25">
      <c r="A125" t="s">
        <v>14</v>
      </c>
      <c r="B125">
        <v>4</v>
      </c>
      <c r="C125" t="s">
        <v>17</v>
      </c>
      <c r="D125" t="s">
        <v>18</v>
      </c>
      <c r="E125" t="s">
        <v>261</v>
      </c>
      <c r="F125" t="s">
        <v>404</v>
      </c>
      <c r="G125" t="s">
        <v>21</v>
      </c>
      <c r="H125" t="s">
        <v>649</v>
      </c>
      <c r="L125" t="s">
        <v>647</v>
      </c>
      <c r="M125" t="s">
        <v>262</v>
      </c>
      <c r="P125" t="s">
        <v>263</v>
      </c>
    </row>
    <row r="126" spans="1:16" x14ac:dyDescent="0.25">
      <c r="A126" t="s">
        <v>14</v>
      </c>
      <c r="B126">
        <v>4</v>
      </c>
      <c r="C126" t="s">
        <v>17</v>
      </c>
      <c r="D126" t="s">
        <v>18</v>
      </c>
      <c r="E126" t="s">
        <v>264</v>
      </c>
      <c r="F126" t="s">
        <v>405</v>
      </c>
      <c r="G126" t="s">
        <v>21</v>
      </c>
      <c r="H126" t="s">
        <v>649</v>
      </c>
      <c r="L126" t="s">
        <v>648</v>
      </c>
      <c r="M126" t="s">
        <v>265</v>
      </c>
      <c r="P126" t="s">
        <v>266</v>
      </c>
    </row>
    <row r="127" spans="1:16" x14ac:dyDescent="0.25">
      <c r="A127" t="s">
        <v>14</v>
      </c>
      <c r="B127">
        <v>3</v>
      </c>
      <c r="C127" t="s">
        <v>41</v>
      </c>
      <c r="D127" t="s">
        <v>36</v>
      </c>
      <c r="E127" t="s">
        <v>267</v>
      </c>
      <c r="G127" t="s">
        <v>450</v>
      </c>
      <c r="I127" t="s">
        <v>641</v>
      </c>
      <c r="L127" t="s">
        <v>650</v>
      </c>
      <c r="M127" t="s">
        <v>268</v>
      </c>
    </row>
    <row r="128" spans="1:16" x14ac:dyDescent="0.25">
      <c r="A128" t="s">
        <v>14</v>
      </c>
      <c r="B128">
        <v>4</v>
      </c>
      <c r="C128" t="s">
        <v>17</v>
      </c>
      <c r="D128" t="s">
        <v>18</v>
      </c>
      <c r="E128" t="s">
        <v>119</v>
      </c>
      <c r="F128" t="s">
        <v>120</v>
      </c>
      <c r="G128" t="s">
        <v>21</v>
      </c>
      <c r="H128" t="s">
        <v>537</v>
      </c>
      <c r="L128" t="s">
        <v>651</v>
      </c>
      <c r="M128" t="s">
        <v>121</v>
      </c>
      <c r="P128" t="s">
        <v>122</v>
      </c>
    </row>
    <row r="129" spans="1:16" x14ac:dyDescent="0.25">
      <c r="A129" t="s">
        <v>14</v>
      </c>
      <c r="B129">
        <v>3</v>
      </c>
      <c r="C129" t="s">
        <v>41</v>
      </c>
      <c r="D129" t="s">
        <v>36</v>
      </c>
      <c r="E129" t="s">
        <v>129</v>
      </c>
      <c r="G129" t="s">
        <v>450</v>
      </c>
      <c r="I129" t="s">
        <v>641</v>
      </c>
      <c r="L129" t="s">
        <v>652</v>
      </c>
      <c r="M129" t="s">
        <v>129</v>
      </c>
    </row>
    <row r="130" spans="1:16" x14ac:dyDescent="0.25">
      <c r="A130" t="s">
        <v>14</v>
      </c>
      <c r="B130">
        <v>4</v>
      </c>
      <c r="C130" t="s">
        <v>17</v>
      </c>
      <c r="D130" t="s">
        <v>18</v>
      </c>
      <c r="E130" t="s">
        <v>130</v>
      </c>
      <c r="F130" t="s">
        <v>126</v>
      </c>
      <c r="G130" t="s">
        <v>21</v>
      </c>
      <c r="L130" t="s">
        <v>653</v>
      </c>
      <c r="M130" t="s">
        <v>131</v>
      </c>
      <c r="P130" t="s">
        <v>132</v>
      </c>
    </row>
    <row r="131" spans="1:16" x14ac:dyDescent="0.25">
      <c r="A131" t="s">
        <v>14</v>
      </c>
      <c r="B131">
        <v>4</v>
      </c>
      <c r="C131" t="s">
        <v>17</v>
      </c>
      <c r="D131" t="s">
        <v>36</v>
      </c>
      <c r="E131" t="s">
        <v>133</v>
      </c>
      <c r="F131" t="s">
        <v>120</v>
      </c>
      <c r="G131" t="s">
        <v>450</v>
      </c>
      <c r="I131" t="s">
        <v>544</v>
      </c>
      <c r="L131" t="s">
        <v>654</v>
      </c>
      <c r="M131" t="s">
        <v>134</v>
      </c>
      <c r="P131" t="s">
        <v>135</v>
      </c>
    </row>
    <row r="132" spans="1:16" x14ac:dyDescent="0.25">
      <c r="A132" t="s">
        <v>14</v>
      </c>
      <c r="B132">
        <v>4</v>
      </c>
      <c r="C132" t="s">
        <v>17</v>
      </c>
      <c r="D132" t="s">
        <v>18</v>
      </c>
      <c r="E132" t="s">
        <v>136</v>
      </c>
      <c r="F132" t="s">
        <v>101</v>
      </c>
      <c r="G132" t="s">
        <v>21</v>
      </c>
      <c r="L132" t="s">
        <v>655</v>
      </c>
      <c r="M132" t="s">
        <v>137</v>
      </c>
      <c r="P132" t="s">
        <v>138</v>
      </c>
    </row>
    <row r="133" spans="1:16" x14ac:dyDescent="0.25">
      <c r="A133" t="s">
        <v>14</v>
      </c>
      <c r="B133">
        <v>4</v>
      </c>
      <c r="C133" t="s">
        <v>17</v>
      </c>
      <c r="D133" t="s">
        <v>18</v>
      </c>
      <c r="E133" t="s">
        <v>139</v>
      </c>
      <c r="F133" t="s">
        <v>140</v>
      </c>
      <c r="G133" t="s">
        <v>21</v>
      </c>
      <c r="J133" t="s">
        <v>657</v>
      </c>
      <c r="L133" t="s">
        <v>656</v>
      </c>
      <c r="M133" t="s">
        <v>141</v>
      </c>
      <c r="P133" t="s">
        <v>142</v>
      </c>
    </row>
    <row r="134" spans="1:16" x14ac:dyDescent="0.25">
      <c r="A134" t="s">
        <v>14</v>
      </c>
      <c r="B134">
        <v>3</v>
      </c>
      <c r="C134" t="s">
        <v>41</v>
      </c>
      <c r="D134" t="s">
        <v>36</v>
      </c>
      <c r="E134" t="s">
        <v>269</v>
      </c>
      <c r="G134" t="s">
        <v>450</v>
      </c>
      <c r="I134" t="s">
        <v>641</v>
      </c>
      <c r="L134" t="s">
        <v>658</v>
      </c>
      <c r="M134" t="s">
        <v>270</v>
      </c>
    </row>
    <row r="135" spans="1:16" x14ac:dyDescent="0.25">
      <c r="A135" t="s">
        <v>14</v>
      </c>
      <c r="B135">
        <v>4</v>
      </c>
      <c r="C135" t="s">
        <v>17</v>
      </c>
      <c r="D135" t="s">
        <v>36</v>
      </c>
      <c r="E135" t="s">
        <v>271</v>
      </c>
      <c r="F135" t="s">
        <v>120</v>
      </c>
      <c r="G135" t="s">
        <v>450</v>
      </c>
      <c r="I135" t="s">
        <v>661</v>
      </c>
      <c r="L135" t="s">
        <v>659</v>
      </c>
      <c r="M135" t="s">
        <v>272</v>
      </c>
      <c r="P135" t="s">
        <v>273</v>
      </c>
    </row>
    <row r="136" spans="1:16" x14ac:dyDescent="0.25">
      <c r="A136" t="s">
        <v>14</v>
      </c>
      <c r="B136">
        <v>4</v>
      </c>
      <c r="C136" t="s">
        <v>17</v>
      </c>
      <c r="D136" t="s">
        <v>18</v>
      </c>
      <c r="E136" t="s">
        <v>133</v>
      </c>
      <c r="F136" t="s">
        <v>120</v>
      </c>
      <c r="G136" t="s">
        <v>21</v>
      </c>
      <c r="L136" t="s">
        <v>660</v>
      </c>
      <c r="M136" t="s">
        <v>134</v>
      </c>
      <c r="P136" t="s">
        <v>135</v>
      </c>
    </row>
    <row r="137" spans="1:16" x14ac:dyDescent="0.25">
      <c r="A137" t="s">
        <v>14</v>
      </c>
      <c r="B137">
        <v>4</v>
      </c>
      <c r="C137" t="s">
        <v>17</v>
      </c>
      <c r="D137" t="s">
        <v>18</v>
      </c>
      <c r="E137" t="s">
        <v>139</v>
      </c>
      <c r="F137" t="s">
        <v>140</v>
      </c>
      <c r="G137" t="s">
        <v>21</v>
      </c>
      <c r="J137" t="s">
        <v>663</v>
      </c>
      <c r="L137" t="s">
        <v>662</v>
      </c>
      <c r="M137" t="s">
        <v>141</v>
      </c>
      <c r="P137" t="s">
        <v>142</v>
      </c>
    </row>
    <row r="138" spans="1:16" x14ac:dyDescent="0.25">
      <c r="A138" t="s">
        <v>14</v>
      </c>
      <c r="B138">
        <v>3</v>
      </c>
      <c r="C138" t="s">
        <v>41</v>
      </c>
      <c r="D138" t="s">
        <v>36</v>
      </c>
      <c r="E138" t="s">
        <v>143</v>
      </c>
      <c r="G138" t="s">
        <v>450</v>
      </c>
      <c r="H138" t="s">
        <v>549</v>
      </c>
      <c r="I138" t="s">
        <v>641</v>
      </c>
      <c r="L138" t="s">
        <v>664</v>
      </c>
      <c r="M138" t="s">
        <v>144</v>
      </c>
    </row>
    <row r="139" spans="1:16" x14ac:dyDescent="0.25">
      <c r="A139" t="s">
        <v>14</v>
      </c>
      <c r="B139">
        <v>4</v>
      </c>
      <c r="C139" t="s">
        <v>17</v>
      </c>
      <c r="D139" t="s">
        <v>18</v>
      </c>
      <c r="E139" t="s">
        <v>4</v>
      </c>
      <c r="F139" t="s">
        <v>126</v>
      </c>
      <c r="G139" t="s">
        <v>21</v>
      </c>
      <c r="L139" t="s">
        <v>665</v>
      </c>
      <c r="M139" t="s">
        <v>127</v>
      </c>
      <c r="P139" t="s">
        <v>128</v>
      </c>
    </row>
    <row r="140" spans="1:16" x14ac:dyDescent="0.25">
      <c r="A140" t="s">
        <v>14</v>
      </c>
      <c r="B140">
        <v>4</v>
      </c>
      <c r="C140" t="s">
        <v>17</v>
      </c>
      <c r="D140" t="s">
        <v>18</v>
      </c>
      <c r="E140" t="s">
        <v>145</v>
      </c>
      <c r="F140" t="s">
        <v>20</v>
      </c>
      <c r="G140" t="s">
        <v>21</v>
      </c>
      <c r="L140" t="s">
        <v>666</v>
      </c>
      <c r="M140" t="s">
        <v>146</v>
      </c>
      <c r="P140" t="s">
        <v>147</v>
      </c>
    </row>
    <row r="141" spans="1:16" x14ac:dyDescent="0.25">
      <c r="A141" t="s">
        <v>14</v>
      </c>
      <c r="B141">
        <v>4</v>
      </c>
      <c r="C141" t="s">
        <v>17</v>
      </c>
      <c r="D141" t="s">
        <v>36</v>
      </c>
      <c r="E141" t="s">
        <v>148</v>
      </c>
      <c r="F141" t="s">
        <v>149</v>
      </c>
      <c r="G141" t="s">
        <v>38</v>
      </c>
      <c r="H141" t="s">
        <v>458</v>
      </c>
      <c r="L141" t="s">
        <v>667</v>
      </c>
      <c r="M141" t="s">
        <v>150</v>
      </c>
      <c r="P141" t="s">
        <v>151</v>
      </c>
    </row>
    <row r="142" spans="1:16" x14ac:dyDescent="0.25">
      <c r="A142" t="s">
        <v>14</v>
      </c>
      <c r="B142">
        <v>2</v>
      </c>
      <c r="C142" t="s">
        <v>41</v>
      </c>
      <c r="D142" t="s">
        <v>274</v>
      </c>
      <c r="E142" t="s">
        <v>275</v>
      </c>
      <c r="G142" t="s">
        <v>450</v>
      </c>
      <c r="H142" t="s">
        <v>731</v>
      </c>
      <c r="I142" t="s">
        <v>730</v>
      </c>
      <c r="L142" t="s">
        <v>716</v>
      </c>
      <c r="M142" t="s">
        <v>276</v>
      </c>
    </row>
    <row r="143" spans="1:16" x14ac:dyDescent="0.25">
      <c r="A143" t="s">
        <v>14</v>
      </c>
      <c r="B143">
        <v>3</v>
      </c>
      <c r="C143" t="s">
        <v>17</v>
      </c>
      <c r="D143" t="s">
        <v>18</v>
      </c>
      <c r="E143" t="s">
        <v>93</v>
      </c>
      <c r="F143" t="s">
        <v>717</v>
      </c>
      <c r="G143" t="s">
        <v>21</v>
      </c>
      <c r="H143" t="s">
        <v>475</v>
      </c>
      <c r="M143" t="s">
        <v>95</v>
      </c>
      <c r="P143" t="s">
        <v>96</v>
      </c>
    </row>
    <row r="144" spans="1:16" x14ac:dyDescent="0.25">
      <c r="A144" t="s">
        <v>14</v>
      </c>
      <c r="B144">
        <v>3</v>
      </c>
      <c r="C144" t="s">
        <v>17</v>
      </c>
      <c r="D144" t="s">
        <v>18</v>
      </c>
      <c r="E144" t="s">
        <v>277</v>
      </c>
      <c r="F144" t="s">
        <v>278</v>
      </c>
      <c r="G144" t="s">
        <v>21</v>
      </c>
      <c r="H144" t="s">
        <v>736</v>
      </c>
      <c r="J144" t="s">
        <v>732</v>
      </c>
      <c r="L144" t="s">
        <v>727</v>
      </c>
      <c r="M144" t="s">
        <v>279</v>
      </c>
      <c r="P144" t="s">
        <v>280</v>
      </c>
    </row>
    <row r="145" spans="1:16" x14ac:dyDescent="0.25">
      <c r="A145" t="s">
        <v>14</v>
      </c>
      <c r="B145">
        <v>3</v>
      </c>
      <c r="C145" t="s">
        <v>17</v>
      </c>
      <c r="D145" t="s">
        <v>18</v>
      </c>
      <c r="E145" t="s">
        <v>119</v>
      </c>
      <c r="F145" t="s">
        <v>101</v>
      </c>
      <c r="G145" t="s">
        <v>21</v>
      </c>
      <c r="H145" t="s">
        <v>735</v>
      </c>
      <c r="L145" t="s">
        <v>728</v>
      </c>
      <c r="M145" t="s">
        <v>121</v>
      </c>
      <c r="P145" t="s">
        <v>281</v>
      </c>
    </row>
    <row r="146" spans="1:16" x14ac:dyDescent="0.25">
      <c r="A146" t="s">
        <v>14</v>
      </c>
      <c r="B146">
        <v>3</v>
      </c>
      <c r="C146" t="s">
        <v>17</v>
      </c>
      <c r="D146" t="s">
        <v>18</v>
      </c>
      <c r="E146" t="s">
        <v>282</v>
      </c>
      <c r="F146" t="s">
        <v>140</v>
      </c>
      <c r="G146" t="s">
        <v>21</v>
      </c>
      <c r="H146" t="s">
        <v>734</v>
      </c>
      <c r="J146" t="s">
        <v>733</v>
      </c>
      <c r="L146" t="s">
        <v>729</v>
      </c>
      <c r="M146" t="s">
        <v>283</v>
      </c>
      <c r="P146" t="s">
        <v>284</v>
      </c>
    </row>
    <row r="147" spans="1:16" x14ac:dyDescent="0.25">
      <c r="A147" t="s">
        <v>14</v>
      </c>
      <c r="B147">
        <v>2</v>
      </c>
      <c r="C147" t="s">
        <v>41</v>
      </c>
      <c r="D147" t="s">
        <v>164</v>
      </c>
      <c r="E147" t="s">
        <v>285</v>
      </c>
      <c r="G147" t="s">
        <v>450</v>
      </c>
      <c r="H147" t="s">
        <v>615</v>
      </c>
      <c r="I147" t="s">
        <v>614</v>
      </c>
      <c r="L147" t="s">
        <v>612</v>
      </c>
      <c r="M147" t="s">
        <v>286</v>
      </c>
    </row>
    <row r="148" spans="1:16" x14ac:dyDescent="0.25">
      <c r="A148" t="s">
        <v>14</v>
      </c>
      <c r="B148">
        <v>3</v>
      </c>
      <c r="C148" t="s">
        <v>17</v>
      </c>
      <c r="D148" t="s">
        <v>18</v>
      </c>
      <c r="E148" t="s">
        <v>93</v>
      </c>
      <c r="F148" t="s">
        <v>483</v>
      </c>
      <c r="G148" t="s">
        <v>21</v>
      </c>
      <c r="H148" t="s">
        <v>475</v>
      </c>
      <c r="M148" t="s">
        <v>95</v>
      </c>
      <c r="P148" t="s">
        <v>96</v>
      </c>
    </row>
    <row r="149" spans="1:16" x14ac:dyDescent="0.25">
      <c r="A149" t="s">
        <v>14</v>
      </c>
      <c r="B149">
        <v>3</v>
      </c>
      <c r="C149" t="s">
        <v>17</v>
      </c>
      <c r="D149" t="s">
        <v>18</v>
      </c>
      <c r="E149" t="s">
        <v>139</v>
      </c>
      <c r="F149" t="s">
        <v>140</v>
      </c>
      <c r="G149" t="s">
        <v>21</v>
      </c>
      <c r="J149" t="s">
        <v>606</v>
      </c>
      <c r="L149" t="s">
        <v>613</v>
      </c>
      <c r="M149" t="s">
        <v>141</v>
      </c>
      <c r="P149" t="s">
        <v>142</v>
      </c>
    </row>
    <row r="150" spans="1:16" x14ac:dyDescent="0.25">
      <c r="A150" t="s">
        <v>14</v>
      </c>
      <c r="B150">
        <v>2</v>
      </c>
      <c r="C150" t="s">
        <v>41</v>
      </c>
      <c r="D150" t="s">
        <v>91</v>
      </c>
      <c r="E150" t="s">
        <v>287</v>
      </c>
      <c r="G150" t="s">
        <v>450</v>
      </c>
      <c r="H150" t="s">
        <v>755</v>
      </c>
      <c r="I150" t="s">
        <v>754</v>
      </c>
      <c r="L150" t="s">
        <v>753</v>
      </c>
      <c r="M150" t="s">
        <v>288</v>
      </c>
    </row>
    <row r="151" spans="1:16" x14ac:dyDescent="0.25">
      <c r="A151" t="s">
        <v>14</v>
      </c>
      <c r="B151">
        <v>3</v>
      </c>
      <c r="C151" t="s">
        <v>17</v>
      </c>
      <c r="D151" t="s">
        <v>18</v>
      </c>
      <c r="E151" t="s">
        <v>93</v>
      </c>
      <c r="F151" t="s">
        <v>530</v>
      </c>
      <c r="G151" t="s">
        <v>21</v>
      </c>
      <c r="H151" t="s">
        <v>475</v>
      </c>
      <c r="M151" t="s">
        <v>95</v>
      </c>
      <c r="P151" t="s">
        <v>96</v>
      </c>
    </row>
    <row r="152" spans="1:16" x14ac:dyDescent="0.25">
      <c r="A152" t="s">
        <v>14</v>
      </c>
      <c r="B152">
        <v>3</v>
      </c>
      <c r="C152" t="s">
        <v>17</v>
      </c>
      <c r="D152" t="s">
        <v>18</v>
      </c>
      <c r="E152" t="s">
        <v>289</v>
      </c>
      <c r="F152" t="s">
        <v>290</v>
      </c>
      <c r="G152" t="s">
        <v>21</v>
      </c>
      <c r="H152" t="s">
        <v>756</v>
      </c>
      <c r="L152" t="s">
        <v>757</v>
      </c>
      <c r="M152" t="s">
        <v>291</v>
      </c>
      <c r="P152" t="s">
        <v>292</v>
      </c>
    </row>
    <row r="153" spans="1:16" x14ac:dyDescent="0.25">
      <c r="A153" t="s">
        <v>14</v>
      </c>
      <c r="B153">
        <v>3</v>
      </c>
      <c r="C153" t="s">
        <v>17</v>
      </c>
      <c r="D153" t="s">
        <v>18</v>
      </c>
      <c r="E153" t="s">
        <v>277</v>
      </c>
      <c r="F153" t="s">
        <v>278</v>
      </c>
      <c r="G153" t="s">
        <v>21</v>
      </c>
      <c r="H153" t="s">
        <v>760</v>
      </c>
      <c r="J153" t="s">
        <v>759</v>
      </c>
      <c r="L153" t="s">
        <v>758</v>
      </c>
      <c r="M153" t="s">
        <v>279</v>
      </c>
      <c r="P153" t="s">
        <v>280</v>
      </c>
    </row>
    <row r="154" spans="1:16" x14ac:dyDescent="0.25">
      <c r="A154" t="s">
        <v>14</v>
      </c>
      <c r="B154">
        <v>3</v>
      </c>
      <c r="C154" t="s">
        <v>17</v>
      </c>
      <c r="D154" t="s">
        <v>18</v>
      </c>
      <c r="E154" t="s">
        <v>119</v>
      </c>
      <c r="F154" t="s">
        <v>101</v>
      </c>
      <c r="G154" t="s">
        <v>21</v>
      </c>
      <c r="H154" t="s">
        <v>762</v>
      </c>
      <c r="L154" t="s">
        <v>761</v>
      </c>
      <c r="M154" t="s">
        <v>121</v>
      </c>
      <c r="P154" t="s">
        <v>281</v>
      </c>
    </row>
    <row r="155" spans="1:16" x14ac:dyDescent="0.25">
      <c r="A155" t="s">
        <v>14</v>
      </c>
      <c r="B155">
        <v>3</v>
      </c>
      <c r="C155" t="s">
        <v>17</v>
      </c>
      <c r="D155" t="s">
        <v>18</v>
      </c>
      <c r="E155" t="s">
        <v>282</v>
      </c>
      <c r="F155" t="s">
        <v>140</v>
      </c>
      <c r="G155" t="s">
        <v>21</v>
      </c>
      <c r="H155" t="s">
        <v>764</v>
      </c>
      <c r="J155" t="s">
        <v>733</v>
      </c>
      <c r="L155" t="s">
        <v>763</v>
      </c>
      <c r="M155" t="s">
        <v>283</v>
      </c>
      <c r="P155" t="s">
        <v>284</v>
      </c>
    </row>
    <row r="156" spans="1:16" x14ac:dyDescent="0.25">
      <c r="A156" t="s">
        <v>14</v>
      </c>
      <c r="B156">
        <v>3</v>
      </c>
      <c r="C156" t="s">
        <v>17</v>
      </c>
      <c r="D156" t="s">
        <v>36</v>
      </c>
      <c r="E156" t="s">
        <v>293</v>
      </c>
      <c r="F156" t="s">
        <v>294</v>
      </c>
      <c r="G156" t="s">
        <v>450</v>
      </c>
      <c r="H156" t="s">
        <v>767</v>
      </c>
      <c r="I156" t="s">
        <v>766</v>
      </c>
      <c r="L156" t="s">
        <v>765</v>
      </c>
      <c r="M156" t="s">
        <v>295</v>
      </c>
      <c r="P156" t="s">
        <v>296</v>
      </c>
    </row>
    <row r="157" spans="1:16" x14ac:dyDescent="0.25">
      <c r="A157" t="s">
        <v>14</v>
      </c>
      <c r="B157">
        <v>2</v>
      </c>
      <c r="C157" t="s">
        <v>41</v>
      </c>
      <c r="D157" t="s">
        <v>36</v>
      </c>
      <c r="E157" t="s">
        <v>297</v>
      </c>
      <c r="G157" t="s">
        <v>450</v>
      </c>
      <c r="H157" t="s">
        <v>621</v>
      </c>
      <c r="I157" t="s">
        <v>620</v>
      </c>
      <c r="L157" t="s">
        <v>616</v>
      </c>
      <c r="M157" t="s">
        <v>298</v>
      </c>
    </row>
    <row r="158" spans="1:16" x14ac:dyDescent="0.25">
      <c r="A158" t="s">
        <v>14</v>
      </c>
      <c r="B158">
        <v>3</v>
      </c>
      <c r="C158" t="s">
        <v>17</v>
      </c>
      <c r="D158" t="s">
        <v>36</v>
      </c>
      <c r="E158" t="s">
        <v>253</v>
      </c>
      <c r="F158" t="s">
        <v>254</v>
      </c>
      <c r="G158" t="s">
        <v>38</v>
      </c>
      <c r="J158" t="s">
        <v>622</v>
      </c>
      <c r="L158" t="s">
        <v>617</v>
      </c>
      <c r="M158" t="s">
        <v>255</v>
      </c>
      <c r="P158" t="s">
        <v>256</v>
      </c>
    </row>
    <row r="159" spans="1:16" x14ac:dyDescent="0.25">
      <c r="A159" t="s">
        <v>14</v>
      </c>
      <c r="B159">
        <v>3</v>
      </c>
      <c r="C159" t="s">
        <v>17</v>
      </c>
      <c r="D159" t="s">
        <v>36</v>
      </c>
      <c r="E159" t="s">
        <v>139</v>
      </c>
      <c r="F159" t="s">
        <v>140</v>
      </c>
      <c r="G159" t="s">
        <v>450</v>
      </c>
      <c r="I159" t="s">
        <v>623</v>
      </c>
      <c r="J159" t="s">
        <v>606</v>
      </c>
      <c r="L159" t="s">
        <v>618</v>
      </c>
      <c r="M159" t="s">
        <v>141</v>
      </c>
      <c r="P159" t="s">
        <v>142</v>
      </c>
    </row>
    <row r="160" spans="1:16" x14ac:dyDescent="0.25">
      <c r="A160" t="s">
        <v>14</v>
      </c>
      <c r="B160">
        <v>3</v>
      </c>
      <c r="C160" t="s">
        <v>17</v>
      </c>
      <c r="D160" t="s">
        <v>36</v>
      </c>
      <c r="E160" t="s">
        <v>299</v>
      </c>
      <c r="F160" t="s">
        <v>101</v>
      </c>
      <c r="G160" t="s">
        <v>450</v>
      </c>
      <c r="I160" t="s">
        <v>623</v>
      </c>
      <c r="L160" t="s">
        <v>619</v>
      </c>
      <c r="M160" t="s">
        <v>300</v>
      </c>
      <c r="P160" t="s">
        <v>301</v>
      </c>
    </row>
    <row r="161" spans="1:16" x14ac:dyDescent="0.25">
      <c r="A161" t="s">
        <v>14</v>
      </c>
      <c r="B161">
        <v>2</v>
      </c>
      <c r="C161" t="s">
        <v>41</v>
      </c>
      <c r="D161" t="s">
        <v>36</v>
      </c>
      <c r="E161" t="s">
        <v>302</v>
      </c>
      <c r="G161" t="s">
        <v>450</v>
      </c>
      <c r="H161" t="s">
        <v>629</v>
      </c>
      <c r="I161" t="s">
        <v>628</v>
      </c>
      <c r="L161" t="s">
        <v>624</v>
      </c>
      <c r="M161" t="s">
        <v>303</v>
      </c>
    </row>
    <row r="162" spans="1:16" x14ac:dyDescent="0.25">
      <c r="A162" t="s">
        <v>14</v>
      </c>
      <c r="B162">
        <v>3</v>
      </c>
      <c r="C162" t="s">
        <v>17</v>
      </c>
      <c r="D162" t="s">
        <v>36</v>
      </c>
      <c r="E162" t="s">
        <v>253</v>
      </c>
      <c r="F162" t="s">
        <v>254</v>
      </c>
      <c r="G162" t="s">
        <v>38</v>
      </c>
      <c r="J162" t="s">
        <v>622</v>
      </c>
      <c r="L162" t="s">
        <v>625</v>
      </c>
      <c r="M162" t="s">
        <v>255</v>
      </c>
      <c r="P162" t="s">
        <v>256</v>
      </c>
    </row>
    <row r="163" spans="1:16" x14ac:dyDescent="0.25">
      <c r="A163" t="s">
        <v>14</v>
      </c>
      <c r="B163">
        <v>3</v>
      </c>
      <c r="C163" t="s">
        <v>17</v>
      </c>
      <c r="D163" t="s">
        <v>36</v>
      </c>
      <c r="E163" t="s">
        <v>139</v>
      </c>
      <c r="F163" t="s">
        <v>140</v>
      </c>
      <c r="G163" t="s">
        <v>450</v>
      </c>
      <c r="I163" t="s">
        <v>623</v>
      </c>
      <c r="J163" t="s">
        <v>606</v>
      </c>
      <c r="L163" t="s">
        <v>626</v>
      </c>
      <c r="M163" t="s">
        <v>141</v>
      </c>
      <c r="P163" t="s">
        <v>142</v>
      </c>
    </row>
    <row r="164" spans="1:16" x14ac:dyDescent="0.25">
      <c r="A164" t="s">
        <v>14</v>
      </c>
      <c r="B164">
        <v>3</v>
      </c>
      <c r="C164" t="s">
        <v>17</v>
      </c>
      <c r="D164" t="s">
        <v>36</v>
      </c>
      <c r="E164" t="s">
        <v>299</v>
      </c>
      <c r="F164" t="s">
        <v>101</v>
      </c>
      <c r="G164" t="s">
        <v>450</v>
      </c>
      <c r="I164" t="s">
        <v>623</v>
      </c>
      <c r="L164" t="s">
        <v>627</v>
      </c>
      <c r="M164" t="s">
        <v>300</v>
      </c>
      <c r="P164" t="s">
        <v>301</v>
      </c>
    </row>
    <row r="165" spans="1:16" x14ac:dyDescent="0.25">
      <c r="A165" t="s">
        <v>14</v>
      </c>
      <c r="B165">
        <v>2</v>
      </c>
      <c r="C165" t="s">
        <v>41</v>
      </c>
      <c r="D165" t="s">
        <v>216</v>
      </c>
      <c r="E165" t="s">
        <v>304</v>
      </c>
      <c r="G165" t="s">
        <v>38</v>
      </c>
      <c r="L165" t="s">
        <v>477</v>
      </c>
      <c r="M165" t="s">
        <v>305</v>
      </c>
    </row>
    <row r="166" spans="1:16" x14ac:dyDescent="0.25">
      <c r="A166" t="s">
        <v>14</v>
      </c>
      <c r="B166">
        <v>3</v>
      </c>
      <c r="C166" t="s">
        <v>17</v>
      </c>
      <c r="D166" t="s">
        <v>18</v>
      </c>
      <c r="E166" t="s">
        <v>93</v>
      </c>
      <c r="F166" t="s">
        <v>504</v>
      </c>
      <c r="G166" t="s">
        <v>21</v>
      </c>
      <c r="H166" t="s">
        <v>475</v>
      </c>
      <c r="M166" t="s">
        <v>95</v>
      </c>
      <c r="P166" t="s">
        <v>96</v>
      </c>
    </row>
    <row r="167" spans="1:16" x14ac:dyDescent="0.25">
      <c r="A167" t="s">
        <v>14</v>
      </c>
      <c r="B167">
        <v>3</v>
      </c>
      <c r="C167" t="s">
        <v>17</v>
      </c>
      <c r="D167" t="s">
        <v>18</v>
      </c>
      <c r="E167" t="s">
        <v>2</v>
      </c>
      <c r="F167" t="s">
        <v>306</v>
      </c>
      <c r="G167" t="s">
        <v>21</v>
      </c>
      <c r="H167" t="s">
        <v>479</v>
      </c>
      <c r="J167" t="s">
        <v>478</v>
      </c>
      <c r="L167" t="s">
        <v>476</v>
      </c>
      <c r="M167" t="s">
        <v>98</v>
      </c>
      <c r="P167" t="s">
        <v>307</v>
      </c>
    </row>
    <row r="168" spans="1:16" x14ac:dyDescent="0.25">
      <c r="A168" t="s">
        <v>14</v>
      </c>
      <c r="B168">
        <v>3</v>
      </c>
      <c r="C168" t="s">
        <v>17</v>
      </c>
      <c r="D168" t="s">
        <v>18</v>
      </c>
      <c r="E168" t="s">
        <v>100</v>
      </c>
      <c r="F168" t="s">
        <v>126</v>
      </c>
      <c r="G168" t="s">
        <v>21</v>
      </c>
      <c r="H168" t="s">
        <v>481</v>
      </c>
      <c r="L168" t="s">
        <v>480</v>
      </c>
      <c r="M168" t="s">
        <v>102</v>
      </c>
      <c r="P168" t="s">
        <v>308</v>
      </c>
    </row>
    <row r="169" spans="1:16" x14ac:dyDescent="0.25">
      <c r="A169" t="s">
        <v>14</v>
      </c>
      <c r="B169">
        <v>3</v>
      </c>
      <c r="C169" t="s">
        <v>17</v>
      </c>
      <c r="D169" t="s">
        <v>36</v>
      </c>
      <c r="E169" t="s">
        <v>309</v>
      </c>
      <c r="F169" t="s">
        <v>101</v>
      </c>
      <c r="G169" t="s">
        <v>38</v>
      </c>
      <c r="L169" t="s">
        <v>482</v>
      </c>
      <c r="M169" t="s">
        <v>310</v>
      </c>
      <c r="P169" t="s">
        <v>311</v>
      </c>
    </row>
    <row r="170" spans="1:16" x14ac:dyDescent="0.25">
      <c r="A170" t="s">
        <v>14</v>
      </c>
      <c r="B170">
        <v>2</v>
      </c>
      <c r="C170" t="s">
        <v>41</v>
      </c>
      <c r="D170" t="s">
        <v>164</v>
      </c>
      <c r="E170" t="s">
        <v>312</v>
      </c>
      <c r="G170" t="s">
        <v>38</v>
      </c>
      <c r="H170" t="s">
        <v>503</v>
      </c>
      <c r="L170" t="s">
        <v>498</v>
      </c>
      <c r="M170" t="s">
        <v>313</v>
      </c>
    </row>
    <row r="171" spans="1:16" x14ac:dyDescent="0.25">
      <c r="A171" t="s">
        <v>14</v>
      </c>
      <c r="B171">
        <v>3</v>
      </c>
      <c r="C171" t="s">
        <v>17</v>
      </c>
      <c r="D171" t="s">
        <v>18</v>
      </c>
      <c r="E171" t="s">
        <v>93</v>
      </c>
      <c r="F171" t="s">
        <v>483</v>
      </c>
      <c r="G171" t="s">
        <v>21</v>
      </c>
      <c r="H171" t="s">
        <v>475</v>
      </c>
      <c r="M171" t="s">
        <v>95</v>
      </c>
      <c r="P171" t="s">
        <v>96</v>
      </c>
    </row>
    <row r="172" spans="1:16" x14ac:dyDescent="0.25">
      <c r="A172" t="s">
        <v>14</v>
      </c>
      <c r="B172">
        <v>3</v>
      </c>
      <c r="C172" t="s">
        <v>17</v>
      </c>
      <c r="D172" t="s">
        <v>18</v>
      </c>
      <c r="E172" t="s">
        <v>2</v>
      </c>
      <c r="F172" t="s">
        <v>306</v>
      </c>
      <c r="G172" t="s">
        <v>21</v>
      </c>
      <c r="H172" t="s">
        <v>505</v>
      </c>
      <c r="J172" t="s">
        <v>507</v>
      </c>
      <c r="L172" t="s">
        <v>500</v>
      </c>
      <c r="M172" t="s">
        <v>98</v>
      </c>
      <c r="P172" t="s">
        <v>307</v>
      </c>
    </row>
    <row r="173" spans="1:16" x14ac:dyDescent="0.25">
      <c r="A173" t="s">
        <v>14</v>
      </c>
      <c r="B173">
        <v>3</v>
      </c>
      <c r="C173" t="s">
        <v>17</v>
      </c>
      <c r="D173" t="s">
        <v>18</v>
      </c>
      <c r="E173" t="s">
        <v>100</v>
      </c>
      <c r="F173" t="s">
        <v>126</v>
      </c>
      <c r="G173" t="s">
        <v>21</v>
      </c>
      <c r="H173" t="s">
        <v>481</v>
      </c>
      <c r="L173" t="s">
        <v>499</v>
      </c>
      <c r="M173" t="s">
        <v>102</v>
      </c>
      <c r="P173" t="s">
        <v>308</v>
      </c>
    </row>
    <row r="174" spans="1:16" x14ac:dyDescent="0.25">
      <c r="A174" t="s">
        <v>14</v>
      </c>
      <c r="B174">
        <v>3</v>
      </c>
      <c r="C174" t="s">
        <v>17</v>
      </c>
      <c r="D174" t="s">
        <v>36</v>
      </c>
      <c r="E174" t="s">
        <v>314</v>
      </c>
      <c r="F174" t="s">
        <v>94</v>
      </c>
      <c r="G174" t="s">
        <v>38</v>
      </c>
      <c r="L174" t="s">
        <v>501</v>
      </c>
      <c r="M174" t="s">
        <v>315</v>
      </c>
      <c r="P174" t="s">
        <v>316</v>
      </c>
    </row>
    <row r="175" spans="1:16" x14ac:dyDescent="0.25">
      <c r="A175" t="s">
        <v>14</v>
      </c>
      <c r="B175">
        <v>3</v>
      </c>
      <c r="C175" t="s">
        <v>17</v>
      </c>
      <c r="D175" t="s">
        <v>36</v>
      </c>
      <c r="E175" t="s">
        <v>309</v>
      </c>
      <c r="F175" t="s">
        <v>101</v>
      </c>
      <c r="G175" t="s">
        <v>38</v>
      </c>
      <c r="L175" t="s">
        <v>502</v>
      </c>
      <c r="M175" t="s">
        <v>310</v>
      </c>
      <c r="P175" t="s">
        <v>311</v>
      </c>
    </row>
    <row r="176" spans="1:16" x14ac:dyDescent="0.25">
      <c r="A176" t="s">
        <v>14</v>
      </c>
      <c r="B176">
        <v>2</v>
      </c>
      <c r="C176" t="s">
        <v>41</v>
      </c>
      <c r="D176" t="s">
        <v>164</v>
      </c>
      <c r="E176" t="s">
        <v>317</v>
      </c>
      <c r="G176" t="s">
        <v>38</v>
      </c>
      <c r="H176" t="s">
        <v>516</v>
      </c>
      <c r="L176" t="s">
        <v>513</v>
      </c>
      <c r="M176" t="s">
        <v>318</v>
      </c>
    </row>
    <row r="177" spans="1:16" x14ac:dyDescent="0.25">
      <c r="A177" t="s">
        <v>14</v>
      </c>
      <c r="B177">
        <v>3</v>
      </c>
      <c r="C177" t="s">
        <v>17</v>
      </c>
      <c r="D177" t="s">
        <v>18</v>
      </c>
      <c r="E177" t="s">
        <v>93</v>
      </c>
      <c r="F177" t="s">
        <v>483</v>
      </c>
      <c r="G177" t="s">
        <v>21</v>
      </c>
      <c r="H177" t="s">
        <v>475</v>
      </c>
      <c r="M177" t="s">
        <v>95</v>
      </c>
      <c r="P177" t="s">
        <v>96</v>
      </c>
    </row>
    <row r="178" spans="1:16" x14ac:dyDescent="0.25">
      <c r="A178" t="s">
        <v>14</v>
      </c>
      <c r="B178">
        <v>3</v>
      </c>
      <c r="C178" t="s">
        <v>17</v>
      </c>
      <c r="D178" t="s">
        <v>18</v>
      </c>
      <c r="E178" t="s">
        <v>2</v>
      </c>
      <c r="F178" t="s">
        <v>306</v>
      </c>
      <c r="G178" t="s">
        <v>21</v>
      </c>
      <c r="H178" t="s">
        <v>505</v>
      </c>
      <c r="J178" t="s">
        <v>517</v>
      </c>
      <c r="L178" t="s">
        <v>514</v>
      </c>
      <c r="M178" t="s">
        <v>98</v>
      </c>
      <c r="P178" t="s">
        <v>307</v>
      </c>
    </row>
    <row r="179" spans="1:16" x14ac:dyDescent="0.25">
      <c r="A179" t="s">
        <v>14</v>
      </c>
      <c r="B179">
        <v>3</v>
      </c>
      <c r="C179" t="s">
        <v>17</v>
      </c>
      <c r="D179" t="s">
        <v>18</v>
      </c>
      <c r="E179" t="s">
        <v>100</v>
      </c>
      <c r="F179" t="s">
        <v>126</v>
      </c>
      <c r="G179" t="s">
        <v>21</v>
      </c>
      <c r="H179" t="s">
        <v>481</v>
      </c>
      <c r="L179" t="s">
        <v>515</v>
      </c>
      <c r="M179" t="s">
        <v>102</v>
      </c>
      <c r="P179" t="s">
        <v>308</v>
      </c>
    </row>
    <row r="180" spans="1:16" x14ac:dyDescent="0.25">
      <c r="A180" t="s">
        <v>14</v>
      </c>
      <c r="B180">
        <v>2</v>
      </c>
      <c r="C180" t="s">
        <v>41</v>
      </c>
      <c r="D180" t="s">
        <v>164</v>
      </c>
      <c r="E180" t="s">
        <v>319</v>
      </c>
      <c r="G180" t="s">
        <v>38</v>
      </c>
      <c r="H180" t="s">
        <v>511</v>
      </c>
      <c r="L180" t="s">
        <v>508</v>
      </c>
      <c r="M180" t="s">
        <v>320</v>
      </c>
    </row>
    <row r="181" spans="1:16" x14ac:dyDescent="0.25">
      <c r="A181" t="s">
        <v>14</v>
      </c>
      <c r="B181">
        <v>3</v>
      </c>
      <c r="C181" t="s">
        <v>17</v>
      </c>
      <c r="D181" t="s">
        <v>18</v>
      </c>
      <c r="E181" t="s">
        <v>93</v>
      </c>
      <c r="F181" t="s">
        <v>483</v>
      </c>
      <c r="G181" t="s">
        <v>21</v>
      </c>
      <c r="H181" t="s">
        <v>475</v>
      </c>
      <c r="M181" t="s">
        <v>95</v>
      </c>
      <c r="P181" t="s">
        <v>96</v>
      </c>
    </row>
    <row r="182" spans="1:16" x14ac:dyDescent="0.25">
      <c r="A182" t="s">
        <v>14</v>
      </c>
      <c r="B182">
        <v>3</v>
      </c>
      <c r="C182" t="s">
        <v>17</v>
      </c>
      <c r="D182" t="s">
        <v>18</v>
      </c>
      <c r="E182" t="s">
        <v>2</v>
      </c>
      <c r="F182" t="s">
        <v>306</v>
      </c>
      <c r="G182" t="s">
        <v>21</v>
      </c>
      <c r="H182" t="s">
        <v>505</v>
      </c>
      <c r="J182" t="s">
        <v>512</v>
      </c>
      <c r="L182" t="s">
        <v>509</v>
      </c>
      <c r="M182" t="s">
        <v>98</v>
      </c>
      <c r="P182" t="s">
        <v>307</v>
      </c>
    </row>
    <row r="183" spans="1:16" x14ac:dyDescent="0.25">
      <c r="A183" t="s">
        <v>14</v>
      </c>
      <c r="B183">
        <v>3</v>
      </c>
      <c r="C183" t="s">
        <v>17</v>
      </c>
      <c r="D183" t="s">
        <v>36</v>
      </c>
      <c r="E183" t="s">
        <v>100</v>
      </c>
      <c r="F183" t="s">
        <v>126</v>
      </c>
      <c r="G183" t="s">
        <v>38</v>
      </c>
      <c r="H183" t="s">
        <v>481</v>
      </c>
      <c r="L183" t="s">
        <v>510</v>
      </c>
      <c r="M183" t="s">
        <v>102</v>
      </c>
      <c r="P183" t="s">
        <v>308</v>
      </c>
    </row>
    <row r="184" spans="1:16" x14ac:dyDescent="0.25">
      <c r="A184" t="s">
        <v>14</v>
      </c>
      <c r="B184">
        <v>2</v>
      </c>
      <c r="C184" t="s">
        <v>41</v>
      </c>
      <c r="D184" t="s">
        <v>164</v>
      </c>
      <c r="E184" t="s">
        <v>321</v>
      </c>
      <c r="G184" t="s">
        <v>38</v>
      </c>
      <c r="H184" t="s">
        <v>494</v>
      </c>
      <c r="L184" t="s">
        <v>493</v>
      </c>
      <c r="M184" t="s">
        <v>322</v>
      </c>
    </row>
    <row r="185" spans="1:16" x14ac:dyDescent="0.25">
      <c r="A185" t="s">
        <v>14</v>
      </c>
      <c r="B185">
        <v>3</v>
      </c>
      <c r="C185" t="s">
        <v>17</v>
      </c>
      <c r="D185" t="s">
        <v>18</v>
      </c>
      <c r="E185" t="s">
        <v>93</v>
      </c>
      <c r="F185" t="s">
        <v>483</v>
      </c>
      <c r="G185" t="s">
        <v>21</v>
      </c>
      <c r="H185" t="s">
        <v>475</v>
      </c>
      <c r="M185" t="s">
        <v>95</v>
      </c>
      <c r="P185" t="s">
        <v>96</v>
      </c>
    </row>
    <row r="186" spans="1:16" x14ac:dyDescent="0.25">
      <c r="A186" t="s">
        <v>14</v>
      </c>
      <c r="B186">
        <v>3</v>
      </c>
      <c r="C186" t="s">
        <v>17</v>
      </c>
      <c r="D186" t="s">
        <v>18</v>
      </c>
      <c r="E186" t="s">
        <v>323</v>
      </c>
      <c r="F186" t="s">
        <v>324</v>
      </c>
      <c r="G186" t="s">
        <v>21</v>
      </c>
      <c r="H186" t="s">
        <v>497</v>
      </c>
      <c r="L186" t="s">
        <v>495</v>
      </c>
      <c r="M186" t="s">
        <v>325</v>
      </c>
      <c r="P186" t="s">
        <v>326</v>
      </c>
    </row>
    <row r="187" spans="1:16" x14ac:dyDescent="0.25">
      <c r="A187" t="s">
        <v>14</v>
      </c>
      <c r="B187">
        <v>3</v>
      </c>
      <c r="C187" t="s">
        <v>17</v>
      </c>
      <c r="D187" t="s">
        <v>36</v>
      </c>
      <c r="E187" t="s">
        <v>327</v>
      </c>
      <c r="F187" t="s">
        <v>328</v>
      </c>
      <c r="G187" t="s">
        <v>38</v>
      </c>
      <c r="L187" t="s">
        <v>496</v>
      </c>
      <c r="M187" t="s">
        <v>329</v>
      </c>
      <c r="P187" t="s">
        <v>330</v>
      </c>
    </row>
    <row r="188" spans="1:16" x14ac:dyDescent="0.25">
      <c r="A188" t="s">
        <v>14</v>
      </c>
      <c r="B188">
        <v>2</v>
      </c>
      <c r="C188" t="s">
        <v>41</v>
      </c>
      <c r="D188" t="s">
        <v>36</v>
      </c>
      <c r="E188" t="s">
        <v>331</v>
      </c>
      <c r="G188" t="s">
        <v>450</v>
      </c>
      <c r="H188" t="s">
        <v>604</v>
      </c>
      <c r="I188" t="s">
        <v>603</v>
      </c>
      <c r="L188" t="s">
        <v>600</v>
      </c>
      <c r="M188" t="s">
        <v>332</v>
      </c>
    </row>
    <row r="189" spans="1:16" x14ac:dyDescent="0.25">
      <c r="A189" t="s">
        <v>14</v>
      </c>
      <c r="B189">
        <v>3</v>
      </c>
      <c r="C189" t="s">
        <v>17</v>
      </c>
      <c r="D189" t="s">
        <v>18</v>
      </c>
      <c r="E189" t="s">
        <v>333</v>
      </c>
      <c r="F189" t="s">
        <v>334</v>
      </c>
      <c r="G189" t="s">
        <v>21</v>
      </c>
      <c r="J189" t="s">
        <v>602</v>
      </c>
      <c r="L189" t="s">
        <v>601</v>
      </c>
      <c r="M189" t="s">
        <v>335</v>
      </c>
      <c r="P189" t="s">
        <v>336</v>
      </c>
    </row>
    <row r="190" spans="1:16" x14ac:dyDescent="0.25">
      <c r="A190" t="s">
        <v>14</v>
      </c>
      <c r="B190">
        <v>2</v>
      </c>
      <c r="C190" t="s">
        <v>41</v>
      </c>
      <c r="D190" t="s">
        <v>337</v>
      </c>
      <c r="E190" t="s">
        <v>338</v>
      </c>
      <c r="G190" t="s">
        <v>21</v>
      </c>
      <c r="M190" t="s">
        <v>339</v>
      </c>
    </row>
    <row r="191" spans="1:16" x14ac:dyDescent="0.25">
      <c r="A191" t="s">
        <v>14</v>
      </c>
      <c r="B191">
        <v>3</v>
      </c>
      <c r="C191" t="s">
        <v>17</v>
      </c>
      <c r="D191" t="s">
        <v>18</v>
      </c>
      <c r="E191" t="s">
        <v>93</v>
      </c>
      <c r="F191" t="s">
        <v>504</v>
      </c>
      <c r="G191" t="s">
        <v>21</v>
      </c>
      <c r="M191" t="s">
        <v>95</v>
      </c>
      <c r="P191" t="s">
        <v>96</v>
      </c>
    </row>
    <row r="192" spans="1:16" x14ac:dyDescent="0.25">
      <c r="A192" t="s">
        <v>14</v>
      </c>
      <c r="B192">
        <v>3</v>
      </c>
      <c r="C192" t="s">
        <v>17</v>
      </c>
      <c r="D192" t="s">
        <v>36</v>
      </c>
      <c r="E192" t="s">
        <v>184</v>
      </c>
      <c r="F192" t="s">
        <v>140</v>
      </c>
      <c r="G192" t="s">
        <v>450</v>
      </c>
      <c r="H192" t="s">
        <v>611</v>
      </c>
      <c r="I192" t="s">
        <v>610</v>
      </c>
      <c r="J192" t="s">
        <v>606</v>
      </c>
      <c r="L192" t="s">
        <v>609</v>
      </c>
      <c r="M192" t="s">
        <v>185</v>
      </c>
      <c r="P192" t="s">
        <v>186</v>
      </c>
    </row>
    <row r="193" spans="1:16" x14ac:dyDescent="0.25">
      <c r="A193" t="s">
        <v>14</v>
      </c>
      <c r="B193">
        <v>3</v>
      </c>
      <c r="C193" t="s">
        <v>17</v>
      </c>
      <c r="D193" t="s">
        <v>36</v>
      </c>
      <c r="E193" t="s">
        <v>187</v>
      </c>
      <c r="F193" t="s">
        <v>140</v>
      </c>
      <c r="G193" t="s">
        <v>450</v>
      </c>
      <c r="H193" t="s">
        <v>608</v>
      </c>
      <c r="I193" t="s">
        <v>607</v>
      </c>
      <c r="J193" t="s">
        <v>606</v>
      </c>
      <c r="L193" t="s">
        <v>605</v>
      </c>
      <c r="M193" t="s">
        <v>188</v>
      </c>
      <c r="P193" t="s">
        <v>189</v>
      </c>
    </row>
    <row r="194" spans="1:16" x14ac:dyDescent="0.25">
      <c r="A194" t="s">
        <v>14</v>
      </c>
      <c r="B194">
        <v>3</v>
      </c>
      <c r="C194" t="s">
        <v>17</v>
      </c>
      <c r="D194" t="s">
        <v>18</v>
      </c>
      <c r="E194" t="s">
        <v>198</v>
      </c>
      <c r="F194" t="s">
        <v>199</v>
      </c>
      <c r="G194" t="s">
        <v>21</v>
      </c>
      <c r="H194" t="s">
        <v>693</v>
      </c>
      <c r="L194" t="s">
        <v>692</v>
      </c>
      <c r="M194" t="s">
        <v>200</v>
      </c>
      <c r="P194" t="s">
        <v>201</v>
      </c>
    </row>
    <row r="195" spans="1:16" x14ac:dyDescent="0.25">
      <c r="A195" t="s">
        <v>14</v>
      </c>
      <c r="B195">
        <v>3</v>
      </c>
      <c r="C195" t="s">
        <v>17</v>
      </c>
      <c r="D195" t="s">
        <v>36</v>
      </c>
      <c r="E195" t="s">
        <v>202</v>
      </c>
      <c r="F195" t="s">
        <v>203</v>
      </c>
      <c r="G195" t="s">
        <v>450</v>
      </c>
      <c r="H195" t="s">
        <v>523</v>
      </c>
      <c r="I195" t="s">
        <v>522</v>
      </c>
      <c r="L195" t="s">
        <v>521</v>
      </c>
      <c r="M195" t="s">
        <v>204</v>
      </c>
      <c r="P195" t="s">
        <v>205</v>
      </c>
    </row>
    <row r="196" spans="1:16" x14ac:dyDescent="0.25">
      <c r="A196" t="s">
        <v>14</v>
      </c>
      <c r="B196">
        <v>3</v>
      </c>
      <c r="C196" t="s">
        <v>41</v>
      </c>
      <c r="D196" t="s">
        <v>36</v>
      </c>
      <c r="E196" t="s">
        <v>208</v>
      </c>
      <c r="G196" t="s">
        <v>450</v>
      </c>
      <c r="H196" t="s">
        <v>539</v>
      </c>
      <c r="I196" t="s">
        <v>538</v>
      </c>
      <c r="L196" t="s">
        <v>534</v>
      </c>
      <c r="M196" t="s">
        <v>208</v>
      </c>
    </row>
    <row r="197" spans="1:16" x14ac:dyDescent="0.25">
      <c r="A197" t="s">
        <v>14</v>
      </c>
      <c r="B197">
        <v>4</v>
      </c>
      <c r="C197" t="s">
        <v>17</v>
      </c>
      <c r="D197" t="s">
        <v>36</v>
      </c>
      <c r="E197" t="s">
        <v>119</v>
      </c>
      <c r="F197" t="s">
        <v>120</v>
      </c>
      <c r="G197" t="s">
        <v>38</v>
      </c>
      <c r="H197" t="s">
        <v>537</v>
      </c>
      <c r="L197" t="s">
        <v>535</v>
      </c>
      <c r="M197" t="s">
        <v>121</v>
      </c>
      <c r="P197" t="s">
        <v>122</v>
      </c>
    </row>
    <row r="198" spans="1:16" x14ac:dyDescent="0.25">
      <c r="A198" t="s">
        <v>14</v>
      </c>
      <c r="B198">
        <v>4</v>
      </c>
      <c r="C198" t="s">
        <v>17</v>
      </c>
      <c r="D198" t="s">
        <v>36</v>
      </c>
      <c r="E198" t="s">
        <v>4</v>
      </c>
      <c r="F198" t="s">
        <v>126</v>
      </c>
      <c r="G198" t="s">
        <v>450</v>
      </c>
      <c r="I198" t="s">
        <v>541</v>
      </c>
      <c r="L198" t="s">
        <v>536</v>
      </c>
      <c r="M198" t="s">
        <v>127</v>
      </c>
      <c r="P198" t="s">
        <v>128</v>
      </c>
    </row>
    <row r="199" spans="1:16" x14ac:dyDescent="0.25">
      <c r="A199" t="s">
        <v>14</v>
      </c>
      <c r="B199">
        <v>4</v>
      </c>
      <c r="C199" t="s">
        <v>41</v>
      </c>
      <c r="D199" t="s">
        <v>36</v>
      </c>
      <c r="E199" t="s">
        <v>129</v>
      </c>
      <c r="G199" t="s">
        <v>450</v>
      </c>
      <c r="I199" t="s">
        <v>541</v>
      </c>
      <c r="L199" t="s">
        <v>540</v>
      </c>
      <c r="M199" t="s">
        <v>129</v>
      </c>
    </row>
    <row r="200" spans="1:16" x14ac:dyDescent="0.25">
      <c r="A200" t="s">
        <v>14</v>
      </c>
      <c r="B200">
        <v>5</v>
      </c>
      <c r="C200" t="s">
        <v>17</v>
      </c>
      <c r="D200" t="s">
        <v>18</v>
      </c>
      <c r="E200" t="s">
        <v>130</v>
      </c>
      <c r="F200" t="s">
        <v>126</v>
      </c>
      <c r="G200" t="s">
        <v>21</v>
      </c>
      <c r="L200" t="s">
        <v>542</v>
      </c>
      <c r="M200" t="s">
        <v>131</v>
      </c>
      <c r="P200" t="s">
        <v>132</v>
      </c>
    </row>
    <row r="201" spans="1:16" x14ac:dyDescent="0.25">
      <c r="A201" t="s">
        <v>14</v>
      </c>
      <c r="B201">
        <v>5</v>
      </c>
      <c r="C201" t="s">
        <v>17</v>
      </c>
      <c r="D201" t="s">
        <v>36</v>
      </c>
      <c r="E201" t="s">
        <v>133</v>
      </c>
      <c r="F201" t="s">
        <v>120</v>
      </c>
      <c r="G201" t="s">
        <v>450</v>
      </c>
      <c r="I201" t="s">
        <v>544</v>
      </c>
      <c r="L201" t="s">
        <v>543</v>
      </c>
      <c r="M201" t="s">
        <v>134</v>
      </c>
      <c r="P201" t="s">
        <v>135</v>
      </c>
    </row>
    <row r="202" spans="1:16" x14ac:dyDescent="0.25">
      <c r="A202" t="s">
        <v>14</v>
      </c>
      <c r="B202">
        <v>5</v>
      </c>
      <c r="C202" t="s">
        <v>17</v>
      </c>
      <c r="D202" t="s">
        <v>18</v>
      </c>
      <c r="E202" t="s">
        <v>136</v>
      </c>
      <c r="F202" t="s">
        <v>101</v>
      </c>
      <c r="G202" t="s">
        <v>21</v>
      </c>
      <c r="L202" t="s">
        <v>545</v>
      </c>
      <c r="M202" t="s">
        <v>137</v>
      </c>
      <c r="P202" t="s">
        <v>138</v>
      </c>
    </row>
    <row r="203" spans="1:16" x14ac:dyDescent="0.25">
      <c r="A203" t="s">
        <v>14</v>
      </c>
      <c r="B203">
        <v>5</v>
      </c>
      <c r="C203" t="s">
        <v>17</v>
      </c>
      <c r="D203" t="s">
        <v>18</v>
      </c>
      <c r="E203" t="s">
        <v>139</v>
      </c>
      <c r="F203" t="s">
        <v>140</v>
      </c>
      <c r="G203" t="s">
        <v>21</v>
      </c>
      <c r="J203" t="s">
        <v>547</v>
      </c>
      <c r="L203" t="s">
        <v>546</v>
      </c>
      <c r="M203" t="s">
        <v>141</v>
      </c>
      <c r="P203" t="s">
        <v>142</v>
      </c>
    </row>
    <row r="204" spans="1:16" x14ac:dyDescent="0.25">
      <c r="A204" t="s">
        <v>14</v>
      </c>
      <c r="B204">
        <v>4</v>
      </c>
      <c r="C204" t="s">
        <v>41</v>
      </c>
      <c r="D204" t="s">
        <v>36</v>
      </c>
      <c r="E204" t="s">
        <v>143</v>
      </c>
      <c r="G204" t="s">
        <v>38</v>
      </c>
      <c r="H204" t="s">
        <v>549</v>
      </c>
      <c r="L204" t="s">
        <v>548</v>
      </c>
      <c r="M204" t="s">
        <v>144</v>
      </c>
    </row>
    <row r="205" spans="1:16" x14ac:dyDescent="0.25">
      <c r="A205" t="s">
        <v>14</v>
      </c>
      <c r="B205">
        <v>5</v>
      </c>
      <c r="C205" t="s">
        <v>17</v>
      </c>
      <c r="D205" t="s">
        <v>18</v>
      </c>
      <c r="E205" t="s">
        <v>4</v>
      </c>
      <c r="F205" t="s">
        <v>126</v>
      </c>
      <c r="G205" t="s">
        <v>21</v>
      </c>
      <c r="L205" t="s">
        <v>550</v>
      </c>
      <c r="M205" t="s">
        <v>127</v>
      </c>
      <c r="P205" t="s">
        <v>128</v>
      </c>
    </row>
    <row r="206" spans="1:16" x14ac:dyDescent="0.25">
      <c r="A206" t="s">
        <v>14</v>
      </c>
      <c r="B206">
        <v>5</v>
      </c>
      <c r="C206" t="s">
        <v>17</v>
      </c>
      <c r="D206" t="s">
        <v>18</v>
      </c>
      <c r="E206" t="s">
        <v>145</v>
      </c>
      <c r="F206" t="s">
        <v>20</v>
      </c>
      <c r="G206" t="s">
        <v>21</v>
      </c>
      <c r="L206" t="s">
        <v>551</v>
      </c>
      <c r="M206" t="s">
        <v>146</v>
      </c>
      <c r="P206" t="s">
        <v>147</v>
      </c>
    </row>
    <row r="207" spans="1:16" x14ac:dyDescent="0.25">
      <c r="A207" t="s">
        <v>14</v>
      </c>
      <c r="B207">
        <v>5</v>
      </c>
      <c r="C207" t="s">
        <v>17</v>
      </c>
      <c r="D207" t="s">
        <v>36</v>
      </c>
      <c r="E207" t="s">
        <v>148</v>
      </c>
      <c r="F207" t="s">
        <v>149</v>
      </c>
      <c r="G207" t="s">
        <v>38</v>
      </c>
      <c r="H207" t="s">
        <v>458</v>
      </c>
      <c r="L207" t="s">
        <v>552</v>
      </c>
      <c r="M207" t="s">
        <v>150</v>
      </c>
      <c r="P207" t="s">
        <v>151</v>
      </c>
    </row>
    <row r="208" spans="1:16" x14ac:dyDescent="0.25">
      <c r="A208" t="s">
        <v>14</v>
      </c>
      <c r="B208">
        <v>3</v>
      </c>
      <c r="C208" t="s">
        <v>41</v>
      </c>
      <c r="D208" t="s">
        <v>36</v>
      </c>
      <c r="E208" t="s">
        <v>209</v>
      </c>
      <c r="G208" t="s">
        <v>450</v>
      </c>
      <c r="H208" t="s">
        <v>557</v>
      </c>
      <c r="I208" t="s">
        <v>556</v>
      </c>
      <c r="L208" t="s">
        <v>553</v>
      </c>
      <c r="M208" t="s">
        <v>209</v>
      </c>
    </row>
    <row r="209" spans="1:16" x14ac:dyDescent="0.25">
      <c r="A209" t="s">
        <v>14</v>
      </c>
      <c r="B209">
        <v>4</v>
      </c>
      <c r="C209" t="s">
        <v>17</v>
      </c>
      <c r="D209" t="s">
        <v>36</v>
      </c>
      <c r="E209" t="s">
        <v>119</v>
      </c>
      <c r="F209" t="s">
        <v>120</v>
      </c>
      <c r="G209" t="s">
        <v>38</v>
      </c>
      <c r="H209" t="s">
        <v>558</v>
      </c>
      <c r="L209" t="s">
        <v>554</v>
      </c>
      <c r="M209" t="s">
        <v>121</v>
      </c>
      <c r="P209" t="s">
        <v>122</v>
      </c>
    </row>
    <row r="210" spans="1:16" x14ac:dyDescent="0.25">
      <c r="A210" t="s">
        <v>14</v>
      </c>
      <c r="B210">
        <v>4</v>
      </c>
      <c r="C210" t="s">
        <v>17</v>
      </c>
      <c r="D210" t="s">
        <v>36</v>
      </c>
      <c r="E210" t="s">
        <v>4</v>
      </c>
      <c r="F210" t="s">
        <v>126</v>
      </c>
      <c r="G210" t="s">
        <v>450</v>
      </c>
      <c r="I210" t="s">
        <v>541</v>
      </c>
      <c r="L210" t="s">
        <v>555</v>
      </c>
      <c r="M210" t="s">
        <v>127</v>
      </c>
      <c r="P210" t="s">
        <v>128</v>
      </c>
    </row>
    <row r="211" spans="1:16" x14ac:dyDescent="0.25">
      <c r="A211" t="s">
        <v>14</v>
      </c>
      <c r="B211">
        <v>4</v>
      </c>
      <c r="C211" t="s">
        <v>41</v>
      </c>
      <c r="D211" t="s">
        <v>36</v>
      </c>
      <c r="E211" t="s">
        <v>129</v>
      </c>
      <c r="G211" t="s">
        <v>450</v>
      </c>
      <c r="I211" t="s">
        <v>541</v>
      </c>
      <c r="L211" t="s">
        <v>559</v>
      </c>
      <c r="M211" t="s">
        <v>129</v>
      </c>
    </row>
    <row r="212" spans="1:16" x14ac:dyDescent="0.25">
      <c r="A212" t="s">
        <v>14</v>
      </c>
      <c r="B212">
        <v>5</v>
      </c>
      <c r="C212" t="s">
        <v>17</v>
      </c>
      <c r="D212" t="s">
        <v>18</v>
      </c>
      <c r="E212" t="s">
        <v>130</v>
      </c>
      <c r="F212" t="s">
        <v>126</v>
      </c>
      <c r="G212" t="s">
        <v>21</v>
      </c>
      <c r="L212" t="s">
        <v>560</v>
      </c>
      <c r="M212" t="s">
        <v>131</v>
      </c>
      <c r="P212" t="s">
        <v>132</v>
      </c>
    </row>
    <row r="213" spans="1:16" x14ac:dyDescent="0.25">
      <c r="A213" t="s">
        <v>14</v>
      </c>
      <c r="B213">
        <v>5</v>
      </c>
      <c r="C213" t="s">
        <v>17</v>
      </c>
      <c r="D213" t="s">
        <v>36</v>
      </c>
      <c r="E213" t="s">
        <v>133</v>
      </c>
      <c r="F213" t="s">
        <v>120</v>
      </c>
      <c r="G213" t="s">
        <v>450</v>
      </c>
      <c r="I213" t="s">
        <v>544</v>
      </c>
      <c r="L213" t="s">
        <v>561</v>
      </c>
      <c r="M213" t="s">
        <v>134</v>
      </c>
      <c r="P213" t="s">
        <v>135</v>
      </c>
    </row>
    <row r="214" spans="1:16" x14ac:dyDescent="0.25">
      <c r="A214" t="s">
        <v>14</v>
      </c>
      <c r="B214">
        <v>5</v>
      </c>
      <c r="C214" t="s">
        <v>17</v>
      </c>
      <c r="D214" t="s">
        <v>18</v>
      </c>
      <c r="E214" t="s">
        <v>136</v>
      </c>
      <c r="F214" t="s">
        <v>101</v>
      </c>
      <c r="G214" t="s">
        <v>21</v>
      </c>
      <c r="L214" t="s">
        <v>562</v>
      </c>
      <c r="M214" t="s">
        <v>137</v>
      </c>
      <c r="P214" t="s">
        <v>138</v>
      </c>
    </row>
    <row r="215" spans="1:16" x14ac:dyDescent="0.25">
      <c r="A215" t="s">
        <v>14</v>
      </c>
      <c r="B215">
        <v>5</v>
      </c>
      <c r="C215" t="s">
        <v>17</v>
      </c>
      <c r="D215" t="s">
        <v>18</v>
      </c>
      <c r="E215" t="s">
        <v>139</v>
      </c>
      <c r="F215" t="s">
        <v>140</v>
      </c>
      <c r="G215" t="s">
        <v>21</v>
      </c>
      <c r="J215" t="s">
        <v>547</v>
      </c>
      <c r="L215" t="s">
        <v>563</v>
      </c>
      <c r="M215" t="s">
        <v>141</v>
      </c>
      <c r="P215" t="s">
        <v>142</v>
      </c>
    </row>
    <row r="216" spans="1:16" x14ac:dyDescent="0.25">
      <c r="A216" t="s">
        <v>14</v>
      </c>
      <c r="B216">
        <v>3</v>
      </c>
      <c r="C216" t="s">
        <v>41</v>
      </c>
      <c r="D216" t="s">
        <v>164</v>
      </c>
      <c r="E216" t="s">
        <v>210</v>
      </c>
      <c r="G216" t="s">
        <v>38</v>
      </c>
      <c r="H216" t="s">
        <v>467</v>
      </c>
      <c r="L216" t="s">
        <v>596</v>
      </c>
      <c r="M216" t="s">
        <v>211</v>
      </c>
    </row>
    <row r="217" spans="1:16" x14ac:dyDescent="0.25">
      <c r="A217" t="s">
        <v>14</v>
      </c>
      <c r="B217">
        <v>4</v>
      </c>
      <c r="C217" t="s">
        <v>17</v>
      </c>
      <c r="D217" t="s">
        <v>18</v>
      </c>
      <c r="E217" t="s">
        <v>93</v>
      </c>
      <c r="F217" t="s">
        <v>483</v>
      </c>
      <c r="G217" t="s">
        <v>21</v>
      </c>
      <c r="H217" t="s">
        <v>475</v>
      </c>
      <c r="M217" t="s">
        <v>95</v>
      </c>
      <c r="P217" t="s">
        <v>96</v>
      </c>
    </row>
    <row r="218" spans="1:16" x14ac:dyDescent="0.25">
      <c r="A218" t="s">
        <v>14</v>
      </c>
      <c r="B218">
        <v>4</v>
      </c>
      <c r="C218" t="s">
        <v>17</v>
      </c>
      <c r="D218" t="s">
        <v>18</v>
      </c>
      <c r="E218" t="s">
        <v>212</v>
      </c>
      <c r="F218" t="s">
        <v>213</v>
      </c>
      <c r="G218" t="s">
        <v>21</v>
      </c>
      <c r="J218" t="s">
        <v>599</v>
      </c>
      <c r="L218" t="s">
        <v>598</v>
      </c>
      <c r="M218" t="s">
        <v>214</v>
      </c>
      <c r="P218" t="s">
        <v>215</v>
      </c>
    </row>
    <row r="219" spans="1:16" x14ac:dyDescent="0.25">
      <c r="A219" t="s">
        <v>14</v>
      </c>
      <c r="B219">
        <v>4</v>
      </c>
      <c r="C219" t="s">
        <v>17</v>
      </c>
      <c r="D219" t="s">
        <v>18</v>
      </c>
      <c r="E219" t="s">
        <v>119</v>
      </c>
      <c r="F219" t="s">
        <v>140</v>
      </c>
      <c r="G219" t="s">
        <v>21</v>
      </c>
      <c r="H219" t="s">
        <v>595</v>
      </c>
      <c r="L219" t="s">
        <v>597</v>
      </c>
      <c r="M219" t="s">
        <v>121</v>
      </c>
      <c r="P219" t="s">
        <v>207</v>
      </c>
    </row>
    <row r="220" spans="1:16" x14ac:dyDescent="0.25">
      <c r="A220" t="s">
        <v>14</v>
      </c>
      <c r="B220">
        <v>3</v>
      </c>
      <c r="C220" t="s">
        <v>41</v>
      </c>
      <c r="D220" t="s">
        <v>274</v>
      </c>
      <c r="E220" t="s">
        <v>275</v>
      </c>
      <c r="G220" t="s">
        <v>450</v>
      </c>
      <c r="H220" t="s">
        <v>731</v>
      </c>
      <c r="I220" t="s">
        <v>730</v>
      </c>
      <c r="L220" t="s">
        <v>716</v>
      </c>
      <c r="M220" t="s">
        <v>276</v>
      </c>
    </row>
    <row r="221" spans="1:16" x14ac:dyDescent="0.25">
      <c r="A221" t="s">
        <v>14</v>
      </c>
      <c r="B221">
        <v>4</v>
      </c>
      <c r="C221" t="s">
        <v>17</v>
      </c>
      <c r="D221" t="s">
        <v>18</v>
      </c>
      <c r="E221" t="s">
        <v>93</v>
      </c>
      <c r="F221" t="s">
        <v>717</v>
      </c>
      <c r="G221" t="s">
        <v>21</v>
      </c>
      <c r="H221" t="s">
        <v>475</v>
      </c>
      <c r="M221" t="s">
        <v>95</v>
      </c>
      <c r="P221" t="s">
        <v>96</v>
      </c>
    </row>
    <row r="222" spans="1:16" x14ac:dyDescent="0.25">
      <c r="A222" t="s">
        <v>14</v>
      </c>
      <c r="B222">
        <v>4</v>
      </c>
      <c r="C222" t="s">
        <v>17</v>
      </c>
      <c r="D222" t="s">
        <v>18</v>
      </c>
      <c r="E222" t="s">
        <v>277</v>
      </c>
      <c r="F222" t="s">
        <v>278</v>
      </c>
      <c r="G222" t="s">
        <v>21</v>
      </c>
      <c r="H222" t="s">
        <v>785</v>
      </c>
      <c r="J222" t="s">
        <v>732</v>
      </c>
      <c r="L222" t="s">
        <v>727</v>
      </c>
      <c r="M222" t="s">
        <v>279</v>
      </c>
      <c r="P222" t="s">
        <v>280</v>
      </c>
    </row>
    <row r="223" spans="1:16" x14ac:dyDescent="0.25">
      <c r="A223" t="s">
        <v>14</v>
      </c>
      <c r="B223">
        <v>4</v>
      </c>
      <c r="C223" t="s">
        <v>17</v>
      </c>
      <c r="D223" t="s">
        <v>18</v>
      </c>
      <c r="E223" t="s">
        <v>119</v>
      </c>
      <c r="F223" t="s">
        <v>101</v>
      </c>
      <c r="G223" t="s">
        <v>21</v>
      </c>
      <c r="H223" t="s">
        <v>735</v>
      </c>
      <c r="L223" t="s">
        <v>728</v>
      </c>
      <c r="M223" t="s">
        <v>121</v>
      </c>
      <c r="P223" t="s">
        <v>281</v>
      </c>
    </row>
    <row r="224" spans="1:16" x14ac:dyDescent="0.25">
      <c r="A224" t="s">
        <v>14</v>
      </c>
      <c r="B224">
        <v>4</v>
      </c>
      <c r="C224" t="s">
        <v>17</v>
      </c>
      <c r="D224" t="s">
        <v>18</v>
      </c>
      <c r="E224" t="s">
        <v>282</v>
      </c>
      <c r="F224" t="s">
        <v>140</v>
      </c>
      <c r="G224" t="s">
        <v>21</v>
      </c>
      <c r="H224" t="s">
        <v>734</v>
      </c>
      <c r="J224" t="s">
        <v>733</v>
      </c>
      <c r="L224" t="s">
        <v>729</v>
      </c>
      <c r="M224" t="s">
        <v>283</v>
      </c>
      <c r="P224" t="s">
        <v>284</v>
      </c>
    </row>
    <row r="225" spans="1:16" x14ac:dyDescent="0.25">
      <c r="A225" t="s">
        <v>14</v>
      </c>
      <c r="B225">
        <v>3</v>
      </c>
      <c r="C225" t="s">
        <v>41</v>
      </c>
      <c r="D225" t="s">
        <v>164</v>
      </c>
      <c r="E225" t="s">
        <v>304</v>
      </c>
      <c r="G225" t="s">
        <v>38</v>
      </c>
      <c r="L225" t="s">
        <v>477</v>
      </c>
      <c r="M225" t="s">
        <v>305</v>
      </c>
    </row>
    <row r="226" spans="1:16" x14ac:dyDescent="0.25">
      <c r="A226" t="s">
        <v>14</v>
      </c>
      <c r="B226">
        <v>4</v>
      </c>
      <c r="C226" t="s">
        <v>17</v>
      </c>
      <c r="D226" t="s">
        <v>18</v>
      </c>
      <c r="E226" t="s">
        <v>93</v>
      </c>
      <c r="F226" t="s">
        <v>483</v>
      </c>
      <c r="G226" t="s">
        <v>21</v>
      </c>
      <c r="H226" t="s">
        <v>475</v>
      </c>
      <c r="M226" t="s">
        <v>95</v>
      </c>
      <c r="P226" t="s">
        <v>96</v>
      </c>
    </row>
    <row r="227" spans="1:16" x14ac:dyDescent="0.25">
      <c r="A227" t="s">
        <v>14</v>
      </c>
      <c r="B227">
        <v>4</v>
      </c>
      <c r="C227" t="s">
        <v>17</v>
      </c>
      <c r="D227" t="s">
        <v>18</v>
      </c>
      <c r="E227" t="s">
        <v>2</v>
      </c>
      <c r="F227" t="s">
        <v>306</v>
      </c>
      <c r="G227" t="s">
        <v>21</v>
      </c>
      <c r="H227" t="s">
        <v>479</v>
      </c>
      <c r="J227" t="s">
        <v>478</v>
      </c>
      <c r="L227" t="s">
        <v>476</v>
      </c>
      <c r="M227" t="s">
        <v>98</v>
      </c>
      <c r="P227" t="s">
        <v>307</v>
      </c>
    </row>
    <row r="228" spans="1:16" x14ac:dyDescent="0.25">
      <c r="A228" t="s">
        <v>14</v>
      </c>
      <c r="B228">
        <v>4</v>
      </c>
      <c r="C228" t="s">
        <v>17</v>
      </c>
      <c r="D228" t="s">
        <v>18</v>
      </c>
      <c r="E228" t="s">
        <v>100</v>
      </c>
      <c r="F228" t="s">
        <v>126</v>
      </c>
      <c r="G228" t="s">
        <v>21</v>
      </c>
      <c r="H228" t="s">
        <v>481</v>
      </c>
      <c r="L228" t="s">
        <v>480</v>
      </c>
      <c r="M228" t="s">
        <v>102</v>
      </c>
      <c r="P228" t="s">
        <v>308</v>
      </c>
    </row>
    <row r="229" spans="1:16" x14ac:dyDescent="0.25">
      <c r="A229" t="s">
        <v>14</v>
      </c>
      <c r="B229">
        <v>4</v>
      </c>
      <c r="C229" t="s">
        <v>17</v>
      </c>
      <c r="D229" t="s">
        <v>36</v>
      </c>
      <c r="E229" t="s">
        <v>309</v>
      </c>
      <c r="F229" t="s">
        <v>101</v>
      </c>
      <c r="G229" t="s">
        <v>38</v>
      </c>
      <c r="L229" t="s">
        <v>482</v>
      </c>
      <c r="M229" t="s">
        <v>310</v>
      </c>
      <c r="P229" t="s">
        <v>311</v>
      </c>
    </row>
    <row r="230" spans="1:16" x14ac:dyDescent="0.25">
      <c r="A230" t="s">
        <v>14</v>
      </c>
      <c r="B230">
        <v>3</v>
      </c>
      <c r="C230" t="s">
        <v>41</v>
      </c>
      <c r="D230" t="s">
        <v>164</v>
      </c>
      <c r="E230" t="s">
        <v>312</v>
      </c>
      <c r="G230" t="s">
        <v>38</v>
      </c>
      <c r="H230" t="s">
        <v>503</v>
      </c>
      <c r="L230" t="s">
        <v>498</v>
      </c>
      <c r="M230" t="s">
        <v>313</v>
      </c>
    </row>
    <row r="231" spans="1:16" x14ac:dyDescent="0.25">
      <c r="A231" t="s">
        <v>14</v>
      </c>
      <c r="B231">
        <v>4</v>
      </c>
      <c r="C231" t="s">
        <v>17</v>
      </c>
      <c r="D231" t="s">
        <v>18</v>
      </c>
      <c r="E231" t="s">
        <v>93</v>
      </c>
      <c r="F231" t="s">
        <v>483</v>
      </c>
      <c r="G231" t="s">
        <v>21</v>
      </c>
      <c r="H231" t="s">
        <v>475</v>
      </c>
      <c r="M231" t="s">
        <v>95</v>
      </c>
      <c r="P231" t="s">
        <v>96</v>
      </c>
    </row>
    <row r="232" spans="1:16" x14ac:dyDescent="0.25">
      <c r="A232" t="s">
        <v>14</v>
      </c>
      <c r="B232">
        <v>4</v>
      </c>
      <c r="C232" t="s">
        <v>17</v>
      </c>
      <c r="D232" t="s">
        <v>18</v>
      </c>
      <c r="E232" t="s">
        <v>2</v>
      </c>
      <c r="F232" t="s">
        <v>306</v>
      </c>
      <c r="G232" t="s">
        <v>21</v>
      </c>
      <c r="H232" t="s">
        <v>505</v>
      </c>
      <c r="J232" t="s">
        <v>507</v>
      </c>
      <c r="L232" t="s">
        <v>500</v>
      </c>
      <c r="M232" t="s">
        <v>98</v>
      </c>
      <c r="P232" t="s">
        <v>307</v>
      </c>
    </row>
    <row r="233" spans="1:16" x14ac:dyDescent="0.25">
      <c r="A233" t="s">
        <v>14</v>
      </c>
      <c r="B233">
        <v>4</v>
      </c>
      <c r="C233" t="s">
        <v>17</v>
      </c>
      <c r="D233" t="s">
        <v>18</v>
      </c>
      <c r="E233" t="s">
        <v>100</v>
      </c>
      <c r="F233" t="s">
        <v>126</v>
      </c>
      <c r="G233" t="s">
        <v>21</v>
      </c>
      <c r="H233" t="s">
        <v>481</v>
      </c>
      <c r="L233" t="s">
        <v>499</v>
      </c>
      <c r="M233" t="s">
        <v>102</v>
      </c>
      <c r="P233" t="s">
        <v>308</v>
      </c>
    </row>
    <row r="234" spans="1:16" x14ac:dyDescent="0.25">
      <c r="A234" t="s">
        <v>14</v>
      </c>
      <c r="B234">
        <v>4</v>
      </c>
      <c r="C234" t="s">
        <v>17</v>
      </c>
      <c r="D234" t="s">
        <v>36</v>
      </c>
      <c r="E234" t="s">
        <v>314</v>
      </c>
      <c r="F234" t="s">
        <v>94</v>
      </c>
      <c r="G234" t="s">
        <v>38</v>
      </c>
      <c r="L234" t="s">
        <v>501</v>
      </c>
      <c r="M234" t="s">
        <v>315</v>
      </c>
      <c r="P234" t="s">
        <v>316</v>
      </c>
    </row>
    <row r="235" spans="1:16" x14ac:dyDescent="0.25">
      <c r="A235" t="s">
        <v>14</v>
      </c>
      <c r="B235">
        <v>4</v>
      </c>
      <c r="C235" t="s">
        <v>17</v>
      </c>
      <c r="D235" t="s">
        <v>36</v>
      </c>
      <c r="E235" t="s">
        <v>309</v>
      </c>
      <c r="F235" t="s">
        <v>101</v>
      </c>
      <c r="G235" t="s">
        <v>38</v>
      </c>
      <c r="L235" t="s">
        <v>502</v>
      </c>
      <c r="M235" t="s">
        <v>310</v>
      </c>
      <c r="P235" t="s">
        <v>311</v>
      </c>
    </row>
    <row r="236" spans="1:16" x14ac:dyDescent="0.25">
      <c r="A236" t="s">
        <v>14</v>
      </c>
      <c r="B236">
        <v>3</v>
      </c>
      <c r="C236" t="s">
        <v>41</v>
      </c>
      <c r="D236" t="s">
        <v>164</v>
      </c>
      <c r="E236" t="s">
        <v>317</v>
      </c>
      <c r="G236" t="s">
        <v>38</v>
      </c>
      <c r="H236" t="s">
        <v>516</v>
      </c>
      <c r="L236" t="s">
        <v>513</v>
      </c>
      <c r="M236" t="s">
        <v>318</v>
      </c>
    </row>
    <row r="237" spans="1:16" x14ac:dyDescent="0.25">
      <c r="A237" t="s">
        <v>14</v>
      </c>
      <c r="B237">
        <v>4</v>
      </c>
      <c r="C237" t="s">
        <v>17</v>
      </c>
      <c r="D237" t="s">
        <v>18</v>
      </c>
      <c r="E237" t="s">
        <v>93</v>
      </c>
      <c r="F237" t="s">
        <v>483</v>
      </c>
      <c r="G237" t="s">
        <v>21</v>
      </c>
      <c r="H237" t="s">
        <v>475</v>
      </c>
      <c r="M237" t="s">
        <v>95</v>
      </c>
      <c r="P237" t="s">
        <v>96</v>
      </c>
    </row>
    <row r="238" spans="1:16" x14ac:dyDescent="0.25">
      <c r="A238" t="s">
        <v>14</v>
      </c>
      <c r="B238">
        <v>4</v>
      </c>
      <c r="C238" t="s">
        <v>17</v>
      </c>
      <c r="D238" t="s">
        <v>18</v>
      </c>
      <c r="E238" t="s">
        <v>2</v>
      </c>
      <c r="F238" t="s">
        <v>306</v>
      </c>
      <c r="G238" t="s">
        <v>21</v>
      </c>
      <c r="H238" t="s">
        <v>505</v>
      </c>
      <c r="J238" t="s">
        <v>517</v>
      </c>
      <c r="L238" t="s">
        <v>514</v>
      </c>
      <c r="M238" t="s">
        <v>98</v>
      </c>
      <c r="P238" t="s">
        <v>307</v>
      </c>
    </row>
    <row r="239" spans="1:16" x14ac:dyDescent="0.25">
      <c r="A239" t="s">
        <v>14</v>
      </c>
      <c r="B239">
        <v>4</v>
      </c>
      <c r="C239" t="s">
        <v>17</v>
      </c>
      <c r="D239" t="s">
        <v>18</v>
      </c>
      <c r="E239" t="s">
        <v>100</v>
      </c>
      <c r="F239" t="s">
        <v>126</v>
      </c>
      <c r="G239" t="s">
        <v>21</v>
      </c>
      <c r="H239" t="s">
        <v>481</v>
      </c>
      <c r="L239" t="s">
        <v>515</v>
      </c>
      <c r="M239" t="s">
        <v>102</v>
      </c>
      <c r="P239" t="s">
        <v>308</v>
      </c>
    </row>
    <row r="240" spans="1:16" x14ac:dyDescent="0.25">
      <c r="A240" t="s">
        <v>14</v>
      </c>
      <c r="B240">
        <v>3</v>
      </c>
      <c r="C240" t="s">
        <v>41</v>
      </c>
      <c r="D240" t="s">
        <v>164</v>
      </c>
      <c r="E240" t="s">
        <v>319</v>
      </c>
      <c r="G240" t="s">
        <v>38</v>
      </c>
      <c r="H240" t="s">
        <v>511</v>
      </c>
      <c r="L240" t="s">
        <v>508</v>
      </c>
      <c r="M240" t="s">
        <v>320</v>
      </c>
    </row>
    <row r="241" spans="1:16" x14ac:dyDescent="0.25">
      <c r="A241" t="s">
        <v>14</v>
      </c>
      <c r="B241">
        <v>4</v>
      </c>
      <c r="C241" t="s">
        <v>17</v>
      </c>
      <c r="D241" t="s">
        <v>18</v>
      </c>
      <c r="E241" t="s">
        <v>93</v>
      </c>
      <c r="F241" t="s">
        <v>483</v>
      </c>
      <c r="G241" t="s">
        <v>21</v>
      </c>
      <c r="H241" t="s">
        <v>475</v>
      </c>
      <c r="M241" t="s">
        <v>95</v>
      </c>
      <c r="P241" t="s">
        <v>96</v>
      </c>
    </row>
    <row r="242" spans="1:16" x14ac:dyDescent="0.25">
      <c r="A242" t="s">
        <v>14</v>
      </c>
      <c r="B242">
        <v>4</v>
      </c>
      <c r="C242" t="s">
        <v>17</v>
      </c>
      <c r="D242" t="s">
        <v>18</v>
      </c>
      <c r="E242" t="s">
        <v>2</v>
      </c>
      <c r="F242" t="s">
        <v>306</v>
      </c>
      <c r="G242" t="s">
        <v>21</v>
      </c>
      <c r="H242" t="s">
        <v>505</v>
      </c>
      <c r="J242" t="s">
        <v>512</v>
      </c>
      <c r="L242" t="s">
        <v>509</v>
      </c>
      <c r="M242" t="s">
        <v>98</v>
      </c>
      <c r="P242" t="s">
        <v>307</v>
      </c>
    </row>
    <row r="243" spans="1:16" x14ac:dyDescent="0.25">
      <c r="A243" t="s">
        <v>14</v>
      </c>
      <c r="B243">
        <v>4</v>
      </c>
      <c r="C243" t="s">
        <v>17</v>
      </c>
      <c r="D243" t="s">
        <v>36</v>
      </c>
      <c r="E243" t="s">
        <v>100</v>
      </c>
      <c r="F243" t="s">
        <v>126</v>
      </c>
      <c r="G243" t="s">
        <v>38</v>
      </c>
      <c r="H243" t="s">
        <v>481</v>
      </c>
      <c r="L243" t="s">
        <v>510</v>
      </c>
      <c r="M243" t="s">
        <v>102</v>
      </c>
      <c r="P243" t="s">
        <v>308</v>
      </c>
    </row>
    <row r="244" spans="1:16" x14ac:dyDescent="0.25">
      <c r="A244" t="s">
        <v>14</v>
      </c>
      <c r="B244">
        <v>3</v>
      </c>
      <c r="C244" t="s">
        <v>41</v>
      </c>
      <c r="D244" t="s">
        <v>164</v>
      </c>
      <c r="E244" t="s">
        <v>321</v>
      </c>
      <c r="G244" t="s">
        <v>38</v>
      </c>
      <c r="H244" t="s">
        <v>467</v>
      </c>
      <c r="L244" t="s">
        <v>493</v>
      </c>
      <c r="M244" t="s">
        <v>322</v>
      </c>
    </row>
    <row r="245" spans="1:16" x14ac:dyDescent="0.25">
      <c r="A245" t="s">
        <v>14</v>
      </c>
      <c r="B245">
        <v>4</v>
      </c>
      <c r="C245" t="s">
        <v>17</v>
      </c>
      <c r="D245" t="s">
        <v>18</v>
      </c>
      <c r="E245" t="s">
        <v>93</v>
      </c>
      <c r="F245" t="s">
        <v>483</v>
      </c>
      <c r="G245" t="s">
        <v>21</v>
      </c>
      <c r="H245" t="s">
        <v>475</v>
      </c>
      <c r="M245" t="s">
        <v>95</v>
      </c>
      <c r="P245" t="s">
        <v>96</v>
      </c>
    </row>
    <row r="246" spans="1:16" x14ac:dyDescent="0.25">
      <c r="A246" t="s">
        <v>14</v>
      </c>
      <c r="B246">
        <v>4</v>
      </c>
      <c r="C246" t="s">
        <v>17</v>
      </c>
      <c r="D246" t="s">
        <v>18</v>
      </c>
      <c r="E246" t="s">
        <v>323</v>
      </c>
      <c r="F246" t="s">
        <v>324</v>
      </c>
      <c r="G246" t="s">
        <v>21</v>
      </c>
      <c r="H246" t="s">
        <v>497</v>
      </c>
      <c r="L246" t="s">
        <v>495</v>
      </c>
      <c r="M246" t="s">
        <v>325</v>
      </c>
      <c r="P246" t="s">
        <v>326</v>
      </c>
    </row>
    <row r="247" spans="1:16" x14ac:dyDescent="0.25">
      <c r="A247" t="s">
        <v>14</v>
      </c>
      <c r="B247">
        <v>4</v>
      </c>
      <c r="C247" t="s">
        <v>17</v>
      </c>
      <c r="D247" t="s">
        <v>36</v>
      </c>
      <c r="E247" t="s">
        <v>327</v>
      </c>
      <c r="F247" t="s">
        <v>328</v>
      </c>
      <c r="G247" t="s">
        <v>38</v>
      </c>
      <c r="L247" t="s">
        <v>496</v>
      </c>
      <c r="M247" t="s">
        <v>329</v>
      </c>
      <c r="P247" t="s">
        <v>330</v>
      </c>
    </row>
    <row r="248" spans="1:16" x14ac:dyDescent="0.25">
      <c r="A248" t="s">
        <v>14</v>
      </c>
      <c r="B248">
        <v>3</v>
      </c>
      <c r="C248" t="s">
        <v>41</v>
      </c>
      <c r="D248" t="s">
        <v>36</v>
      </c>
      <c r="E248" t="s">
        <v>331</v>
      </c>
      <c r="G248" t="s">
        <v>450</v>
      </c>
      <c r="H248" t="s">
        <v>604</v>
      </c>
      <c r="I248" t="s">
        <v>603</v>
      </c>
      <c r="L248" t="s">
        <v>600</v>
      </c>
      <c r="M248" t="s">
        <v>332</v>
      </c>
    </row>
    <row r="249" spans="1:16" x14ac:dyDescent="0.25">
      <c r="A249" t="s">
        <v>14</v>
      </c>
      <c r="B249">
        <v>4</v>
      </c>
      <c r="C249" t="s">
        <v>17</v>
      </c>
      <c r="D249" t="s">
        <v>18</v>
      </c>
      <c r="E249" t="s">
        <v>333</v>
      </c>
      <c r="F249" t="s">
        <v>334</v>
      </c>
      <c r="G249" t="s">
        <v>21</v>
      </c>
      <c r="J249" t="s">
        <v>602</v>
      </c>
      <c r="L249" t="s">
        <v>601</v>
      </c>
      <c r="M249" t="s">
        <v>335</v>
      </c>
      <c r="P249" t="s">
        <v>336</v>
      </c>
    </row>
    <row r="250" spans="1:16" x14ac:dyDescent="0.25">
      <c r="A250" t="s">
        <v>14</v>
      </c>
      <c r="B250">
        <v>3</v>
      </c>
      <c r="C250" t="s">
        <v>41</v>
      </c>
      <c r="D250" t="s">
        <v>340</v>
      </c>
      <c r="E250" t="s">
        <v>341</v>
      </c>
      <c r="G250" t="s">
        <v>21</v>
      </c>
      <c r="L250" t="s">
        <v>464</v>
      </c>
      <c r="M250" t="s">
        <v>342</v>
      </c>
    </row>
    <row r="251" spans="1:16" x14ac:dyDescent="0.25">
      <c r="A251" t="s">
        <v>14</v>
      </c>
      <c r="B251">
        <v>4</v>
      </c>
      <c r="C251" t="s">
        <v>17</v>
      </c>
      <c r="D251" t="s">
        <v>18</v>
      </c>
      <c r="E251" t="s">
        <v>343</v>
      </c>
      <c r="F251" t="s">
        <v>94</v>
      </c>
      <c r="G251" t="s">
        <v>21</v>
      </c>
      <c r="H251" t="s">
        <v>466</v>
      </c>
      <c r="L251" t="s">
        <v>465</v>
      </c>
      <c r="M251" t="s">
        <v>344</v>
      </c>
      <c r="P251" t="s">
        <v>345</v>
      </c>
    </row>
    <row r="252" spans="1:16" x14ac:dyDescent="0.25">
      <c r="A252" t="s">
        <v>14</v>
      </c>
      <c r="B252">
        <v>4</v>
      </c>
      <c r="C252" t="s">
        <v>17</v>
      </c>
      <c r="D252" t="s">
        <v>18</v>
      </c>
      <c r="E252" t="s">
        <v>234</v>
      </c>
      <c r="F252" t="s">
        <v>235</v>
      </c>
      <c r="G252" t="s">
        <v>21</v>
      </c>
      <c r="H252" t="s">
        <v>751</v>
      </c>
      <c r="L252" t="s">
        <v>752</v>
      </c>
      <c r="M252" t="s">
        <v>236</v>
      </c>
      <c r="P252" t="s">
        <v>237</v>
      </c>
    </row>
    <row r="253" spans="1:16" x14ac:dyDescent="0.25">
      <c r="A253" t="s">
        <v>14</v>
      </c>
      <c r="B253">
        <v>4</v>
      </c>
      <c r="C253" t="s">
        <v>17</v>
      </c>
      <c r="D253" t="s">
        <v>36</v>
      </c>
      <c r="E253" t="s">
        <v>52</v>
      </c>
      <c r="F253" t="s">
        <v>53</v>
      </c>
      <c r="G253" t="s">
        <v>38</v>
      </c>
      <c r="L253" t="s">
        <v>460</v>
      </c>
      <c r="M253" t="s">
        <v>54</v>
      </c>
      <c r="P253" t="s">
        <v>55</v>
      </c>
    </row>
    <row r="254" spans="1:16" x14ac:dyDescent="0.25">
      <c r="A254" t="s">
        <v>14</v>
      </c>
      <c r="B254">
        <v>4</v>
      </c>
      <c r="C254" t="s">
        <v>17</v>
      </c>
      <c r="D254" t="s">
        <v>36</v>
      </c>
      <c r="E254" t="s">
        <v>184</v>
      </c>
      <c r="F254" t="s">
        <v>140</v>
      </c>
      <c r="G254" t="s">
        <v>450</v>
      </c>
      <c r="H254" t="s">
        <v>611</v>
      </c>
      <c r="I254" t="s">
        <v>610</v>
      </c>
      <c r="J254" t="s">
        <v>606</v>
      </c>
      <c r="L254" t="s">
        <v>609</v>
      </c>
      <c r="M254" t="s">
        <v>185</v>
      </c>
      <c r="P254" t="s">
        <v>186</v>
      </c>
    </row>
    <row r="255" spans="1:16" x14ac:dyDescent="0.25">
      <c r="A255" t="s">
        <v>14</v>
      </c>
      <c r="B255">
        <v>4</v>
      </c>
      <c r="C255" t="s">
        <v>17</v>
      </c>
      <c r="D255" t="s">
        <v>36</v>
      </c>
      <c r="E255" t="s">
        <v>187</v>
      </c>
      <c r="F255" t="s">
        <v>140</v>
      </c>
      <c r="G255" t="s">
        <v>450</v>
      </c>
      <c r="H255" t="s">
        <v>608</v>
      </c>
      <c r="I255" t="s">
        <v>607</v>
      </c>
      <c r="J255" t="s">
        <v>606</v>
      </c>
      <c r="L255" t="s">
        <v>605</v>
      </c>
      <c r="M255" t="s">
        <v>188</v>
      </c>
      <c r="P255" t="s">
        <v>189</v>
      </c>
    </row>
    <row r="256" spans="1:16" x14ac:dyDescent="0.25">
      <c r="A256" t="s">
        <v>14</v>
      </c>
      <c r="B256">
        <v>4</v>
      </c>
      <c r="C256" t="s">
        <v>17</v>
      </c>
      <c r="D256" t="s">
        <v>36</v>
      </c>
      <c r="E256" t="s">
        <v>202</v>
      </c>
      <c r="F256" t="s">
        <v>203</v>
      </c>
      <c r="G256" t="s">
        <v>450</v>
      </c>
      <c r="H256" t="s">
        <v>523</v>
      </c>
      <c r="I256" t="s">
        <v>522</v>
      </c>
      <c r="L256" t="s">
        <v>521</v>
      </c>
      <c r="M256" t="s">
        <v>204</v>
      </c>
      <c r="P256" t="s">
        <v>205</v>
      </c>
    </row>
    <row r="257" spans="1:16" x14ac:dyDescent="0.25">
      <c r="A257" t="s">
        <v>14</v>
      </c>
      <c r="B257">
        <v>4</v>
      </c>
      <c r="C257" t="s">
        <v>41</v>
      </c>
      <c r="D257" t="s">
        <v>164</v>
      </c>
      <c r="E257" t="s">
        <v>210</v>
      </c>
      <c r="G257" t="s">
        <v>38</v>
      </c>
      <c r="H257" t="s">
        <v>467</v>
      </c>
      <c r="L257" t="s">
        <v>596</v>
      </c>
      <c r="M257" t="s">
        <v>211</v>
      </c>
    </row>
    <row r="258" spans="1:16" x14ac:dyDescent="0.25">
      <c r="A258" t="s">
        <v>14</v>
      </c>
      <c r="B258">
        <v>5</v>
      </c>
      <c r="C258" t="s">
        <v>17</v>
      </c>
      <c r="D258" t="s">
        <v>18</v>
      </c>
      <c r="E258" t="s">
        <v>93</v>
      </c>
      <c r="F258" t="s">
        <v>483</v>
      </c>
      <c r="G258" t="s">
        <v>21</v>
      </c>
      <c r="H258" t="s">
        <v>475</v>
      </c>
      <c r="M258" t="s">
        <v>95</v>
      </c>
      <c r="P258" t="s">
        <v>96</v>
      </c>
    </row>
    <row r="259" spans="1:16" x14ac:dyDescent="0.25">
      <c r="A259" t="s">
        <v>14</v>
      </c>
      <c r="B259">
        <v>5</v>
      </c>
      <c r="C259" t="s">
        <v>17</v>
      </c>
      <c r="D259" t="s">
        <v>18</v>
      </c>
      <c r="E259" t="s">
        <v>212</v>
      </c>
      <c r="F259" t="s">
        <v>213</v>
      </c>
      <c r="G259" t="s">
        <v>21</v>
      </c>
      <c r="J259" t="s">
        <v>599</v>
      </c>
      <c r="L259" t="s">
        <v>598</v>
      </c>
      <c r="M259" t="s">
        <v>214</v>
      </c>
      <c r="P259" t="s">
        <v>215</v>
      </c>
    </row>
    <row r="260" spans="1:16" x14ac:dyDescent="0.25">
      <c r="A260" t="s">
        <v>14</v>
      </c>
      <c r="B260">
        <v>5</v>
      </c>
      <c r="C260" t="s">
        <v>17</v>
      </c>
      <c r="D260" t="s">
        <v>18</v>
      </c>
      <c r="E260" t="s">
        <v>119</v>
      </c>
      <c r="F260" t="s">
        <v>140</v>
      </c>
      <c r="G260" t="s">
        <v>21</v>
      </c>
      <c r="H260" t="s">
        <v>595</v>
      </c>
      <c r="L260" t="s">
        <v>597</v>
      </c>
      <c r="M260" t="s">
        <v>121</v>
      </c>
      <c r="P260" t="s">
        <v>207</v>
      </c>
    </row>
    <row r="261" spans="1:16" x14ac:dyDescent="0.25">
      <c r="A261" t="s">
        <v>14</v>
      </c>
      <c r="B261">
        <v>4</v>
      </c>
      <c r="C261" t="s">
        <v>41</v>
      </c>
      <c r="D261" t="s">
        <v>18</v>
      </c>
      <c r="E261" t="s">
        <v>346</v>
      </c>
      <c r="G261" t="s">
        <v>21</v>
      </c>
      <c r="L261" t="s">
        <v>694</v>
      </c>
      <c r="M261" t="s">
        <v>346</v>
      </c>
    </row>
    <row r="262" spans="1:16" x14ac:dyDescent="0.25">
      <c r="A262" t="s">
        <v>14</v>
      </c>
      <c r="B262">
        <v>5</v>
      </c>
      <c r="C262" t="s">
        <v>17</v>
      </c>
      <c r="D262" t="s">
        <v>18</v>
      </c>
      <c r="E262" t="s">
        <v>347</v>
      </c>
      <c r="F262" t="s">
        <v>328</v>
      </c>
      <c r="G262" t="s">
        <v>21</v>
      </c>
      <c r="L262" t="s">
        <v>695</v>
      </c>
      <c r="M262" t="s">
        <v>348</v>
      </c>
      <c r="P262" t="s">
        <v>349</v>
      </c>
    </row>
    <row r="263" spans="1:16" x14ac:dyDescent="0.25">
      <c r="A263" t="s">
        <v>14</v>
      </c>
      <c r="B263">
        <v>5</v>
      </c>
      <c r="C263" t="s">
        <v>17</v>
      </c>
      <c r="D263" t="s">
        <v>36</v>
      </c>
      <c r="E263" t="s">
        <v>350</v>
      </c>
      <c r="F263" t="s">
        <v>351</v>
      </c>
      <c r="G263" t="s">
        <v>38</v>
      </c>
      <c r="H263" t="s">
        <v>709</v>
      </c>
      <c r="J263" t="s">
        <v>710</v>
      </c>
      <c r="L263" t="s">
        <v>708</v>
      </c>
      <c r="M263" t="s">
        <v>352</v>
      </c>
      <c r="P263" t="s">
        <v>353</v>
      </c>
    </row>
    <row r="264" spans="1:16" x14ac:dyDescent="0.25">
      <c r="A264" t="s">
        <v>14</v>
      </c>
      <c r="B264">
        <v>5</v>
      </c>
      <c r="C264" t="s">
        <v>41</v>
      </c>
      <c r="D264" t="s">
        <v>36</v>
      </c>
      <c r="E264" t="s">
        <v>354</v>
      </c>
      <c r="G264" t="s">
        <v>450</v>
      </c>
      <c r="H264" t="s">
        <v>706</v>
      </c>
      <c r="I264" t="s">
        <v>707</v>
      </c>
      <c r="L264" t="s">
        <v>705</v>
      </c>
      <c r="M264" t="s">
        <v>355</v>
      </c>
    </row>
    <row r="265" spans="1:16" x14ac:dyDescent="0.25">
      <c r="A265" t="s">
        <v>14</v>
      </c>
      <c r="B265">
        <v>6</v>
      </c>
      <c r="C265" t="s">
        <v>17</v>
      </c>
      <c r="D265" t="s">
        <v>18</v>
      </c>
      <c r="E265" t="s">
        <v>356</v>
      </c>
      <c r="F265" t="s">
        <v>357</v>
      </c>
      <c r="G265" t="s">
        <v>21</v>
      </c>
      <c r="J265" t="s">
        <v>712</v>
      </c>
      <c r="L265" t="s">
        <v>711</v>
      </c>
      <c r="M265" t="s">
        <v>358</v>
      </c>
      <c r="P265" t="s">
        <v>359</v>
      </c>
    </row>
    <row r="266" spans="1:16" x14ac:dyDescent="0.25">
      <c r="A266" t="s">
        <v>14</v>
      </c>
      <c r="B266">
        <v>6</v>
      </c>
      <c r="C266" t="s">
        <v>17</v>
      </c>
      <c r="D266" t="s">
        <v>36</v>
      </c>
      <c r="E266" t="s">
        <v>360</v>
      </c>
      <c r="F266" t="s">
        <v>361</v>
      </c>
      <c r="G266" t="s">
        <v>450</v>
      </c>
      <c r="H266" t="s">
        <v>714</v>
      </c>
      <c r="I266" t="s">
        <v>715</v>
      </c>
      <c r="L266" t="s">
        <v>713</v>
      </c>
      <c r="M266" t="s">
        <v>362</v>
      </c>
      <c r="P266" t="s">
        <v>363</v>
      </c>
    </row>
    <row r="267" spans="1:16" x14ac:dyDescent="0.25">
      <c r="A267" t="s">
        <v>14</v>
      </c>
      <c r="B267">
        <v>5</v>
      </c>
      <c r="C267" t="s">
        <v>41</v>
      </c>
      <c r="D267" t="s">
        <v>164</v>
      </c>
      <c r="E267" t="s">
        <v>364</v>
      </c>
      <c r="G267" t="s">
        <v>38</v>
      </c>
      <c r="L267" t="s">
        <v>703</v>
      </c>
      <c r="M267" t="s">
        <v>365</v>
      </c>
    </row>
    <row r="268" spans="1:16" x14ac:dyDescent="0.25">
      <c r="A268" t="s">
        <v>14</v>
      </c>
      <c r="B268">
        <v>6</v>
      </c>
      <c r="C268" t="s">
        <v>17</v>
      </c>
      <c r="D268" t="s">
        <v>18</v>
      </c>
      <c r="E268" t="s">
        <v>93</v>
      </c>
      <c r="F268" t="s">
        <v>483</v>
      </c>
      <c r="G268" t="s">
        <v>21</v>
      </c>
      <c r="M268" t="s">
        <v>95</v>
      </c>
      <c r="P268" t="s">
        <v>96</v>
      </c>
    </row>
    <row r="269" spans="1:16" x14ac:dyDescent="0.25">
      <c r="A269" t="s">
        <v>14</v>
      </c>
      <c r="B269">
        <v>6</v>
      </c>
      <c r="C269" t="s">
        <v>17</v>
      </c>
      <c r="D269" t="s">
        <v>18</v>
      </c>
      <c r="E269" t="s">
        <v>366</v>
      </c>
      <c r="F269" t="s">
        <v>306</v>
      </c>
      <c r="G269" t="s">
        <v>21</v>
      </c>
      <c r="L269" t="s">
        <v>704</v>
      </c>
      <c r="M269" t="s">
        <v>367</v>
      </c>
      <c r="P269" t="s">
        <v>368</v>
      </c>
    </row>
    <row r="270" spans="1:16" x14ac:dyDescent="0.25">
      <c r="A270" t="s">
        <v>14</v>
      </c>
      <c r="B270">
        <v>5</v>
      </c>
      <c r="C270" t="s">
        <v>41</v>
      </c>
      <c r="D270" t="s">
        <v>18</v>
      </c>
      <c r="E270" t="s">
        <v>369</v>
      </c>
      <c r="G270" t="s">
        <v>21</v>
      </c>
      <c r="L270" t="s">
        <v>691</v>
      </c>
      <c r="M270" t="s">
        <v>370</v>
      </c>
    </row>
    <row r="271" spans="1:16" x14ac:dyDescent="0.25">
      <c r="A271" t="s">
        <v>14</v>
      </c>
      <c r="B271">
        <v>6</v>
      </c>
      <c r="C271" t="s">
        <v>17</v>
      </c>
      <c r="D271" t="s">
        <v>18</v>
      </c>
      <c r="E271" t="s">
        <v>198</v>
      </c>
      <c r="F271" t="s">
        <v>371</v>
      </c>
      <c r="G271" t="s">
        <v>21</v>
      </c>
      <c r="H271" t="s">
        <v>693</v>
      </c>
      <c r="L271" t="s">
        <v>692</v>
      </c>
      <c r="M271" t="s">
        <v>200</v>
      </c>
      <c r="P271" t="s">
        <v>372</v>
      </c>
    </row>
    <row r="272" spans="1:16" x14ac:dyDescent="0.25">
      <c r="A272" t="s">
        <v>14</v>
      </c>
      <c r="B272">
        <v>6</v>
      </c>
      <c r="C272" t="s">
        <v>17</v>
      </c>
      <c r="D272" t="s">
        <v>36</v>
      </c>
      <c r="E272" t="s">
        <v>373</v>
      </c>
      <c r="F272" t="s">
        <v>199</v>
      </c>
      <c r="G272" t="s">
        <v>38</v>
      </c>
      <c r="H272" t="s">
        <v>689</v>
      </c>
      <c r="I272" t="s">
        <v>687</v>
      </c>
      <c r="L272" t="s">
        <v>688</v>
      </c>
      <c r="M272" t="s">
        <v>374</v>
      </c>
      <c r="P272" t="s">
        <v>375</v>
      </c>
    </row>
    <row r="273" spans="1:16" x14ac:dyDescent="0.25">
      <c r="A273" t="s">
        <v>14</v>
      </c>
      <c r="B273">
        <v>6</v>
      </c>
      <c r="C273" t="s">
        <v>17</v>
      </c>
      <c r="D273" t="s">
        <v>36</v>
      </c>
      <c r="E273" t="s">
        <v>376</v>
      </c>
      <c r="F273" t="s">
        <v>199</v>
      </c>
      <c r="G273" t="s">
        <v>38</v>
      </c>
      <c r="L273" t="s">
        <v>690</v>
      </c>
      <c r="M273" t="s">
        <v>377</v>
      </c>
      <c r="P273" t="s">
        <v>378</v>
      </c>
    </row>
    <row r="274" spans="1:16" x14ac:dyDescent="0.25">
      <c r="A274" t="s">
        <v>14</v>
      </c>
      <c r="B274">
        <v>4</v>
      </c>
      <c r="C274" t="s">
        <v>41</v>
      </c>
      <c r="D274" t="s">
        <v>379</v>
      </c>
      <c r="E274" t="s">
        <v>380</v>
      </c>
      <c r="G274" t="s">
        <v>21</v>
      </c>
      <c r="L274" t="s">
        <v>696</v>
      </c>
      <c r="M274" t="s">
        <v>380</v>
      </c>
    </row>
    <row r="275" spans="1:16" x14ac:dyDescent="0.25">
      <c r="A275" t="s">
        <v>14</v>
      </c>
      <c r="B275">
        <v>5</v>
      </c>
      <c r="C275" t="s">
        <v>17</v>
      </c>
      <c r="D275" t="s">
        <v>18</v>
      </c>
      <c r="E275" t="s">
        <v>93</v>
      </c>
      <c r="F275" t="s">
        <v>483</v>
      </c>
      <c r="G275" t="s">
        <v>21</v>
      </c>
      <c r="H275" t="s">
        <v>475</v>
      </c>
      <c r="M275" t="s">
        <v>95</v>
      </c>
      <c r="P275" t="s">
        <v>96</v>
      </c>
    </row>
    <row r="276" spans="1:16" x14ac:dyDescent="0.25">
      <c r="A276" t="s">
        <v>14</v>
      </c>
      <c r="B276">
        <v>5</v>
      </c>
      <c r="C276" t="s">
        <v>17</v>
      </c>
      <c r="D276" t="s">
        <v>18</v>
      </c>
      <c r="E276" t="s">
        <v>381</v>
      </c>
      <c r="F276" t="s">
        <v>382</v>
      </c>
      <c r="G276" t="s">
        <v>21</v>
      </c>
      <c r="J276" t="s">
        <v>487</v>
      </c>
      <c r="L276" t="s">
        <v>697</v>
      </c>
      <c r="M276" t="s">
        <v>383</v>
      </c>
      <c r="P276" t="s">
        <v>384</v>
      </c>
    </row>
    <row r="277" spans="1:16" x14ac:dyDescent="0.25">
      <c r="A277" t="s">
        <v>14</v>
      </c>
      <c r="B277">
        <v>5</v>
      </c>
      <c r="C277" t="s">
        <v>17</v>
      </c>
      <c r="D277" t="s">
        <v>36</v>
      </c>
      <c r="E277" t="s">
        <v>385</v>
      </c>
      <c r="F277" t="s">
        <v>386</v>
      </c>
      <c r="G277" t="s">
        <v>450</v>
      </c>
      <c r="H277" t="s">
        <v>700</v>
      </c>
      <c r="I277" t="s">
        <v>701</v>
      </c>
      <c r="L277" t="s">
        <v>698</v>
      </c>
      <c r="M277" t="s">
        <v>387</v>
      </c>
      <c r="P277" t="s">
        <v>388</v>
      </c>
    </row>
    <row r="278" spans="1:16" x14ac:dyDescent="0.25">
      <c r="A278" t="s">
        <v>14</v>
      </c>
      <c r="B278">
        <v>5</v>
      </c>
      <c r="C278" t="s">
        <v>17</v>
      </c>
      <c r="D278" t="s">
        <v>36</v>
      </c>
      <c r="E278" t="s">
        <v>389</v>
      </c>
      <c r="F278" t="s">
        <v>328</v>
      </c>
      <c r="G278" t="s">
        <v>450</v>
      </c>
      <c r="H278" t="s">
        <v>702</v>
      </c>
      <c r="I278" t="s">
        <v>701</v>
      </c>
      <c r="L278" t="s">
        <v>699</v>
      </c>
      <c r="M278" t="s">
        <v>390</v>
      </c>
      <c r="P278" t="s">
        <v>391</v>
      </c>
    </row>
    <row r="279" spans="1:16" x14ac:dyDescent="0.25">
      <c r="A279" t="s">
        <v>14</v>
      </c>
      <c r="B279">
        <v>4</v>
      </c>
      <c r="C279" t="s">
        <v>41</v>
      </c>
      <c r="D279" t="s">
        <v>164</v>
      </c>
      <c r="E279" t="s">
        <v>304</v>
      </c>
      <c r="G279" t="s">
        <v>38</v>
      </c>
      <c r="L279" t="s">
        <v>477</v>
      </c>
      <c r="M279" t="s">
        <v>305</v>
      </c>
    </row>
    <row r="280" spans="1:16" x14ac:dyDescent="0.25">
      <c r="A280" t="s">
        <v>14</v>
      </c>
      <c r="B280">
        <v>5</v>
      </c>
      <c r="C280" t="s">
        <v>17</v>
      </c>
      <c r="D280" t="s">
        <v>18</v>
      </c>
      <c r="E280" t="s">
        <v>93</v>
      </c>
      <c r="F280" t="s">
        <v>483</v>
      </c>
      <c r="G280" t="s">
        <v>21</v>
      </c>
      <c r="H280" t="s">
        <v>475</v>
      </c>
      <c r="M280" t="s">
        <v>95</v>
      </c>
      <c r="P280" t="s">
        <v>96</v>
      </c>
    </row>
    <row r="281" spans="1:16" x14ac:dyDescent="0.25">
      <c r="A281" t="s">
        <v>14</v>
      </c>
      <c r="B281">
        <v>5</v>
      </c>
      <c r="C281" t="s">
        <v>17</v>
      </c>
      <c r="D281" t="s">
        <v>18</v>
      </c>
      <c r="E281" t="s">
        <v>2</v>
      </c>
      <c r="F281" t="s">
        <v>306</v>
      </c>
      <c r="G281" t="s">
        <v>21</v>
      </c>
      <c r="H281" t="s">
        <v>479</v>
      </c>
      <c r="J281" t="s">
        <v>478</v>
      </c>
      <c r="L281" t="s">
        <v>476</v>
      </c>
      <c r="M281" t="s">
        <v>98</v>
      </c>
      <c r="P281" t="s">
        <v>307</v>
      </c>
    </row>
    <row r="282" spans="1:16" x14ac:dyDescent="0.25">
      <c r="A282" t="s">
        <v>14</v>
      </c>
      <c r="B282">
        <v>5</v>
      </c>
      <c r="C282" t="s">
        <v>17</v>
      </c>
      <c r="D282" t="s">
        <v>18</v>
      </c>
      <c r="E282" t="s">
        <v>100</v>
      </c>
      <c r="F282" t="s">
        <v>126</v>
      </c>
      <c r="G282" t="s">
        <v>21</v>
      </c>
      <c r="H282" t="s">
        <v>481</v>
      </c>
      <c r="L282" t="s">
        <v>480</v>
      </c>
      <c r="M282" t="s">
        <v>102</v>
      </c>
      <c r="P282" t="s">
        <v>308</v>
      </c>
    </row>
    <row r="283" spans="1:16" x14ac:dyDescent="0.25">
      <c r="A283" t="s">
        <v>14</v>
      </c>
      <c r="B283">
        <v>5</v>
      </c>
      <c r="C283" t="s">
        <v>17</v>
      </c>
      <c r="D283" t="s">
        <v>36</v>
      </c>
      <c r="E283" t="s">
        <v>343</v>
      </c>
      <c r="F283" t="s">
        <v>94</v>
      </c>
      <c r="G283" t="s">
        <v>38</v>
      </c>
      <c r="H283" t="s">
        <v>485</v>
      </c>
      <c r="L283" t="s">
        <v>484</v>
      </c>
      <c r="M283" t="s">
        <v>344</v>
      </c>
      <c r="P283" t="s">
        <v>345</v>
      </c>
    </row>
    <row r="284" spans="1:16" x14ac:dyDescent="0.25">
      <c r="A284" t="s">
        <v>14</v>
      </c>
      <c r="B284">
        <v>5</v>
      </c>
      <c r="C284" t="s">
        <v>17</v>
      </c>
      <c r="D284" t="s">
        <v>36</v>
      </c>
      <c r="E284" t="s">
        <v>381</v>
      </c>
      <c r="F284" t="s">
        <v>382</v>
      </c>
      <c r="G284" t="s">
        <v>38</v>
      </c>
      <c r="J284" t="s">
        <v>487</v>
      </c>
      <c r="L284" t="s">
        <v>486</v>
      </c>
      <c r="M284" t="s">
        <v>383</v>
      </c>
      <c r="P284" t="s">
        <v>384</v>
      </c>
    </row>
    <row r="285" spans="1:16" x14ac:dyDescent="0.25">
      <c r="A285" t="s">
        <v>14</v>
      </c>
      <c r="B285">
        <v>5</v>
      </c>
      <c r="C285" t="s">
        <v>17</v>
      </c>
      <c r="D285" t="s">
        <v>36</v>
      </c>
      <c r="E285" t="s">
        <v>385</v>
      </c>
      <c r="F285" t="s">
        <v>392</v>
      </c>
      <c r="G285" t="s">
        <v>38</v>
      </c>
      <c r="L285" t="s">
        <v>488</v>
      </c>
      <c r="M285" t="s">
        <v>387</v>
      </c>
      <c r="P285" t="s">
        <v>393</v>
      </c>
    </row>
    <row r="286" spans="1:16" x14ac:dyDescent="0.25">
      <c r="A286" t="s">
        <v>14</v>
      </c>
      <c r="B286">
        <v>5</v>
      </c>
      <c r="C286" t="s">
        <v>17</v>
      </c>
      <c r="D286" t="s">
        <v>36</v>
      </c>
      <c r="E286" t="s">
        <v>394</v>
      </c>
      <c r="F286" t="s">
        <v>97</v>
      </c>
      <c r="G286" t="s">
        <v>450</v>
      </c>
      <c r="I286" t="s">
        <v>490</v>
      </c>
      <c r="J286" t="s">
        <v>491</v>
      </c>
      <c r="L286" t="s">
        <v>489</v>
      </c>
      <c r="M286" t="s">
        <v>395</v>
      </c>
      <c r="P286" t="s">
        <v>396</v>
      </c>
    </row>
    <row r="287" spans="1:16" x14ac:dyDescent="0.25">
      <c r="A287" t="s">
        <v>14</v>
      </c>
      <c r="B287">
        <v>5</v>
      </c>
      <c r="C287" t="s">
        <v>17</v>
      </c>
      <c r="D287" t="s">
        <v>36</v>
      </c>
      <c r="E287" t="s">
        <v>397</v>
      </c>
      <c r="F287" t="s">
        <v>199</v>
      </c>
      <c r="G287" t="s">
        <v>38</v>
      </c>
      <c r="L287" t="s">
        <v>492</v>
      </c>
      <c r="M287" t="s">
        <v>398</v>
      </c>
      <c r="P287" t="s">
        <v>399</v>
      </c>
    </row>
    <row r="288" spans="1:16" x14ac:dyDescent="0.25">
      <c r="A288" t="s">
        <v>14</v>
      </c>
      <c r="B288">
        <v>5</v>
      </c>
      <c r="C288" t="s">
        <v>17</v>
      </c>
      <c r="D288" t="s">
        <v>36</v>
      </c>
      <c r="E288" t="s">
        <v>309</v>
      </c>
      <c r="F288" t="s">
        <v>101</v>
      </c>
      <c r="G288" t="s">
        <v>38</v>
      </c>
      <c r="L288" t="s">
        <v>482</v>
      </c>
      <c r="M288" t="s">
        <v>310</v>
      </c>
      <c r="P288" t="s">
        <v>311</v>
      </c>
    </row>
    <row r="289" spans="1:16" x14ac:dyDescent="0.25">
      <c r="A289" t="s">
        <v>14</v>
      </c>
      <c r="B289">
        <v>4</v>
      </c>
      <c r="C289" t="s">
        <v>41</v>
      </c>
      <c r="D289" t="s">
        <v>164</v>
      </c>
      <c r="E289" t="s">
        <v>312</v>
      </c>
      <c r="G289" t="s">
        <v>38</v>
      </c>
      <c r="H289" t="s">
        <v>506</v>
      </c>
      <c r="L289" t="s">
        <v>498</v>
      </c>
      <c r="M289" t="s">
        <v>313</v>
      </c>
    </row>
    <row r="290" spans="1:16" x14ac:dyDescent="0.25">
      <c r="A290" t="s">
        <v>14</v>
      </c>
      <c r="B290">
        <v>5</v>
      </c>
      <c r="C290" t="s">
        <v>17</v>
      </c>
      <c r="D290" t="s">
        <v>18</v>
      </c>
      <c r="E290" t="s">
        <v>93</v>
      </c>
      <c r="F290" t="s">
        <v>483</v>
      </c>
      <c r="G290" t="s">
        <v>21</v>
      </c>
      <c r="H290" t="s">
        <v>475</v>
      </c>
      <c r="M290" t="s">
        <v>95</v>
      </c>
      <c r="P290" t="s">
        <v>96</v>
      </c>
    </row>
    <row r="291" spans="1:16" x14ac:dyDescent="0.25">
      <c r="A291" t="s">
        <v>14</v>
      </c>
      <c r="B291">
        <v>5</v>
      </c>
      <c r="C291" t="s">
        <v>17</v>
      </c>
      <c r="D291" t="s">
        <v>18</v>
      </c>
      <c r="E291" t="s">
        <v>2</v>
      </c>
      <c r="F291" t="s">
        <v>306</v>
      </c>
      <c r="G291" t="s">
        <v>21</v>
      </c>
      <c r="H291" t="s">
        <v>505</v>
      </c>
      <c r="J291" t="s">
        <v>507</v>
      </c>
      <c r="L291" t="s">
        <v>500</v>
      </c>
      <c r="M291" t="s">
        <v>98</v>
      </c>
      <c r="P291" t="s">
        <v>307</v>
      </c>
    </row>
    <row r="292" spans="1:16" x14ac:dyDescent="0.25">
      <c r="A292" t="s">
        <v>14</v>
      </c>
      <c r="B292">
        <v>5</v>
      </c>
      <c r="C292" t="s">
        <v>17</v>
      </c>
      <c r="D292" t="s">
        <v>18</v>
      </c>
      <c r="E292" t="s">
        <v>100</v>
      </c>
      <c r="F292" t="s">
        <v>126</v>
      </c>
      <c r="G292" t="s">
        <v>21</v>
      </c>
      <c r="H292" t="s">
        <v>481</v>
      </c>
      <c r="L292" t="s">
        <v>499</v>
      </c>
      <c r="M292" t="s">
        <v>102</v>
      </c>
      <c r="P292" t="s">
        <v>308</v>
      </c>
    </row>
    <row r="293" spans="1:16" x14ac:dyDescent="0.25">
      <c r="A293" t="s">
        <v>14</v>
      </c>
      <c r="B293">
        <v>5</v>
      </c>
      <c r="C293" t="s">
        <v>17</v>
      </c>
      <c r="D293" t="s">
        <v>36</v>
      </c>
      <c r="E293" t="s">
        <v>314</v>
      </c>
      <c r="F293" t="s">
        <v>94</v>
      </c>
      <c r="G293" t="s">
        <v>38</v>
      </c>
      <c r="L293" t="s">
        <v>501</v>
      </c>
      <c r="M293" t="s">
        <v>315</v>
      </c>
      <c r="P293" t="s">
        <v>316</v>
      </c>
    </row>
    <row r="294" spans="1:16" x14ac:dyDescent="0.25">
      <c r="A294" t="s">
        <v>14</v>
      </c>
      <c r="B294">
        <v>5</v>
      </c>
      <c r="C294" t="s">
        <v>17</v>
      </c>
      <c r="D294" t="s">
        <v>36</v>
      </c>
      <c r="E294" t="s">
        <v>309</v>
      </c>
      <c r="F294" t="s">
        <v>101</v>
      </c>
      <c r="G294" t="s">
        <v>38</v>
      </c>
      <c r="L294" t="s">
        <v>502</v>
      </c>
      <c r="M294" t="s">
        <v>310</v>
      </c>
      <c r="P294" t="s">
        <v>311</v>
      </c>
    </row>
    <row r="295" spans="1:16" x14ac:dyDescent="0.25">
      <c r="A295" t="s">
        <v>14</v>
      </c>
      <c r="B295">
        <v>4</v>
      </c>
      <c r="C295" t="s">
        <v>41</v>
      </c>
      <c r="D295" t="s">
        <v>164</v>
      </c>
      <c r="E295" t="s">
        <v>319</v>
      </c>
      <c r="G295" t="s">
        <v>38</v>
      </c>
      <c r="H295" t="s">
        <v>511</v>
      </c>
      <c r="L295" t="s">
        <v>508</v>
      </c>
      <c r="M295" t="s">
        <v>320</v>
      </c>
    </row>
    <row r="296" spans="1:16" x14ac:dyDescent="0.25">
      <c r="A296" t="s">
        <v>14</v>
      </c>
      <c r="B296">
        <v>5</v>
      </c>
      <c r="C296" t="s">
        <v>17</v>
      </c>
      <c r="D296" t="s">
        <v>18</v>
      </c>
      <c r="E296" t="s">
        <v>93</v>
      </c>
      <c r="F296" t="s">
        <v>483</v>
      </c>
      <c r="G296" t="s">
        <v>21</v>
      </c>
      <c r="H296" t="s">
        <v>475</v>
      </c>
      <c r="M296" t="s">
        <v>95</v>
      </c>
      <c r="P296" t="s">
        <v>96</v>
      </c>
    </row>
    <row r="297" spans="1:16" x14ac:dyDescent="0.25">
      <c r="A297" t="s">
        <v>14</v>
      </c>
      <c r="B297">
        <v>5</v>
      </c>
      <c r="C297" t="s">
        <v>17</v>
      </c>
      <c r="D297" t="s">
        <v>18</v>
      </c>
      <c r="E297" t="s">
        <v>2</v>
      </c>
      <c r="F297" t="s">
        <v>306</v>
      </c>
      <c r="G297" t="s">
        <v>21</v>
      </c>
      <c r="H297" t="s">
        <v>505</v>
      </c>
      <c r="J297" t="s">
        <v>512</v>
      </c>
      <c r="L297" t="s">
        <v>509</v>
      </c>
      <c r="M297" t="s">
        <v>98</v>
      </c>
      <c r="P297" t="s">
        <v>307</v>
      </c>
    </row>
    <row r="298" spans="1:16" x14ac:dyDescent="0.25">
      <c r="A298" t="s">
        <v>14</v>
      </c>
      <c r="B298">
        <v>5</v>
      </c>
      <c r="C298" t="s">
        <v>17</v>
      </c>
      <c r="D298" t="s">
        <v>36</v>
      </c>
      <c r="E298" t="s">
        <v>100</v>
      </c>
      <c r="F298" t="s">
        <v>126</v>
      </c>
      <c r="G298" t="s">
        <v>38</v>
      </c>
      <c r="H298" t="s">
        <v>481</v>
      </c>
      <c r="L298" t="s">
        <v>510</v>
      </c>
      <c r="M298" t="s">
        <v>102</v>
      </c>
      <c r="P298" t="s">
        <v>308</v>
      </c>
    </row>
    <row r="299" spans="1:16" x14ac:dyDescent="0.25">
      <c r="A299" t="s">
        <v>14</v>
      </c>
      <c r="B299">
        <v>4</v>
      </c>
      <c r="C299" t="s">
        <v>41</v>
      </c>
      <c r="D299" t="s">
        <v>164</v>
      </c>
      <c r="E299" t="s">
        <v>321</v>
      </c>
      <c r="G299" t="s">
        <v>38</v>
      </c>
      <c r="H299" t="s">
        <v>467</v>
      </c>
      <c r="L299" t="s">
        <v>493</v>
      </c>
      <c r="M299" t="s">
        <v>322</v>
      </c>
    </row>
    <row r="300" spans="1:16" x14ac:dyDescent="0.25">
      <c r="A300" t="s">
        <v>14</v>
      </c>
      <c r="B300">
        <v>5</v>
      </c>
      <c r="C300" t="s">
        <v>17</v>
      </c>
      <c r="D300" t="s">
        <v>18</v>
      </c>
      <c r="E300" t="s">
        <v>93</v>
      </c>
      <c r="F300" t="s">
        <v>483</v>
      </c>
      <c r="G300" t="s">
        <v>21</v>
      </c>
      <c r="H300" t="s">
        <v>475</v>
      </c>
      <c r="M300" t="s">
        <v>95</v>
      </c>
      <c r="P300" t="s">
        <v>96</v>
      </c>
    </row>
    <row r="301" spans="1:16" x14ac:dyDescent="0.25">
      <c r="A301" t="s">
        <v>14</v>
      </c>
      <c r="B301">
        <v>5</v>
      </c>
      <c r="C301" t="s">
        <v>17</v>
      </c>
      <c r="D301" t="s">
        <v>18</v>
      </c>
      <c r="E301" t="s">
        <v>323</v>
      </c>
      <c r="F301" t="s">
        <v>324</v>
      </c>
      <c r="G301" t="s">
        <v>21</v>
      </c>
      <c r="H301" t="s">
        <v>497</v>
      </c>
      <c r="L301" t="s">
        <v>495</v>
      </c>
      <c r="M301" t="s">
        <v>325</v>
      </c>
      <c r="P301" t="s">
        <v>326</v>
      </c>
    </row>
    <row r="302" spans="1:16" x14ac:dyDescent="0.25">
      <c r="A302" t="s">
        <v>14</v>
      </c>
      <c r="B302">
        <v>5</v>
      </c>
      <c r="C302" t="s">
        <v>17</v>
      </c>
      <c r="D302" t="s">
        <v>36</v>
      </c>
      <c r="E302" t="s">
        <v>327</v>
      </c>
      <c r="F302" t="s">
        <v>328</v>
      </c>
      <c r="G302" t="s">
        <v>38</v>
      </c>
      <c r="L302" t="s">
        <v>496</v>
      </c>
      <c r="M302" t="s">
        <v>329</v>
      </c>
      <c r="P302" t="s">
        <v>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A401C-6CB5-4C10-B4FC-756D0EF18C27}">
  <sheetPr codeName="Ark2">
    <tabColor theme="5"/>
    <outlinePr summaryBelow="0" summaryRight="0"/>
  </sheetPr>
  <dimension ref="A1:T303"/>
  <sheetViews>
    <sheetView tabSelected="1" topLeftCell="D1" workbookViewId="0">
      <pane ySplit="1" topLeftCell="A2" activePane="bottomLeft" state="frozen"/>
      <selection activeCell="D1" sqref="D1"/>
      <selection pane="bottomLeft" activeCell="G2" sqref="G2"/>
    </sheetView>
  </sheetViews>
  <sheetFormatPr defaultColWidth="11.5703125" defaultRowHeight="12" outlineLevelRow="6" x14ac:dyDescent="0.25"/>
  <cols>
    <col min="1" max="3" width="0" style="1" hidden="1" customWidth="1"/>
    <col min="4" max="6" width="6.5703125" style="1" customWidth="1"/>
    <col min="7" max="7" width="70.5703125" style="1" customWidth="1"/>
    <col min="8" max="13" width="8.7109375" style="1" customWidth="1"/>
    <col min="14" max="16" width="24.7109375" style="1" customWidth="1"/>
    <col min="17" max="17" width="0" style="1" hidden="1" customWidth="1"/>
    <col min="18" max="19" width="24.7109375" style="1" customWidth="1"/>
    <col min="20" max="16384" width="11.5703125" style="1"/>
  </cols>
  <sheetData>
    <row r="1" spans="1:20" ht="12" customHeight="1" x14ac:dyDescent="0.25">
      <c r="A1" s="1" t="s">
        <v>0</v>
      </c>
      <c r="B1" s="1" t="s">
        <v>1</v>
      </c>
      <c r="C1" s="1" t="s">
        <v>2</v>
      </c>
      <c r="D1" s="1" t="s">
        <v>406</v>
      </c>
      <c r="E1" s="1" t="s">
        <v>449</v>
      </c>
      <c r="F1" s="1" t="s">
        <v>407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409</v>
      </c>
      <c r="M1" s="1" t="s">
        <v>9</v>
      </c>
      <c r="N1" s="1" t="s">
        <v>410</v>
      </c>
      <c r="O1" s="1" t="s">
        <v>10</v>
      </c>
      <c r="P1" s="1" t="s">
        <v>411</v>
      </c>
      <c r="R1" s="1" t="s">
        <v>11</v>
      </c>
      <c r="S1" s="1" t="s">
        <v>12</v>
      </c>
      <c r="T1" s="1" t="s">
        <v>412</v>
      </c>
    </row>
    <row r="2" spans="1:20" ht="12" customHeight="1" x14ac:dyDescent="0.25">
      <c r="A2" s="1" t="str">
        <f t="shared" ref="A2:A65" si="0">$G$2</f>
        <v>CC013C
CC015C
CC170C</v>
      </c>
      <c r="B2" s="1">
        <v>0</v>
      </c>
      <c r="C2" s="1" t="s">
        <v>13</v>
      </c>
      <c r="G2" s="3" t="s">
        <v>788</v>
      </c>
      <c r="O2" s="1" t="s">
        <v>15</v>
      </c>
      <c r="R2" s="1" t="s">
        <v>16</v>
      </c>
      <c r="S2" s="1" t="str">
        <f t="shared" ref="S2:S65" si="1">IF($B2=0,$O2,_xlfn.TEXTBEFORE(S1,"/",$B2,,,S1)&amp;"/"&amp;$O2)&amp;IF(_xlfn.TEXTAFTER($D2,"..",,,,1)&lt;&gt;"1","[0]","")</f>
        <v>*</v>
      </c>
    </row>
    <row r="3" spans="1:20" ht="12" customHeight="1" outlineLevel="1" x14ac:dyDescent="0.25">
      <c r="A3" s="1" t="str">
        <f t="shared" si="0"/>
        <v>CC013C
CC015C
CC170C</v>
      </c>
      <c r="B3" s="1">
        <v>1</v>
      </c>
      <c r="C3" s="1" t="s">
        <v>17</v>
      </c>
      <c r="D3" s="1" t="s">
        <v>18</v>
      </c>
      <c r="E3" s="1" t="s">
        <v>18</v>
      </c>
      <c r="F3" s="1" t="s">
        <v>18</v>
      </c>
      <c r="G3" s="2" t="s">
        <v>19</v>
      </c>
      <c r="H3" s="3" t="s">
        <v>20</v>
      </c>
      <c r="I3" s="1" t="s">
        <v>21</v>
      </c>
      <c r="O3" s="1" t="s">
        <v>22</v>
      </c>
      <c r="R3" s="1" t="s">
        <v>23</v>
      </c>
      <c r="S3" s="1" t="str">
        <f t="shared" si="1"/>
        <v>*/messageSender</v>
      </c>
    </row>
    <row r="4" spans="1:20" ht="12" customHeight="1" outlineLevel="1" x14ac:dyDescent="0.25">
      <c r="A4" s="1" t="str">
        <f t="shared" si="0"/>
        <v>CC013C
CC015C
CC170C</v>
      </c>
      <c r="B4" s="1">
        <v>1</v>
      </c>
      <c r="C4" s="1" t="s">
        <v>17</v>
      </c>
      <c r="D4" s="1" t="s">
        <v>18</v>
      </c>
      <c r="E4" s="1" t="s">
        <v>18</v>
      </c>
      <c r="F4" s="1" t="s">
        <v>18</v>
      </c>
      <c r="G4" s="2" t="s">
        <v>24</v>
      </c>
      <c r="H4" s="3" t="s">
        <v>20</v>
      </c>
      <c r="I4" s="1" t="s">
        <v>21</v>
      </c>
      <c r="O4" s="1" t="s">
        <v>25</v>
      </c>
      <c r="R4" s="1" t="s">
        <v>26</v>
      </c>
      <c r="S4" s="1" t="str">
        <f t="shared" si="1"/>
        <v>*/messageRecipient</v>
      </c>
    </row>
    <row r="5" spans="1:20" ht="12" customHeight="1" outlineLevel="1" x14ac:dyDescent="0.25">
      <c r="A5" s="1" t="str">
        <f t="shared" si="0"/>
        <v>CC013C
CC015C
CC170C</v>
      </c>
      <c r="B5" s="1">
        <v>1</v>
      </c>
      <c r="C5" s="1" t="s">
        <v>17</v>
      </c>
      <c r="D5" s="1" t="s">
        <v>18</v>
      </c>
      <c r="E5" s="1" t="s">
        <v>18</v>
      </c>
      <c r="F5" s="1" t="s">
        <v>18</v>
      </c>
      <c r="G5" s="2" t="s">
        <v>27</v>
      </c>
      <c r="H5" s="3" t="s">
        <v>65</v>
      </c>
      <c r="I5" s="1" t="s">
        <v>21</v>
      </c>
      <c r="O5" s="1" t="s">
        <v>28</v>
      </c>
      <c r="R5" s="1" t="s">
        <v>29</v>
      </c>
      <c r="S5" s="1" t="str">
        <f t="shared" si="1"/>
        <v>*/preparationDateAndTime</v>
      </c>
    </row>
    <row r="6" spans="1:20" ht="12" customHeight="1" outlineLevel="1" x14ac:dyDescent="0.25">
      <c r="A6" s="1" t="str">
        <f t="shared" si="0"/>
        <v>CC013C
CC015C
CC170C</v>
      </c>
      <c r="B6" s="1">
        <v>1</v>
      </c>
      <c r="C6" s="1" t="s">
        <v>17</v>
      </c>
      <c r="D6" s="1" t="s">
        <v>18</v>
      </c>
      <c r="E6" s="1" t="s">
        <v>18</v>
      </c>
      <c r="F6" s="1" t="s">
        <v>18</v>
      </c>
      <c r="G6" s="2" t="s">
        <v>30</v>
      </c>
      <c r="H6" s="3" t="s">
        <v>20</v>
      </c>
      <c r="I6" s="1" t="s">
        <v>21</v>
      </c>
      <c r="O6" s="1" t="s">
        <v>31</v>
      </c>
      <c r="R6" s="1" t="s">
        <v>32</v>
      </c>
      <c r="S6" s="1" t="str">
        <f t="shared" si="1"/>
        <v>*/messageIdentification</v>
      </c>
    </row>
    <row r="7" spans="1:20" ht="12" customHeight="1" outlineLevel="1" x14ac:dyDescent="0.25">
      <c r="A7" s="1" t="str">
        <f t="shared" si="0"/>
        <v>CC013C
CC015C
CC170C</v>
      </c>
      <c r="B7" s="1">
        <v>1</v>
      </c>
      <c r="C7" s="1" t="s">
        <v>17</v>
      </c>
      <c r="D7" s="1" t="s">
        <v>18</v>
      </c>
      <c r="E7" s="1" t="s">
        <v>18</v>
      </c>
      <c r="F7" s="1" t="s">
        <v>18</v>
      </c>
      <c r="G7" s="2" t="s">
        <v>33</v>
      </c>
      <c r="H7" s="3" t="s">
        <v>452</v>
      </c>
      <c r="I7" s="1" t="s">
        <v>21</v>
      </c>
      <c r="L7" s="1" t="s">
        <v>451</v>
      </c>
      <c r="O7" s="1" t="s">
        <v>34</v>
      </c>
      <c r="R7" s="1" t="s">
        <v>35</v>
      </c>
      <c r="S7" s="1" t="str">
        <f t="shared" si="1"/>
        <v>*/messageType</v>
      </c>
    </row>
    <row r="8" spans="1:20" ht="12" customHeight="1" outlineLevel="1" x14ac:dyDescent="0.25">
      <c r="A8" s="1" t="str">
        <f t="shared" si="0"/>
        <v>CC013C
CC015C
CC170C</v>
      </c>
      <c r="B8" s="1">
        <v>1</v>
      </c>
      <c r="C8" s="1" t="s">
        <v>17</v>
      </c>
      <c r="D8" s="1" t="s">
        <v>36</v>
      </c>
      <c r="E8" s="1" t="s">
        <v>36</v>
      </c>
      <c r="F8" s="1" t="s">
        <v>36</v>
      </c>
      <c r="G8" s="2" t="s">
        <v>37</v>
      </c>
      <c r="H8" s="3" t="s">
        <v>20</v>
      </c>
      <c r="I8" s="1" t="s">
        <v>450</v>
      </c>
      <c r="J8" s="3" t="s">
        <v>454</v>
      </c>
      <c r="K8" s="1" t="s">
        <v>453</v>
      </c>
      <c r="O8" s="1" t="s">
        <v>39</v>
      </c>
      <c r="R8" s="1" t="s">
        <v>40</v>
      </c>
      <c r="S8" s="1" t="str">
        <f t="shared" si="1"/>
        <v>*/correlationIdentifier</v>
      </c>
    </row>
    <row r="9" spans="1:20" ht="12" customHeight="1" outlineLevel="1" x14ac:dyDescent="0.25">
      <c r="A9" s="4" t="str">
        <f t="shared" si="0"/>
        <v>CC013C
CC015C
CC170C</v>
      </c>
      <c r="B9" s="4">
        <v>1</v>
      </c>
      <c r="C9" s="4" t="s">
        <v>41</v>
      </c>
      <c r="D9" s="4" t="s">
        <v>18</v>
      </c>
      <c r="E9" s="4" t="s">
        <v>18</v>
      </c>
      <c r="F9" s="4" t="s">
        <v>18</v>
      </c>
      <c r="G9" s="5" t="s">
        <v>42</v>
      </c>
      <c r="H9" s="6"/>
      <c r="I9" s="4" t="s">
        <v>21</v>
      </c>
      <c r="J9" s="4"/>
      <c r="K9" s="4"/>
      <c r="L9" s="4"/>
      <c r="M9" s="4"/>
      <c r="N9" s="4"/>
      <c r="O9" s="4" t="s">
        <v>43</v>
      </c>
      <c r="P9" s="4"/>
      <c r="Q9" s="4"/>
      <c r="S9" s="1" t="str">
        <f t="shared" si="1"/>
        <v>*/TransitOperation</v>
      </c>
    </row>
    <row r="10" spans="1:20" ht="12" customHeight="1" outlineLevel="2" x14ac:dyDescent="0.25">
      <c r="A10" s="1" t="str">
        <f t="shared" si="0"/>
        <v>CC013C
CC015C
CC170C</v>
      </c>
      <c r="B10" s="1">
        <v>2</v>
      </c>
      <c r="C10" s="1" t="s">
        <v>17</v>
      </c>
      <c r="D10" s="1" t="s">
        <v>36</v>
      </c>
      <c r="E10" s="1" t="s">
        <v>36</v>
      </c>
      <c r="F10" s="1" t="s">
        <v>18</v>
      </c>
      <c r="G10" s="7" t="s">
        <v>44</v>
      </c>
      <c r="H10" s="3" t="s">
        <v>45</v>
      </c>
      <c r="I10" s="1" t="s">
        <v>450</v>
      </c>
      <c r="N10" s="1" t="s">
        <v>524</v>
      </c>
      <c r="O10" s="1" t="s">
        <v>46</v>
      </c>
      <c r="R10" s="1" t="s">
        <v>47</v>
      </c>
      <c r="S10" s="1" t="str">
        <f t="shared" si="1"/>
        <v>*/TransitOperation/LRN</v>
      </c>
    </row>
    <row r="11" spans="1:20" ht="12" customHeight="1" outlineLevel="2" x14ac:dyDescent="0.25">
      <c r="A11" s="1" t="str">
        <f t="shared" si="0"/>
        <v>CC013C
CC015C
CC170C</v>
      </c>
      <c r="B11" s="1">
        <v>2</v>
      </c>
      <c r="C11" s="1" t="s">
        <v>17</v>
      </c>
      <c r="D11" s="1" t="s">
        <v>36</v>
      </c>
      <c r="E11" s="1" t="s">
        <v>36</v>
      </c>
      <c r="F11" s="1" t="s">
        <v>408</v>
      </c>
      <c r="G11" s="7" t="s">
        <v>48</v>
      </c>
      <c r="H11" s="3" t="s">
        <v>49</v>
      </c>
      <c r="I11" s="1" t="s">
        <v>38</v>
      </c>
      <c r="J11" s="3" t="s">
        <v>459</v>
      </c>
      <c r="O11" s="1" t="s">
        <v>50</v>
      </c>
      <c r="R11" s="1" t="s">
        <v>51</v>
      </c>
      <c r="S11" s="1" t="str">
        <f t="shared" si="1"/>
        <v>*/TransitOperation/MRN</v>
      </c>
    </row>
    <row r="12" spans="1:20" ht="12" customHeight="1" outlineLevel="2" x14ac:dyDescent="0.25">
      <c r="A12" s="1" t="str">
        <f t="shared" si="0"/>
        <v>CC013C
CC015C
CC170C</v>
      </c>
      <c r="B12" s="1">
        <v>2</v>
      </c>
      <c r="C12" s="1" t="s">
        <v>17</v>
      </c>
      <c r="D12" s="1" t="s">
        <v>18</v>
      </c>
      <c r="E12" s="1" t="s">
        <v>18</v>
      </c>
      <c r="F12" s="1" t="s">
        <v>408</v>
      </c>
      <c r="G12" s="7" t="s">
        <v>52</v>
      </c>
      <c r="H12" s="3" t="s">
        <v>53</v>
      </c>
      <c r="I12" s="1" t="s">
        <v>21</v>
      </c>
      <c r="L12" s="1" t="s">
        <v>461</v>
      </c>
      <c r="N12" s="1" t="s">
        <v>460</v>
      </c>
      <c r="O12" s="1" t="s">
        <v>54</v>
      </c>
      <c r="R12" s="1" t="s">
        <v>55</v>
      </c>
      <c r="S12" s="1" t="str">
        <f t="shared" si="1"/>
        <v>*/TransitOperation/declarationType</v>
      </c>
    </row>
    <row r="13" spans="1:20" ht="12" customHeight="1" outlineLevel="2" x14ac:dyDescent="0.25">
      <c r="A13" s="1" t="str">
        <f t="shared" si="0"/>
        <v>CC013C
CC015C
CC170C</v>
      </c>
      <c r="B13" s="1">
        <v>2</v>
      </c>
      <c r="C13" s="1" t="s">
        <v>17</v>
      </c>
      <c r="D13" s="1" t="s">
        <v>18</v>
      </c>
      <c r="E13" s="1" t="s">
        <v>18</v>
      </c>
      <c r="F13" s="1" t="s">
        <v>408</v>
      </c>
      <c r="G13" s="7" t="s">
        <v>56</v>
      </c>
      <c r="H13" s="3" t="s">
        <v>57</v>
      </c>
      <c r="I13" s="1" t="s">
        <v>21</v>
      </c>
      <c r="L13" s="1" t="s">
        <v>462</v>
      </c>
      <c r="N13" s="1" t="s">
        <v>463</v>
      </c>
      <c r="O13" s="1" t="s">
        <v>58</v>
      </c>
      <c r="R13" s="1" t="s">
        <v>59</v>
      </c>
      <c r="S13" s="1" t="str">
        <f t="shared" si="1"/>
        <v>*/TransitOperation/additionalDeclarationType</v>
      </c>
    </row>
    <row r="14" spans="1:20" ht="12" customHeight="1" outlineLevel="2" x14ac:dyDescent="0.25">
      <c r="A14" s="1" t="str">
        <f t="shared" si="0"/>
        <v>CC013C
CC015C
CC170C</v>
      </c>
      <c r="B14" s="1">
        <v>2</v>
      </c>
      <c r="C14" s="1" t="s">
        <v>17</v>
      </c>
      <c r="D14" s="1" t="s">
        <v>36</v>
      </c>
      <c r="E14" s="1" t="s">
        <v>36</v>
      </c>
      <c r="F14" s="1" t="s">
        <v>408</v>
      </c>
      <c r="G14" s="7" t="s">
        <v>60</v>
      </c>
      <c r="H14" s="3" t="s">
        <v>61</v>
      </c>
      <c r="I14" s="1" t="s">
        <v>450</v>
      </c>
      <c r="J14" s="1" t="s">
        <v>520</v>
      </c>
      <c r="K14" s="1" t="s">
        <v>519</v>
      </c>
      <c r="N14" s="1" t="s">
        <v>518</v>
      </c>
      <c r="O14" s="1" t="s">
        <v>62</v>
      </c>
      <c r="R14" s="1" t="s">
        <v>63</v>
      </c>
      <c r="S14" s="1" t="str">
        <f t="shared" si="1"/>
        <v>*/TransitOperation/TIRCarnetNumber</v>
      </c>
    </row>
    <row r="15" spans="1:20" ht="12" customHeight="1" outlineLevel="2" x14ac:dyDescent="0.25">
      <c r="A15" s="1" t="str">
        <f t="shared" si="0"/>
        <v>CC013C
CC015C
CC170C</v>
      </c>
      <c r="B15" s="1">
        <v>2</v>
      </c>
      <c r="C15" s="1" t="s">
        <v>17</v>
      </c>
      <c r="D15" s="1" t="s">
        <v>36</v>
      </c>
      <c r="E15" s="1" t="s">
        <v>36</v>
      </c>
      <c r="F15" s="1" t="s">
        <v>408</v>
      </c>
      <c r="G15" s="7" t="s">
        <v>64</v>
      </c>
      <c r="H15" s="3" t="s">
        <v>65</v>
      </c>
      <c r="I15" s="1" t="s">
        <v>38</v>
      </c>
      <c r="N15" s="1" t="s">
        <v>786</v>
      </c>
      <c r="O15" s="1" t="s">
        <v>66</v>
      </c>
      <c r="R15" s="1" t="s">
        <v>67</v>
      </c>
      <c r="S15" s="1" t="str">
        <f t="shared" si="1"/>
        <v>*/TransitOperation/presentationOfTheGoodsDateAndTime</v>
      </c>
    </row>
    <row r="16" spans="1:20" ht="12" customHeight="1" outlineLevel="2" x14ac:dyDescent="0.25">
      <c r="A16" s="1" t="str">
        <f t="shared" si="0"/>
        <v>CC013C
CC015C
CC170C</v>
      </c>
      <c r="B16" s="1">
        <v>2</v>
      </c>
      <c r="C16" s="1" t="s">
        <v>17</v>
      </c>
      <c r="D16" s="1" t="s">
        <v>18</v>
      </c>
      <c r="E16" s="1" t="s">
        <v>18</v>
      </c>
      <c r="F16" s="1" t="s">
        <v>408</v>
      </c>
      <c r="G16" s="7" t="s">
        <v>68</v>
      </c>
      <c r="H16" s="3" t="s">
        <v>69</v>
      </c>
      <c r="I16" s="1" t="s">
        <v>21</v>
      </c>
      <c r="L16" s="1" t="s">
        <v>471</v>
      </c>
      <c r="N16" s="1" t="s">
        <v>470</v>
      </c>
      <c r="O16" s="1" t="s">
        <v>70</v>
      </c>
      <c r="R16" s="1" t="s">
        <v>71</v>
      </c>
      <c r="S16" s="1" t="str">
        <f t="shared" si="1"/>
        <v>*/TransitOperation/security</v>
      </c>
    </row>
    <row r="17" spans="1:19" ht="12" customHeight="1" outlineLevel="2" x14ac:dyDescent="0.25">
      <c r="A17" s="1" t="str">
        <f t="shared" si="0"/>
        <v>CC013C
CC015C
CC170C</v>
      </c>
      <c r="B17" s="1">
        <v>2</v>
      </c>
      <c r="C17" s="1" t="s">
        <v>17</v>
      </c>
      <c r="D17" s="1" t="s">
        <v>18</v>
      </c>
      <c r="E17" s="1" t="s">
        <v>18</v>
      </c>
      <c r="F17" s="1" t="s">
        <v>408</v>
      </c>
      <c r="G17" s="7" t="s">
        <v>72</v>
      </c>
      <c r="H17" s="3" t="s">
        <v>400</v>
      </c>
      <c r="I17" s="1" t="s">
        <v>21</v>
      </c>
      <c r="J17" s="1" t="s">
        <v>474</v>
      </c>
      <c r="L17" s="1" t="s">
        <v>473</v>
      </c>
      <c r="N17" s="1" t="s">
        <v>472</v>
      </c>
      <c r="O17" s="1" t="s">
        <v>73</v>
      </c>
      <c r="R17" s="1" t="s">
        <v>74</v>
      </c>
      <c r="S17" s="1" t="str">
        <f t="shared" si="1"/>
        <v>*/TransitOperation/reducedDatasetIndicator</v>
      </c>
    </row>
    <row r="18" spans="1:19" ht="12" customHeight="1" outlineLevel="2" x14ac:dyDescent="0.25">
      <c r="A18" s="1" t="str">
        <f t="shared" si="0"/>
        <v>CC013C
CC015C
CC170C</v>
      </c>
      <c r="B18" s="1">
        <v>2</v>
      </c>
      <c r="C18" s="1" t="s">
        <v>17</v>
      </c>
      <c r="D18" s="1" t="s">
        <v>36</v>
      </c>
      <c r="E18" s="1" t="s">
        <v>36</v>
      </c>
      <c r="F18" s="1" t="s">
        <v>408</v>
      </c>
      <c r="G18" s="7" t="s">
        <v>75</v>
      </c>
      <c r="H18" s="3" t="s">
        <v>76</v>
      </c>
      <c r="I18" s="1" t="s">
        <v>38</v>
      </c>
      <c r="L18" s="1" t="s">
        <v>469</v>
      </c>
      <c r="N18" s="1" t="s">
        <v>468</v>
      </c>
      <c r="O18" s="1" t="s">
        <v>77</v>
      </c>
      <c r="R18" s="1" t="s">
        <v>78</v>
      </c>
      <c r="S18" s="1" t="str">
        <f t="shared" si="1"/>
        <v>*/TransitOperation/specificCircumstanceIndicator</v>
      </c>
    </row>
    <row r="19" spans="1:19" ht="12" customHeight="1" outlineLevel="2" x14ac:dyDescent="0.25">
      <c r="A19" s="1" t="str">
        <f t="shared" si="0"/>
        <v>CC013C
CC015C
CC170C</v>
      </c>
      <c r="B19" s="1">
        <v>2</v>
      </c>
      <c r="C19" s="1" t="s">
        <v>17</v>
      </c>
      <c r="D19" s="1" t="s">
        <v>36</v>
      </c>
      <c r="E19" s="1" t="s">
        <v>36</v>
      </c>
      <c r="F19" s="1" t="s">
        <v>408</v>
      </c>
      <c r="G19" s="7" t="s">
        <v>79</v>
      </c>
      <c r="H19" s="3" t="s">
        <v>80</v>
      </c>
      <c r="I19" s="1" t="s">
        <v>38</v>
      </c>
      <c r="J19" s="1" t="s">
        <v>456</v>
      </c>
      <c r="L19" s="1" t="s">
        <v>455</v>
      </c>
      <c r="O19" s="1" t="s">
        <v>81</v>
      </c>
      <c r="R19" s="1" t="s">
        <v>82</v>
      </c>
      <c r="S19" s="1" t="str">
        <f t="shared" si="1"/>
        <v>*/TransitOperation/communicationLanguageAtDeparture</v>
      </c>
    </row>
    <row r="20" spans="1:19" ht="12" customHeight="1" outlineLevel="2" x14ac:dyDescent="0.25">
      <c r="A20" s="1" t="str">
        <f t="shared" si="0"/>
        <v>CC013C
CC015C
CC170C</v>
      </c>
      <c r="B20" s="1">
        <v>2</v>
      </c>
      <c r="C20" s="1" t="s">
        <v>17</v>
      </c>
      <c r="D20" s="1" t="s">
        <v>18</v>
      </c>
      <c r="E20" s="1" t="s">
        <v>18</v>
      </c>
      <c r="F20" s="1" t="s">
        <v>408</v>
      </c>
      <c r="G20" s="7" t="s">
        <v>83</v>
      </c>
      <c r="H20" s="3" t="s">
        <v>400</v>
      </c>
      <c r="I20" s="1" t="s">
        <v>21</v>
      </c>
      <c r="L20" s="1" t="s">
        <v>473</v>
      </c>
      <c r="N20" s="1" t="s">
        <v>668</v>
      </c>
      <c r="O20" s="1" t="s">
        <v>84</v>
      </c>
      <c r="R20" s="1" t="s">
        <v>74</v>
      </c>
      <c r="S20" s="1" t="str">
        <f t="shared" si="1"/>
        <v>*/TransitOperation/bindingItinerary</v>
      </c>
    </row>
    <row r="21" spans="1:19" ht="12" customHeight="1" outlineLevel="2" x14ac:dyDescent="0.25">
      <c r="A21" s="1" t="str">
        <f t="shared" si="0"/>
        <v>CC013C
CC015C
CC170C</v>
      </c>
      <c r="B21" s="1">
        <v>2</v>
      </c>
      <c r="C21" s="1" t="s">
        <v>17</v>
      </c>
      <c r="D21" s="1" t="s">
        <v>18</v>
      </c>
      <c r="E21" s="1" t="s">
        <v>18</v>
      </c>
      <c r="F21" s="1" t="s">
        <v>408</v>
      </c>
      <c r="G21" s="7" t="s">
        <v>85</v>
      </c>
      <c r="H21" s="3"/>
      <c r="I21" s="1" t="s">
        <v>21</v>
      </c>
      <c r="O21" s="1" t="s">
        <v>86</v>
      </c>
      <c r="R21" s="1" t="s">
        <v>74</v>
      </c>
      <c r="S21" s="1" t="str">
        <f t="shared" si="1"/>
        <v>*/TransitOperation/amendmentTypeFlag</v>
      </c>
    </row>
    <row r="22" spans="1:19" ht="12" customHeight="1" outlineLevel="2" x14ac:dyDescent="0.25">
      <c r="A22" s="1" t="str">
        <f t="shared" si="0"/>
        <v>CC013C
CC015C
CC170C</v>
      </c>
      <c r="B22" s="1">
        <v>2</v>
      </c>
      <c r="C22" s="1" t="s">
        <v>17</v>
      </c>
      <c r="D22" s="1" t="s">
        <v>36</v>
      </c>
      <c r="E22" s="1" t="s">
        <v>36</v>
      </c>
      <c r="F22" s="1" t="s">
        <v>36</v>
      </c>
      <c r="G22" s="7" t="s">
        <v>87</v>
      </c>
      <c r="H22" s="3" t="s">
        <v>88</v>
      </c>
      <c r="I22" s="1" t="s">
        <v>450</v>
      </c>
      <c r="J22" s="1" t="s">
        <v>458</v>
      </c>
      <c r="K22" s="1" t="s">
        <v>457</v>
      </c>
      <c r="O22" s="1" t="s">
        <v>89</v>
      </c>
      <c r="R22" s="1" t="s">
        <v>90</v>
      </c>
      <c r="S22" s="1" t="str">
        <f t="shared" si="1"/>
        <v>*/TransitOperation/limitDate</v>
      </c>
    </row>
    <row r="23" spans="1:19" ht="12" customHeight="1" outlineLevel="1" x14ac:dyDescent="0.25">
      <c r="A23" s="4" t="str">
        <f t="shared" si="0"/>
        <v>CC013C
CC015C
CC170C</v>
      </c>
      <c r="B23" s="4">
        <v>1</v>
      </c>
      <c r="C23" s="4" t="s">
        <v>41</v>
      </c>
      <c r="D23" s="4" t="s">
        <v>91</v>
      </c>
      <c r="E23" s="4" t="s">
        <v>91</v>
      </c>
      <c r="F23" s="4" t="s">
        <v>408</v>
      </c>
      <c r="G23" s="5" t="s">
        <v>92</v>
      </c>
      <c r="H23" s="6"/>
      <c r="I23" s="4" t="s">
        <v>450</v>
      </c>
      <c r="J23" s="6" t="s">
        <v>529</v>
      </c>
      <c r="K23" s="4" t="s">
        <v>528</v>
      </c>
      <c r="L23" s="4"/>
      <c r="M23" s="4"/>
      <c r="N23" s="4" t="s">
        <v>525</v>
      </c>
      <c r="O23" s="4" t="s">
        <v>92</v>
      </c>
      <c r="P23" s="4"/>
      <c r="Q23" s="4"/>
      <c r="S23" s="1" t="str">
        <f t="shared" si="1"/>
        <v>*/Authorisation[0]</v>
      </c>
    </row>
    <row r="24" spans="1:19" ht="12" customHeight="1" outlineLevel="2" x14ac:dyDescent="0.25">
      <c r="A24" s="1" t="str">
        <f t="shared" si="0"/>
        <v>CC013C
CC015C
CC170C</v>
      </c>
      <c r="B24" s="1">
        <v>2</v>
      </c>
      <c r="C24" s="1" t="s">
        <v>17</v>
      </c>
      <c r="D24" s="1" t="s">
        <v>18</v>
      </c>
      <c r="E24" s="1" t="s">
        <v>18</v>
      </c>
      <c r="F24" s="1" t="s">
        <v>408</v>
      </c>
      <c r="G24" s="7" t="s">
        <v>93</v>
      </c>
      <c r="H24" s="3" t="s">
        <v>530</v>
      </c>
      <c r="I24" s="1" t="s">
        <v>21</v>
      </c>
      <c r="J24" s="1" t="s">
        <v>475</v>
      </c>
      <c r="O24" s="1" t="s">
        <v>95</v>
      </c>
      <c r="R24" s="1" t="s">
        <v>96</v>
      </c>
      <c r="S24" s="1" t="str">
        <f t="shared" si="1"/>
        <v>*/Authorisation[0]/sequenceNumber</v>
      </c>
    </row>
    <row r="25" spans="1:19" ht="12" customHeight="1" outlineLevel="2" x14ac:dyDescent="0.25">
      <c r="A25" s="1" t="str">
        <f t="shared" si="0"/>
        <v>CC013C
CC015C
CC170C</v>
      </c>
      <c r="B25" s="1">
        <v>2</v>
      </c>
      <c r="C25" s="1" t="s">
        <v>17</v>
      </c>
      <c r="D25" s="1" t="s">
        <v>18</v>
      </c>
      <c r="E25" s="1" t="s">
        <v>18</v>
      </c>
      <c r="F25" s="1" t="s">
        <v>408</v>
      </c>
      <c r="G25" s="7" t="s">
        <v>2</v>
      </c>
      <c r="H25" s="3" t="s">
        <v>97</v>
      </c>
      <c r="I25" s="1" t="s">
        <v>21</v>
      </c>
      <c r="J25" s="3" t="s">
        <v>533</v>
      </c>
      <c r="L25" s="1" t="s">
        <v>531</v>
      </c>
      <c r="N25" s="1" t="s">
        <v>526</v>
      </c>
      <c r="O25" s="1" t="s">
        <v>98</v>
      </c>
      <c r="R25" s="1" t="s">
        <v>99</v>
      </c>
      <c r="S25" s="1" t="str">
        <f t="shared" si="1"/>
        <v>*/Authorisation[0]/type</v>
      </c>
    </row>
    <row r="26" spans="1:19" ht="12" customHeight="1" outlineLevel="2" x14ac:dyDescent="0.25">
      <c r="A26" s="1" t="str">
        <f t="shared" si="0"/>
        <v>CC013C
CC015C
CC170C</v>
      </c>
      <c r="B26" s="1">
        <v>2</v>
      </c>
      <c r="C26" s="1" t="s">
        <v>17</v>
      </c>
      <c r="D26" s="1" t="s">
        <v>18</v>
      </c>
      <c r="E26" s="1" t="s">
        <v>18</v>
      </c>
      <c r="F26" s="1" t="s">
        <v>408</v>
      </c>
      <c r="G26" s="7" t="s">
        <v>100</v>
      </c>
      <c r="H26" s="3" t="s">
        <v>101</v>
      </c>
      <c r="I26" s="1" t="s">
        <v>21</v>
      </c>
      <c r="J26" s="3" t="s">
        <v>532</v>
      </c>
      <c r="N26" s="1" t="s">
        <v>527</v>
      </c>
      <c r="O26" s="1" t="s">
        <v>102</v>
      </c>
      <c r="R26" s="1" t="s">
        <v>103</v>
      </c>
      <c r="S26" s="1" t="str">
        <f t="shared" si="1"/>
        <v>*/Authorisation[0]/referenceNumber</v>
      </c>
    </row>
    <row r="27" spans="1:19" ht="12" customHeight="1" outlineLevel="1" x14ac:dyDescent="0.25">
      <c r="A27" s="4" t="str">
        <f t="shared" si="0"/>
        <v>CC013C
CC015C
CC170C</v>
      </c>
      <c r="B27" s="4">
        <v>1</v>
      </c>
      <c r="C27" s="4" t="s">
        <v>41</v>
      </c>
      <c r="D27" s="4" t="s">
        <v>18</v>
      </c>
      <c r="E27" s="4" t="s">
        <v>18</v>
      </c>
      <c r="F27" s="4" t="s">
        <v>18</v>
      </c>
      <c r="G27" s="5" t="s">
        <v>104</v>
      </c>
      <c r="H27" s="6"/>
      <c r="I27" s="4" t="s">
        <v>21</v>
      </c>
      <c r="J27" s="4"/>
      <c r="K27" s="4"/>
      <c r="L27" s="4"/>
      <c r="M27" s="4"/>
      <c r="N27" s="4" t="s">
        <v>669</v>
      </c>
      <c r="O27" s="4" t="s">
        <v>105</v>
      </c>
      <c r="P27" s="4"/>
      <c r="Q27" s="4"/>
      <c r="S27" s="1" t="str">
        <f t="shared" si="1"/>
        <v>*/CustomsOfficeOfDeparture</v>
      </c>
    </row>
    <row r="28" spans="1:19" ht="12" customHeight="1" outlineLevel="2" x14ac:dyDescent="0.25">
      <c r="A28" s="1" t="str">
        <f t="shared" si="0"/>
        <v>CC013C
CC015C
CC170C</v>
      </c>
      <c r="B28" s="1">
        <v>2</v>
      </c>
      <c r="C28" s="1" t="s">
        <v>17</v>
      </c>
      <c r="D28" s="1" t="s">
        <v>18</v>
      </c>
      <c r="E28" s="1" t="s">
        <v>18</v>
      </c>
      <c r="F28" s="1" t="s">
        <v>18</v>
      </c>
      <c r="G28" s="7" t="s">
        <v>100</v>
      </c>
      <c r="H28" s="3" t="s">
        <v>106</v>
      </c>
      <c r="I28" s="1" t="s">
        <v>21</v>
      </c>
      <c r="J28" s="1" t="s">
        <v>671</v>
      </c>
      <c r="L28" s="1" t="s">
        <v>645</v>
      </c>
      <c r="N28" s="1" t="s">
        <v>670</v>
      </c>
      <c r="O28" s="1" t="s">
        <v>102</v>
      </c>
      <c r="R28" s="1" t="s">
        <v>107</v>
      </c>
      <c r="S28" s="1" t="str">
        <f t="shared" si="1"/>
        <v>*/CustomsOfficeOfDeparture/referenceNumber</v>
      </c>
    </row>
    <row r="29" spans="1:19" ht="12" customHeight="1" outlineLevel="1" x14ac:dyDescent="0.25">
      <c r="A29" s="4" t="str">
        <f t="shared" si="0"/>
        <v>CC013C
CC015C
CC170C</v>
      </c>
      <c r="B29" s="4">
        <v>1</v>
      </c>
      <c r="C29" s="4" t="s">
        <v>41</v>
      </c>
      <c r="D29" s="4" t="s">
        <v>18</v>
      </c>
      <c r="E29" s="4" t="s">
        <v>18</v>
      </c>
      <c r="F29" s="4" t="s">
        <v>408</v>
      </c>
      <c r="G29" s="5" t="s">
        <v>108</v>
      </c>
      <c r="H29" s="6"/>
      <c r="I29" s="4" t="s">
        <v>21</v>
      </c>
      <c r="J29" s="4"/>
      <c r="K29" s="4"/>
      <c r="L29" s="4"/>
      <c r="M29" s="4"/>
      <c r="N29" s="4" t="s">
        <v>677</v>
      </c>
      <c r="O29" s="4" t="s">
        <v>109</v>
      </c>
      <c r="P29" s="4"/>
      <c r="Q29" s="4"/>
      <c r="S29" s="1" t="str">
        <f t="shared" si="1"/>
        <v>*/CustomsOfficeOfDestinationDeclared</v>
      </c>
    </row>
    <row r="30" spans="1:19" ht="12" customHeight="1" outlineLevel="2" x14ac:dyDescent="0.25">
      <c r="A30" s="1" t="str">
        <f t="shared" si="0"/>
        <v>CC013C
CC015C
CC170C</v>
      </c>
      <c r="B30" s="1">
        <v>2</v>
      </c>
      <c r="C30" s="1" t="s">
        <v>17</v>
      </c>
      <c r="D30" s="1" t="s">
        <v>18</v>
      </c>
      <c r="E30" s="1" t="s">
        <v>18</v>
      </c>
      <c r="F30" s="1" t="s">
        <v>408</v>
      </c>
      <c r="G30" s="7" t="s">
        <v>100</v>
      </c>
      <c r="H30" s="3" t="s">
        <v>106</v>
      </c>
      <c r="I30" s="1" t="s">
        <v>21</v>
      </c>
      <c r="J30" s="3" t="s">
        <v>680</v>
      </c>
      <c r="L30" s="1" t="s">
        <v>679</v>
      </c>
      <c r="N30" s="1" t="s">
        <v>678</v>
      </c>
      <c r="O30" s="1" t="s">
        <v>102</v>
      </c>
      <c r="R30" s="1" t="s">
        <v>107</v>
      </c>
      <c r="S30" s="1" t="str">
        <f t="shared" si="1"/>
        <v>*/CustomsOfficeOfDestinationDeclared/referenceNumber</v>
      </c>
    </row>
    <row r="31" spans="1:19" ht="12" customHeight="1" outlineLevel="1" x14ac:dyDescent="0.25">
      <c r="A31" s="4" t="str">
        <f t="shared" si="0"/>
        <v>CC013C
CC015C
CC170C</v>
      </c>
      <c r="B31" s="4">
        <v>1</v>
      </c>
      <c r="C31" s="4" t="s">
        <v>41</v>
      </c>
      <c r="D31" s="4" t="s">
        <v>91</v>
      </c>
      <c r="E31" s="4" t="s">
        <v>91</v>
      </c>
      <c r="F31" s="4" t="s">
        <v>408</v>
      </c>
      <c r="G31" s="5" t="s">
        <v>110</v>
      </c>
      <c r="H31" s="6"/>
      <c r="I31" s="4" t="s">
        <v>450</v>
      </c>
      <c r="J31" s="4"/>
      <c r="K31" s="4" t="s">
        <v>673</v>
      </c>
      <c r="L31" s="4"/>
      <c r="M31" s="4"/>
      <c r="N31" s="4" t="s">
        <v>672</v>
      </c>
      <c r="O31" s="4" t="s">
        <v>111</v>
      </c>
      <c r="P31" s="4"/>
      <c r="Q31" s="4"/>
      <c r="S31" s="1" t="str">
        <f t="shared" si="1"/>
        <v>*/CustomsOfficeOfTransitDeclared[0]</v>
      </c>
    </row>
    <row r="32" spans="1:19" ht="12" customHeight="1" outlineLevel="2" x14ac:dyDescent="0.25">
      <c r="A32" s="1" t="str">
        <f t="shared" si="0"/>
        <v>CC013C
CC015C
CC170C</v>
      </c>
      <c r="B32" s="1">
        <v>2</v>
      </c>
      <c r="C32" s="1" t="s">
        <v>17</v>
      </c>
      <c r="D32" s="1" t="s">
        <v>18</v>
      </c>
      <c r="E32" s="1" t="s">
        <v>18</v>
      </c>
      <c r="F32" s="1" t="s">
        <v>408</v>
      </c>
      <c r="G32" s="7" t="s">
        <v>93</v>
      </c>
      <c r="H32" s="3" t="s">
        <v>530</v>
      </c>
      <c r="I32" s="1" t="s">
        <v>21</v>
      </c>
      <c r="J32" s="1" t="s">
        <v>475</v>
      </c>
      <c r="O32" s="1" t="s">
        <v>95</v>
      </c>
      <c r="R32" s="1" t="s">
        <v>96</v>
      </c>
      <c r="S32" s="1" t="str">
        <f t="shared" si="1"/>
        <v>*/CustomsOfficeOfTransitDeclared[0]/sequenceNumber</v>
      </c>
    </row>
    <row r="33" spans="1:19" ht="12" customHeight="1" outlineLevel="2" x14ac:dyDescent="0.25">
      <c r="A33" s="1" t="str">
        <f t="shared" si="0"/>
        <v>CC013C
CC015C
CC170C</v>
      </c>
      <c r="B33" s="1">
        <v>2</v>
      </c>
      <c r="C33" s="1" t="s">
        <v>17</v>
      </c>
      <c r="D33" s="1" t="s">
        <v>18</v>
      </c>
      <c r="E33" s="1" t="s">
        <v>18</v>
      </c>
      <c r="F33" s="1" t="s">
        <v>408</v>
      </c>
      <c r="G33" s="7" t="s">
        <v>100</v>
      </c>
      <c r="H33" s="3" t="s">
        <v>106</v>
      </c>
      <c r="I33" s="1" t="s">
        <v>21</v>
      </c>
      <c r="J33" s="3" t="s">
        <v>676</v>
      </c>
      <c r="L33" s="1" t="s">
        <v>674</v>
      </c>
      <c r="N33" s="1" t="s">
        <v>675</v>
      </c>
      <c r="O33" s="1" t="s">
        <v>102</v>
      </c>
      <c r="R33" s="1" t="s">
        <v>107</v>
      </c>
      <c r="S33" s="1" t="str">
        <f t="shared" si="1"/>
        <v>*/CustomsOfficeOfTransitDeclared[0]/referenceNumber</v>
      </c>
    </row>
    <row r="34" spans="1:19" ht="12" customHeight="1" outlineLevel="2" x14ac:dyDescent="0.25">
      <c r="A34" s="1" t="str">
        <f t="shared" si="0"/>
        <v>CC013C
CC015C
CC170C</v>
      </c>
      <c r="B34" s="1">
        <v>2</v>
      </c>
      <c r="C34" s="1" t="s">
        <v>17</v>
      </c>
      <c r="D34" s="1" t="s">
        <v>36</v>
      </c>
      <c r="E34" s="1" t="s">
        <v>36</v>
      </c>
      <c r="F34" s="1" t="s">
        <v>408</v>
      </c>
      <c r="G34" s="7" t="s">
        <v>112</v>
      </c>
      <c r="H34" s="3" t="s">
        <v>65</v>
      </c>
      <c r="I34" s="1" t="s">
        <v>38</v>
      </c>
      <c r="O34" s="1" t="s">
        <v>113</v>
      </c>
      <c r="R34" s="1" t="s">
        <v>114</v>
      </c>
      <c r="S34" s="1" t="str">
        <f t="shared" si="1"/>
        <v>*/CustomsOfficeOfTransitDeclared[0]/arrivalDateAndTimeEstimated</v>
      </c>
    </row>
    <row r="35" spans="1:19" ht="12" customHeight="1" outlineLevel="1" x14ac:dyDescent="0.25">
      <c r="A35" s="4" t="str">
        <f t="shared" si="0"/>
        <v>CC013C
CC015C
CC170C</v>
      </c>
      <c r="B35" s="4">
        <v>1</v>
      </c>
      <c r="C35" s="4" t="s">
        <v>41</v>
      </c>
      <c r="D35" s="4" t="s">
        <v>91</v>
      </c>
      <c r="E35" s="4" t="s">
        <v>155</v>
      </c>
      <c r="F35" s="4" t="s">
        <v>408</v>
      </c>
      <c r="G35" s="5" t="s">
        <v>115</v>
      </c>
      <c r="H35" s="6"/>
      <c r="I35" s="4" t="s">
        <v>450</v>
      </c>
      <c r="J35" s="4" t="s">
        <v>686</v>
      </c>
      <c r="K35" s="4" t="s">
        <v>685</v>
      </c>
      <c r="L35" s="4"/>
      <c r="M35" s="4"/>
      <c r="N35" s="4" t="s">
        <v>681</v>
      </c>
      <c r="O35" s="4" t="s">
        <v>116</v>
      </c>
      <c r="P35" s="4"/>
      <c r="Q35" s="4"/>
      <c r="S35" s="1" t="str">
        <f t="shared" si="1"/>
        <v>*/CustomsOfficeOfExitForTransitDeclared[0]</v>
      </c>
    </row>
    <row r="36" spans="1:19" ht="12" customHeight="1" outlineLevel="2" x14ac:dyDescent="0.25">
      <c r="A36" s="1" t="str">
        <f t="shared" si="0"/>
        <v>CC013C
CC015C
CC170C</v>
      </c>
      <c r="B36" s="1">
        <v>2</v>
      </c>
      <c r="C36" s="1" t="s">
        <v>17</v>
      </c>
      <c r="D36" s="1" t="s">
        <v>18</v>
      </c>
      <c r="E36" s="1" t="s">
        <v>18</v>
      </c>
      <c r="F36" s="1" t="s">
        <v>408</v>
      </c>
      <c r="G36" s="7" t="s">
        <v>93</v>
      </c>
      <c r="H36" s="3" t="s">
        <v>530</v>
      </c>
      <c r="I36" s="1" t="s">
        <v>21</v>
      </c>
      <c r="J36" s="1" t="s">
        <v>475</v>
      </c>
      <c r="O36" s="1" t="s">
        <v>95</v>
      </c>
      <c r="R36" s="1" t="s">
        <v>96</v>
      </c>
      <c r="S36" s="1" t="str">
        <f t="shared" si="1"/>
        <v>*/CustomsOfficeOfExitForTransitDeclared[0]/sequenceNumber</v>
      </c>
    </row>
    <row r="37" spans="1:19" ht="12" customHeight="1" outlineLevel="2" x14ac:dyDescent="0.25">
      <c r="A37" s="1" t="str">
        <f t="shared" si="0"/>
        <v>CC013C
CC015C
CC170C</v>
      </c>
      <c r="B37" s="1">
        <v>2</v>
      </c>
      <c r="C37" s="1" t="s">
        <v>17</v>
      </c>
      <c r="D37" s="1" t="s">
        <v>18</v>
      </c>
      <c r="E37" s="1" t="s">
        <v>18</v>
      </c>
      <c r="F37" s="1" t="s">
        <v>408</v>
      </c>
      <c r="G37" s="7" t="s">
        <v>100</v>
      </c>
      <c r="H37" s="3" t="s">
        <v>106</v>
      </c>
      <c r="I37" s="1" t="s">
        <v>21</v>
      </c>
      <c r="J37" s="1" t="s">
        <v>684</v>
      </c>
      <c r="L37" s="1" t="s">
        <v>683</v>
      </c>
      <c r="N37" s="1" t="s">
        <v>682</v>
      </c>
      <c r="O37" s="1" t="s">
        <v>102</v>
      </c>
      <c r="R37" s="1" t="s">
        <v>107</v>
      </c>
      <c r="S37" s="1" t="str">
        <f t="shared" si="1"/>
        <v>*/CustomsOfficeOfExitForTransitDeclared[0]/referenceNumber</v>
      </c>
    </row>
    <row r="38" spans="1:19" ht="12" customHeight="1" outlineLevel="1" x14ac:dyDescent="0.25">
      <c r="A38" s="4" t="str">
        <f t="shared" si="0"/>
        <v>CC013C
CC015C
CC170C</v>
      </c>
      <c r="B38" s="4">
        <v>1</v>
      </c>
      <c r="C38" s="4" t="s">
        <v>41</v>
      </c>
      <c r="D38" s="4" t="s">
        <v>18</v>
      </c>
      <c r="E38" s="4" t="s">
        <v>18</v>
      </c>
      <c r="F38" s="4" t="s">
        <v>18</v>
      </c>
      <c r="G38" s="5" t="s">
        <v>117</v>
      </c>
      <c r="H38" s="6"/>
      <c r="I38" s="4" t="s">
        <v>21</v>
      </c>
      <c r="J38" s="4"/>
      <c r="K38" s="4"/>
      <c r="L38" s="4"/>
      <c r="M38" s="4"/>
      <c r="N38" s="4" t="s">
        <v>573</v>
      </c>
      <c r="O38" s="4" t="s">
        <v>118</v>
      </c>
      <c r="P38" s="4"/>
      <c r="Q38" s="4"/>
      <c r="S38" s="1" t="str">
        <f t="shared" si="1"/>
        <v>*/HolderOfTheTransitProcedure</v>
      </c>
    </row>
    <row r="39" spans="1:19" ht="12" customHeight="1" outlineLevel="2" x14ac:dyDescent="0.25">
      <c r="A39" s="1" t="str">
        <f t="shared" si="0"/>
        <v>CC013C
CC015C
CC170C</v>
      </c>
      <c r="B39" s="1">
        <v>2</v>
      </c>
      <c r="C39" s="1" t="s">
        <v>17</v>
      </c>
      <c r="D39" s="1" t="s">
        <v>36</v>
      </c>
      <c r="E39" s="1" t="s">
        <v>36</v>
      </c>
      <c r="F39" s="1" t="s">
        <v>36</v>
      </c>
      <c r="G39" s="7" t="s">
        <v>119</v>
      </c>
      <c r="H39" s="3" t="s">
        <v>120</v>
      </c>
      <c r="I39" s="1" t="s">
        <v>38</v>
      </c>
      <c r="J39" s="3" t="s">
        <v>575</v>
      </c>
      <c r="N39" s="1" t="s">
        <v>574</v>
      </c>
      <c r="O39" s="1" t="s">
        <v>121</v>
      </c>
      <c r="R39" s="1" t="s">
        <v>122</v>
      </c>
      <c r="S39" s="1" t="str">
        <f t="shared" si="1"/>
        <v>*/HolderOfTheTransitProcedure/identificationNumber</v>
      </c>
    </row>
    <row r="40" spans="1:19" ht="12" customHeight="1" outlineLevel="2" x14ac:dyDescent="0.25">
      <c r="A40" s="1" t="str">
        <f t="shared" si="0"/>
        <v>CC013C
CC015C
CC170C</v>
      </c>
      <c r="B40" s="1">
        <v>2</v>
      </c>
      <c r="C40" s="1" t="s">
        <v>17</v>
      </c>
      <c r="D40" s="1" t="s">
        <v>18</v>
      </c>
      <c r="E40" s="1" t="s">
        <v>36</v>
      </c>
      <c r="F40" s="1" t="s">
        <v>18</v>
      </c>
      <c r="G40" s="7" t="s">
        <v>123</v>
      </c>
      <c r="H40" s="3" t="s">
        <v>120</v>
      </c>
      <c r="I40" s="1" t="s">
        <v>450</v>
      </c>
      <c r="J40" s="1" t="s">
        <v>458</v>
      </c>
      <c r="K40" s="1" t="s">
        <v>578</v>
      </c>
      <c r="N40" s="1" t="s">
        <v>576</v>
      </c>
      <c r="O40" s="1" t="s">
        <v>124</v>
      </c>
      <c r="R40" s="1" t="s">
        <v>125</v>
      </c>
      <c r="S40" s="1" t="str">
        <f t="shared" si="1"/>
        <v>*/HolderOfTheTransitProcedure/TIRHolderIdentificationNumber</v>
      </c>
    </row>
    <row r="41" spans="1:19" ht="12" customHeight="1" outlineLevel="2" x14ac:dyDescent="0.25">
      <c r="A41" s="1" t="str">
        <f t="shared" si="0"/>
        <v>CC013C
CC015C
CC170C</v>
      </c>
      <c r="B41" s="1">
        <v>2</v>
      </c>
      <c r="C41" s="1" t="s">
        <v>17</v>
      </c>
      <c r="D41" s="1" t="s">
        <v>36</v>
      </c>
      <c r="E41" s="1" t="s">
        <v>36</v>
      </c>
      <c r="F41" s="1" t="s">
        <v>36</v>
      </c>
      <c r="G41" s="7" t="s">
        <v>4</v>
      </c>
      <c r="H41" s="3" t="s">
        <v>126</v>
      </c>
      <c r="I41" s="1" t="s">
        <v>450</v>
      </c>
      <c r="K41" s="1" t="s">
        <v>541</v>
      </c>
      <c r="N41" s="1" t="s">
        <v>577</v>
      </c>
      <c r="O41" s="1" t="s">
        <v>127</v>
      </c>
      <c r="R41" s="1" t="s">
        <v>128</v>
      </c>
      <c r="S41" s="1" t="str">
        <f t="shared" si="1"/>
        <v>*/HolderOfTheTransitProcedure/name</v>
      </c>
    </row>
    <row r="42" spans="1:19" ht="12" customHeight="1" outlineLevel="2" x14ac:dyDescent="0.25">
      <c r="A42" s="4" t="str">
        <f t="shared" si="0"/>
        <v>CC013C
CC015C
CC170C</v>
      </c>
      <c r="B42" s="4">
        <v>2</v>
      </c>
      <c r="C42" s="4" t="s">
        <v>41</v>
      </c>
      <c r="D42" s="4" t="s">
        <v>36</v>
      </c>
      <c r="E42" s="4" t="s">
        <v>36</v>
      </c>
      <c r="F42" s="4" t="s">
        <v>36</v>
      </c>
      <c r="G42" s="8" t="s">
        <v>129</v>
      </c>
      <c r="H42" s="6"/>
      <c r="I42" s="4" t="s">
        <v>450</v>
      </c>
      <c r="J42" s="4"/>
      <c r="K42" s="4" t="s">
        <v>541</v>
      </c>
      <c r="L42" s="4"/>
      <c r="M42" s="4"/>
      <c r="N42" s="4" t="s">
        <v>579</v>
      </c>
      <c r="O42" s="4" t="s">
        <v>129</v>
      </c>
      <c r="P42" s="4"/>
      <c r="Q42" s="4"/>
      <c r="S42" s="1" t="str">
        <f t="shared" si="1"/>
        <v>*/HolderOfTheTransitProcedure/Address</v>
      </c>
    </row>
    <row r="43" spans="1:19" ht="12" customHeight="1" outlineLevel="3" x14ac:dyDescent="0.25">
      <c r="A43" s="1" t="str">
        <f t="shared" si="0"/>
        <v>CC013C
CC015C
CC170C</v>
      </c>
      <c r="B43" s="1">
        <v>3</v>
      </c>
      <c r="C43" s="1" t="s">
        <v>17</v>
      </c>
      <c r="D43" s="1" t="s">
        <v>18</v>
      </c>
      <c r="E43" s="1" t="s">
        <v>18</v>
      </c>
      <c r="F43" s="1" t="s">
        <v>18</v>
      </c>
      <c r="G43" s="9" t="s">
        <v>130</v>
      </c>
      <c r="H43" s="3" t="s">
        <v>126</v>
      </c>
      <c r="I43" s="1" t="s">
        <v>21</v>
      </c>
      <c r="N43" s="1" t="s">
        <v>580</v>
      </c>
      <c r="O43" s="1" t="s">
        <v>131</v>
      </c>
      <c r="R43" s="1" t="s">
        <v>132</v>
      </c>
      <c r="S43" s="1" t="str">
        <f t="shared" si="1"/>
        <v>*/HolderOfTheTransitProcedure/Address/streetAndNumber</v>
      </c>
    </row>
    <row r="44" spans="1:19" ht="12" customHeight="1" outlineLevel="3" x14ac:dyDescent="0.25">
      <c r="A44" s="1" t="str">
        <f t="shared" si="0"/>
        <v>CC013C
CC015C
CC170C</v>
      </c>
      <c r="B44" s="1">
        <v>3</v>
      </c>
      <c r="C44" s="1" t="s">
        <v>17</v>
      </c>
      <c r="D44" s="1" t="s">
        <v>36</v>
      </c>
      <c r="E44" s="1" t="s">
        <v>36</v>
      </c>
      <c r="F44" s="1" t="s">
        <v>36</v>
      </c>
      <c r="G44" s="9" t="s">
        <v>133</v>
      </c>
      <c r="H44" s="3" t="s">
        <v>120</v>
      </c>
      <c r="I44" s="1" t="s">
        <v>450</v>
      </c>
      <c r="K44" s="1" t="s">
        <v>544</v>
      </c>
      <c r="N44" s="1" t="s">
        <v>581</v>
      </c>
      <c r="O44" s="1" t="s">
        <v>134</v>
      </c>
      <c r="R44" s="1" t="s">
        <v>135</v>
      </c>
      <c r="S44" s="1" t="str">
        <f t="shared" si="1"/>
        <v>*/HolderOfTheTransitProcedure/Address/postcode</v>
      </c>
    </row>
    <row r="45" spans="1:19" ht="12" customHeight="1" outlineLevel="3" x14ac:dyDescent="0.25">
      <c r="A45" s="1" t="str">
        <f t="shared" si="0"/>
        <v>CC013C
CC015C
CC170C</v>
      </c>
      <c r="B45" s="1">
        <v>3</v>
      </c>
      <c r="C45" s="1" t="s">
        <v>17</v>
      </c>
      <c r="D45" s="1" t="s">
        <v>18</v>
      </c>
      <c r="E45" s="1" t="s">
        <v>18</v>
      </c>
      <c r="F45" s="1" t="s">
        <v>18</v>
      </c>
      <c r="G45" s="9" t="s">
        <v>136</v>
      </c>
      <c r="H45" s="3" t="s">
        <v>101</v>
      </c>
      <c r="I45" s="1" t="s">
        <v>21</v>
      </c>
      <c r="N45" s="1" t="s">
        <v>582</v>
      </c>
      <c r="O45" s="1" t="s">
        <v>137</v>
      </c>
      <c r="R45" s="1" t="s">
        <v>138</v>
      </c>
      <c r="S45" s="1" t="str">
        <f t="shared" si="1"/>
        <v>*/HolderOfTheTransitProcedure/Address/city</v>
      </c>
    </row>
    <row r="46" spans="1:19" ht="12" customHeight="1" outlineLevel="3" x14ac:dyDescent="0.25">
      <c r="A46" s="1" t="str">
        <f t="shared" si="0"/>
        <v>CC013C
CC015C
CC170C</v>
      </c>
      <c r="B46" s="1">
        <v>3</v>
      </c>
      <c r="C46" s="1" t="s">
        <v>17</v>
      </c>
      <c r="D46" s="1" t="s">
        <v>18</v>
      </c>
      <c r="E46" s="1" t="s">
        <v>18</v>
      </c>
      <c r="F46" s="1" t="s">
        <v>18</v>
      </c>
      <c r="G46" s="9" t="s">
        <v>139</v>
      </c>
      <c r="H46" s="3" t="s">
        <v>140</v>
      </c>
      <c r="I46" s="1" t="s">
        <v>21</v>
      </c>
      <c r="L46" s="1" t="s">
        <v>547</v>
      </c>
      <c r="N46" s="1" t="s">
        <v>583</v>
      </c>
      <c r="O46" s="1" t="s">
        <v>141</v>
      </c>
      <c r="R46" s="1" t="s">
        <v>142</v>
      </c>
      <c r="S46" s="1" t="str">
        <f t="shared" si="1"/>
        <v>*/HolderOfTheTransitProcedure/Address/country</v>
      </c>
    </row>
    <row r="47" spans="1:19" ht="12" customHeight="1" outlineLevel="2" x14ac:dyDescent="0.25">
      <c r="A47" s="4" t="str">
        <f t="shared" si="0"/>
        <v>CC013C
CC015C
CC170C</v>
      </c>
      <c r="B47" s="4">
        <v>2</v>
      </c>
      <c r="C47" s="4" t="s">
        <v>41</v>
      </c>
      <c r="D47" s="4" t="s">
        <v>36</v>
      </c>
      <c r="E47" s="4" t="s">
        <v>36</v>
      </c>
      <c r="F47" s="4" t="s">
        <v>408</v>
      </c>
      <c r="G47" s="8" t="s">
        <v>143</v>
      </c>
      <c r="H47" s="6"/>
      <c r="I47" s="4" t="s">
        <v>38</v>
      </c>
      <c r="J47" s="4" t="s">
        <v>549</v>
      </c>
      <c r="K47" s="4"/>
      <c r="L47" s="4"/>
      <c r="M47" s="4"/>
      <c r="N47" s="4" t="s">
        <v>584</v>
      </c>
      <c r="O47" s="4" t="s">
        <v>144</v>
      </c>
      <c r="P47" s="4"/>
      <c r="Q47" s="4"/>
      <c r="S47" s="1" t="str">
        <f t="shared" si="1"/>
        <v>*/HolderOfTheTransitProcedure/ContactPerson</v>
      </c>
    </row>
    <row r="48" spans="1:19" ht="12" customHeight="1" outlineLevel="3" x14ac:dyDescent="0.25">
      <c r="A48" s="1" t="str">
        <f t="shared" si="0"/>
        <v>CC013C
CC015C
CC170C</v>
      </c>
      <c r="B48" s="1">
        <v>3</v>
      </c>
      <c r="C48" s="1" t="s">
        <v>17</v>
      </c>
      <c r="D48" s="1" t="s">
        <v>18</v>
      </c>
      <c r="E48" s="1" t="s">
        <v>18</v>
      </c>
      <c r="F48" s="1" t="s">
        <v>408</v>
      </c>
      <c r="G48" s="9" t="s">
        <v>4</v>
      </c>
      <c r="H48" s="3" t="s">
        <v>126</v>
      </c>
      <c r="I48" s="1" t="s">
        <v>21</v>
      </c>
      <c r="N48" s="1" t="s">
        <v>585</v>
      </c>
      <c r="O48" s="1" t="s">
        <v>127</v>
      </c>
      <c r="R48" s="1" t="s">
        <v>128</v>
      </c>
      <c r="S48" s="1" t="str">
        <f t="shared" si="1"/>
        <v>*/HolderOfTheTransitProcedure/ContactPerson/name</v>
      </c>
    </row>
    <row r="49" spans="1:19" ht="12" customHeight="1" outlineLevel="3" x14ac:dyDescent="0.25">
      <c r="A49" s="1" t="str">
        <f t="shared" si="0"/>
        <v>CC013C
CC015C
CC170C</v>
      </c>
      <c r="B49" s="1">
        <v>3</v>
      </c>
      <c r="C49" s="1" t="s">
        <v>17</v>
      </c>
      <c r="D49" s="1" t="s">
        <v>18</v>
      </c>
      <c r="E49" s="1" t="s">
        <v>18</v>
      </c>
      <c r="F49" s="1" t="s">
        <v>408</v>
      </c>
      <c r="G49" s="9" t="s">
        <v>145</v>
      </c>
      <c r="H49" s="3" t="s">
        <v>20</v>
      </c>
      <c r="I49" s="1" t="s">
        <v>21</v>
      </c>
      <c r="N49" s="1" t="s">
        <v>586</v>
      </c>
      <c r="O49" s="1" t="s">
        <v>146</v>
      </c>
      <c r="R49" s="1" t="s">
        <v>147</v>
      </c>
      <c r="S49" s="1" t="str">
        <f t="shared" si="1"/>
        <v>*/HolderOfTheTransitProcedure/ContactPerson/phoneNumber</v>
      </c>
    </row>
    <row r="50" spans="1:19" ht="12" customHeight="1" outlineLevel="3" x14ac:dyDescent="0.25">
      <c r="A50" s="1" t="str">
        <f t="shared" si="0"/>
        <v>CC013C
CC015C
CC170C</v>
      </c>
      <c r="B50" s="1">
        <v>3</v>
      </c>
      <c r="C50" s="1" t="s">
        <v>17</v>
      </c>
      <c r="D50" s="1" t="s">
        <v>36</v>
      </c>
      <c r="E50" s="1" t="s">
        <v>36</v>
      </c>
      <c r="F50" s="1" t="s">
        <v>408</v>
      </c>
      <c r="G50" s="9" t="s">
        <v>148</v>
      </c>
      <c r="H50" s="3" t="s">
        <v>149</v>
      </c>
      <c r="I50" s="1" t="s">
        <v>38</v>
      </c>
      <c r="J50" s="1" t="s">
        <v>458</v>
      </c>
      <c r="N50" s="1" t="s">
        <v>587</v>
      </c>
      <c r="O50" s="1" t="s">
        <v>150</v>
      </c>
      <c r="R50" s="1" t="s">
        <v>151</v>
      </c>
      <c r="S50" s="1" t="str">
        <f t="shared" si="1"/>
        <v>*/HolderOfTheTransitProcedure/ContactPerson/eMailAddress</v>
      </c>
    </row>
    <row r="51" spans="1:19" ht="12" customHeight="1" outlineLevel="1" x14ac:dyDescent="0.25">
      <c r="A51" s="4" t="str">
        <f t="shared" si="0"/>
        <v>CC013C
CC015C
CC170C</v>
      </c>
      <c r="B51" s="4">
        <v>1</v>
      </c>
      <c r="C51" s="4" t="s">
        <v>41</v>
      </c>
      <c r="D51" s="4" t="s">
        <v>36</v>
      </c>
      <c r="E51" s="4" t="s">
        <v>36</v>
      </c>
      <c r="F51" s="4" t="s">
        <v>36</v>
      </c>
      <c r="G51" s="5" t="s">
        <v>152</v>
      </c>
      <c r="H51" s="6"/>
      <c r="I51" s="4" t="s">
        <v>38</v>
      </c>
      <c r="J51" s="4" t="s">
        <v>572</v>
      </c>
      <c r="K51" s="4"/>
      <c r="L51" s="4"/>
      <c r="M51" s="4"/>
      <c r="N51" s="4" t="s">
        <v>565</v>
      </c>
      <c r="O51" s="4" t="s">
        <v>152</v>
      </c>
      <c r="P51" s="4"/>
      <c r="Q51" s="4"/>
      <c r="S51" s="1" t="str">
        <f t="shared" si="1"/>
        <v>*/Representative</v>
      </c>
    </row>
    <row r="52" spans="1:19" ht="12" customHeight="1" outlineLevel="2" x14ac:dyDescent="0.25">
      <c r="A52" s="1" t="str">
        <f t="shared" si="0"/>
        <v>CC013C
CC015C
CC170C</v>
      </c>
      <c r="B52" s="1">
        <v>2</v>
      </c>
      <c r="C52" s="1" t="s">
        <v>17</v>
      </c>
      <c r="D52" s="1" t="s">
        <v>18</v>
      </c>
      <c r="E52" s="1" t="s">
        <v>18</v>
      </c>
      <c r="F52" s="1" t="s">
        <v>18</v>
      </c>
      <c r="G52" s="7" t="s">
        <v>119</v>
      </c>
      <c r="H52" s="3" t="s">
        <v>120</v>
      </c>
      <c r="I52" s="1" t="s">
        <v>21</v>
      </c>
      <c r="J52" s="1" t="s">
        <v>537</v>
      </c>
      <c r="N52" s="1" t="s">
        <v>564</v>
      </c>
      <c r="O52" s="1" t="s">
        <v>121</v>
      </c>
      <c r="R52" s="1" t="s">
        <v>122</v>
      </c>
      <c r="S52" s="1" t="str">
        <f t="shared" si="1"/>
        <v>*/Representative/identificationNumber</v>
      </c>
    </row>
    <row r="53" spans="1:19" ht="12" customHeight="1" outlineLevel="2" x14ac:dyDescent="0.25">
      <c r="A53" s="1" t="str">
        <f t="shared" si="0"/>
        <v>CC013C
CC015C
CC170C</v>
      </c>
      <c r="B53" s="1">
        <v>2</v>
      </c>
      <c r="C53" s="1" t="s">
        <v>17</v>
      </c>
      <c r="D53" s="1" t="s">
        <v>18</v>
      </c>
      <c r="E53" s="1" t="s">
        <v>18</v>
      </c>
      <c r="F53" s="1" t="s">
        <v>18</v>
      </c>
      <c r="G53" s="7" t="s">
        <v>6</v>
      </c>
      <c r="H53" s="3" t="s">
        <v>69</v>
      </c>
      <c r="I53" s="1" t="s">
        <v>21</v>
      </c>
      <c r="L53" s="1" t="s">
        <v>571</v>
      </c>
      <c r="N53" s="1" t="s">
        <v>566</v>
      </c>
      <c r="O53" s="1" t="s">
        <v>153</v>
      </c>
      <c r="R53" s="1" t="s">
        <v>154</v>
      </c>
      <c r="S53" s="1" t="str">
        <f t="shared" si="1"/>
        <v>*/Representative/status</v>
      </c>
    </row>
    <row r="54" spans="1:19" ht="12" customHeight="1" outlineLevel="2" x14ac:dyDescent="0.25">
      <c r="A54" s="4" t="str">
        <f t="shared" si="0"/>
        <v>CC013C
CC015C
CC170C</v>
      </c>
      <c r="B54" s="4">
        <v>2</v>
      </c>
      <c r="C54" s="4" t="s">
        <v>41</v>
      </c>
      <c r="D54" s="4" t="s">
        <v>36</v>
      </c>
      <c r="E54" s="4" t="s">
        <v>36</v>
      </c>
      <c r="F54" s="4" t="s">
        <v>36</v>
      </c>
      <c r="G54" s="8" t="s">
        <v>143</v>
      </c>
      <c r="H54" s="6"/>
      <c r="I54" s="4" t="s">
        <v>38</v>
      </c>
      <c r="J54" s="4" t="s">
        <v>549</v>
      </c>
      <c r="K54" s="4"/>
      <c r="L54" s="4"/>
      <c r="M54" s="4"/>
      <c r="N54" s="4" t="s">
        <v>567</v>
      </c>
      <c r="O54" s="4" t="s">
        <v>144</v>
      </c>
      <c r="P54" s="4"/>
      <c r="Q54" s="4"/>
      <c r="S54" s="1" t="str">
        <f t="shared" si="1"/>
        <v>*/Representative/ContactPerson</v>
      </c>
    </row>
    <row r="55" spans="1:19" ht="12" customHeight="1" outlineLevel="3" x14ac:dyDescent="0.25">
      <c r="A55" s="1" t="str">
        <f t="shared" si="0"/>
        <v>CC013C
CC015C
CC170C</v>
      </c>
      <c r="B55" s="1">
        <v>3</v>
      </c>
      <c r="C55" s="1" t="s">
        <v>17</v>
      </c>
      <c r="D55" s="1" t="s">
        <v>18</v>
      </c>
      <c r="E55" s="1" t="s">
        <v>18</v>
      </c>
      <c r="F55" s="1" t="s">
        <v>18</v>
      </c>
      <c r="G55" s="9" t="s">
        <v>4</v>
      </c>
      <c r="H55" s="3" t="s">
        <v>126</v>
      </c>
      <c r="I55" s="1" t="s">
        <v>21</v>
      </c>
      <c r="N55" s="1" t="s">
        <v>568</v>
      </c>
      <c r="O55" s="1" t="s">
        <v>127</v>
      </c>
      <c r="R55" s="1" t="s">
        <v>128</v>
      </c>
      <c r="S55" s="1" t="str">
        <f t="shared" si="1"/>
        <v>*/Representative/ContactPerson/name</v>
      </c>
    </row>
    <row r="56" spans="1:19" ht="12" customHeight="1" outlineLevel="3" x14ac:dyDescent="0.25">
      <c r="A56" s="1" t="str">
        <f t="shared" si="0"/>
        <v>CC013C
CC015C
CC170C</v>
      </c>
      <c r="B56" s="1">
        <v>3</v>
      </c>
      <c r="C56" s="1" t="s">
        <v>17</v>
      </c>
      <c r="D56" s="1" t="s">
        <v>18</v>
      </c>
      <c r="E56" s="1" t="s">
        <v>18</v>
      </c>
      <c r="F56" s="1" t="s">
        <v>18</v>
      </c>
      <c r="G56" s="9" t="s">
        <v>145</v>
      </c>
      <c r="H56" s="3" t="s">
        <v>20</v>
      </c>
      <c r="I56" s="1" t="s">
        <v>21</v>
      </c>
      <c r="N56" s="1" t="s">
        <v>569</v>
      </c>
      <c r="O56" s="1" t="s">
        <v>146</v>
      </c>
      <c r="R56" s="1" t="s">
        <v>147</v>
      </c>
      <c r="S56" s="1" t="str">
        <f t="shared" si="1"/>
        <v>*/Representative/ContactPerson/phoneNumber</v>
      </c>
    </row>
    <row r="57" spans="1:19" ht="12" customHeight="1" outlineLevel="3" x14ac:dyDescent="0.25">
      <c r="A57" s="1" t="str">
        <f t="shared" si="0"/>
        <v>CC013C
CC015C
CC170C</v>
      </c>
      <c r="B57" s="1">
        <v>3</v>
      </c>
      <c r="C57" s="1" t="s">
        <v>17</v>
      </c>
      <c r="D57" s="1" t="s">
        <v>36</v>
      </c>
      <c r="E57" s="1" t="s">
        <v>36</v>
      </c>
      <c r="F57" s="1" t="s">
        <v>36</v>
      </c>
      <c r="G57" s="9" t="s">
        <v>148</v>
      </c>
      <c r="H57" s="3" t="s">
        <v>149</v>
      </c>
      <c r="I57" s="1" t="s">
        <v>38</v>
      </c>
      <c r="J57" s="1" t="s">
        <v>458</v>
      </c>
      <c r="N57" s="1" t="s">
        <v>570</v>
      </c>
      <c r="O57" s="1" t="s">
        <v>150</v>
      </c>
      <c r="R57" s="1" t="s">
        <v>151</v>
      </c>
      <c r="S57" s="1" t="str">
        <f t="shared" si="1"/>
        <v>*/Representative/ContactPerson/eMailAddress</v>
      </c>
    </row>
    <row r="58" spans="1:19" ht="12" customHeight="1" outlineLevel="1" x14ac:dyDescent="0.25">
      <c r="A58" s="4" t="str">
        <f t="shared" si="0"/>
        <v>CC013C
CC015C
CC170C</v>
      </c>
      <c r="B58" s="4">
        <v>1</v>
      </c>
      <c r="C58" s="4" t="s">
        <v>41</v>
      </c>
      <c r="D58" s="4" t="s">
        <v>155</v>
      </c>
      <c r="E58" s="4" t="s">
        <v>155</v>
      </c>
      <c r="F58" s="4" t="s">
        <v>408</v>
      </c>
      <c r="G58" s="5" t="s">
        <v>156</v>
      </c>
      <c r="H58" s="6"/>
      <c r="I58" s="4" t="s">
        <v>21</v>
      </c>
      <c r="J58" s="4"/>
      <c r="K58" s="4"/>
      <c r="L58" s="4"/>
      <c r="M58" s="4"/>
      <c r="N58" s="4" t="s">
        <v>768</v>
      </c>
      <c r="O58" s="4" t="s">
        <v>156</v>
      </c>
      <c r="P58" s="4"/>
      <c r="Q58" s="4"/>
      <c r="S58" s="1" t="str">
        <f t="shared" si="1"/>
        <v>*/Guarantee[0]</v>
      </c>
    </row>
    <row r="59" spans="1:19" ht="12" customHeight="1" outlineLevel="2" x14ac:dyDescent="0.25">
      <c r="A59" s="1" t="str">
        <f t="shared" si="0"/>
        <v>CC013C
CC015C
CC170C</v>
      </c>
      <c r="B59" s="1">
        <v>2</v>
      </c>
      <c r="C59" s="1" t="s">
        <v>17</v>
      </c>
      <c r="D59" s="1" t="s">
        <v>18</v>
      </c>
      <c r="E59" s="1" t="s">
        <v>18</v>
      </c>
      <c r="F59" s="1" t="s">
        <v>408</v>
      </c>
      <c r="G59" s="7" t="s">
        <v>93</v>
      </c>
      <c r="H59" s="3" t="s">
        <v>530</v>
      </c>
      <c r="I59" s="1" t="s">
        <v>21</v>
      </c>
      <c r="J59" s="1" t="s">
        <v>475</v>
      </c>
      <c r="O59" s="1" t="s">
        <v>95</v>
      </c>
      <c r="R59" s="1" t="s">
        <v>96</v>
      </c>
      <c r="S59" s="1" t="str">
        <f t="shared" si="1"/>
        <v>*/Guarantee[0]/sequenceNumber</v>
      </c>
    </row>
    <row r="60" spans="1:19" ht="12" customHeight="1" outlineLevel="2" x14ac:dyDescent="0.25">
      <c r="A60" s="1" t="str">
        <f t="shared" si="0"/>
        <v>CC013C
CC015C
CC170C</v>
      </c>
      <c r="B60" s="1">
        <v>2</v>
      </c>
      <c r="C60" s="1" t="s">
        <v>17</v>
      </c>
      <c r="D60" s="1" t="s">
        <v>18</v>
      </c>
      <c r="E60" s="1" t="s">
        <v>18</v>
      </c>
      <c r="F60" s="1" t="s">
        <v>408</v>
      </c>
      <c r="G60" s="7" t="s">
        <v>157</v>
      </c>
      <c r="H60" s="3" t="s">
        <v>158</v>
      </c>
      <c r="I60" s="1" t="s">
        <v>21</v>
      </c>
      <c r="J60" s="1" t="s">
        <v>771</v>
      </c>
      <c r="L60" s="1" t="s">
        <v>770</v>
      </c>
      <c r="N60" s="1" t="s">
        <v>769</v>
      </c>
      <c r="O60" s="1" t="s">
        <v>159</v>
      </c>
      <c r="R60" s="1" t="s">
        <v>160</v>
      </c>
      <c r="S60" s="1" t="str">
        <f t="shared" si="1"/>
        <v>*/Guarantee[0]/guaranteeType</v>
      </c>
    </row>
    <row r="61" spans="1:19" ht="12" customHeight="1" outlineLevel="2" x14ac:dyDescent="0.25">
      <c r="A61" s="1" t="str">
        <f t="shared" si="0"/>
        <v>CC013C
CC015C
CC170C</v>
      </c>
      <c r="B61" s="1">
        <v>2</v>
      </c>
      <c r="C61" s="1" t="s">
        <v>17</v>
      </c>
      <c r="D61" s="1" t="s">
        <v>36</v>
      </c>
      <c r="E61" s="1" t="s">
        <v>36</v>
      </c>
      <c r="F61" s="1" t="s">
        <v>408</v>
      </c>
      <c r="G61" s="7" t="s">
        <v>161</v>
      </c>
      <c r="H61" s="3" t="s">
        <v>101</v>
      </c>
      <c r="I61" s="1" t="s">
        <v>450</v>
      </c>
      <c r="K61" s="1" t="s">
        <v>773</v>
      </c>
      <c r="N61" s="1" t="s">
        <v>772</v>
      </c>
      <c r="O61" s="1" t="s">
        <v>162</v>
      </c>
      <c r="R61" s="1" t="s">
        <v>163</v>
      </c>
      <c r="S61" s="1" t="str">
        <f t="shared" si="1"/>
        <v>*/Guarantee[0]/otherGuaranteeReference</v>
      </c>
    </row>
    <row r="62" spans="1:19" ht="12" customHeight="1" outlineLevel="2" x14ac:dyDescent="0.25">
      <c r="A62" s="4" t="str">
        <f t="shared" si="0"/>
        <v>CC013C
CC015C
CC170C</v>
      </c>
      <c r="B62" s="4">
        <v>2</v>
      </c>
      <c r="C62" s="4" t="s">
        <v>41</v>
      </c>
      <c r="D62" s="4" t="s">
        <v>164</v>
      </c>
      <c r="E62" s="4" t="s">
        <v>164</v>
      </c>
      <c r="F62" s="4" t="s">
        <v>408</v>
      </c>
      <c r="G62" s="8" t="s">
        <v>165</v>
      </c>
      <c r="H62" s="6"/>
      <c r="I62" s="4" t="s">
        <v>450</v>
      </c>
      <c r="J62" s="4"/>
      <c r="K62" s="4" t="s">
        <v>775</v>
      </c>
      <c r="L62" s="4"/>
      <c r="M62" s="4"/>
      <c r="N62" s="4" t="s">
        <v>774</v>
      </c>
      <c r="O62" s="4" t="s">
        <v>166</v>
      </c>
      <c r="P62" s="4"/>
      <c r="Q62" s="4"/>
      <c r="S62" s="1" t="str">
        <f t="shared" si="1"/>
        <v>*/Guarantee[0]/GuaranteeReference[0]</v>
      </c>
    </row>
    <row r="63" spans="1:19" ht="12" customHeight="1" outlineLevel="3" x14ac:dyDescent="0.25">
      <c r="A63" s="1" t="str">
        <f t="shared" si="0"/>
        <v>CC013C
CC015C
CC170C</v>
      </c>
      <c r="B63" s="1">
        <v>3</v>
      </c>
      <c r="C63" s="1" t="s">
        <v>17</v>
      </c>
      <c r="D63" s="1" t="s">
        <v>18</v>
      </c>
      <c r="E63" s="1" t="s">
        <v>18</v>
      </c>
      <c r="F63" s="1" t="s">
        <v>408</v>
      </c>
      <c r="G63" s="9" t="s">
        <v>93</v>
      </c>
      <c r="H63" s="3" t="s">
        <v>483</v>
      </c>
      <c r="I63" s="1" t="s">
        <v>21</v>
      </c>
      <c r="J63" s="1" t="s">
        <v>475</v>
      </c>
      <c r="O63" s="1" t="s">
        <v>95</v>
      </c>
      <c r="R63" s="1" t="s">
        <v>96</v>
      </c>
      <c r="S63" s="1" t="str">
        <f t="shared" si="1"/>
        <v>*/Guarantee[0]/GuaranteeReference[0]/sequenceNumber</v>
      </c>
    </row>
    <row r="64" spans="1:19" ht="12" customHeight="1" outlineLevel="3" x14ac:dyDescent="0.25">
      <c r="A64" s="1" t="str">
        <f t="shared" si="0"/>
        <v>CC013C
CC015C
CC170C</v>
      </c>
      <c r="B64" s="1">
        <v>3</v>
      </c>
      <c r="C64" s="1" t="s">
        <v>17</v>
      </c>
      <c r="D64" s="1" t="s">
        <v>36</v>
      </c>
      <c r="E64" s="1" t="s">
        <v>36</v>
      </c>
      <c r="F64" s="1" t="s">
        <v>408</v>
      </c>
      <c r="G64" s="9" t="s">
        <v>167</v>
      </c>
      <c r="H64" s="3" t="s">
        <v>168</v>
      </c>
      <c r="I64" s="1" t="s">
        <v>450</v>
      </c>
      <c r="J64" s="3" t="s">
        <v>778</v>
      </c>
      <c r="K64" s="1" t="s">
        <v>777</v>
      </c>
      <c r="N64" s="1" t="s">
        <v>776</v>
      </c>
      <c r="O64" s="1" t="s">
        <v>169</v>
      </c>
      <c r="R64" s="1" t="s">
        <v>170</v>
      </c>
      <c r="S64" s="1" t="str">
        <f t="shared" si="1"/>
        <v>*/Guarantee[0]/GuaranteeReference[0]/GRN</v>
      </c>
    </row>
    <row r="65" spans="1:19" ht="12" customHeight="1" outlineLevel="3" x14ac:dyDescent="0.25">
      <c r="A65" s="1" t="str">
        <f t="shared" si="0"/>
        <v>CC013C
CC015C
CC170C</v>
      </c>
      <c r="B65" s="1">
        <v>3</v>
      </c>
      <c r="C65" s="1" t="s">
        <v>17</v>
      </c>
      <c r="D65" s="1" t="s">
        <v>36</v>
      </c>
      <c r="E65" s="1" t="s">
        <v>36</v>
      </c>
      <c r="F65" s="1" t="s">
        <v>408</v>
      </c>
      <c r="G65" s="9" t="s">
        <v>171</v>
      </c>
      <c r="H65" s="3" t="s">
        <v>172</v>
      </c>
      <c r="I65" s="1" t="s">
        <v>450</v>
      </c>
      <c r="K65" s="1" t="s">
        <v>777</v>
      </c>
      <c r="N65" s="1" t="s">
        <v>779</v>
      </c>
      <c r="O65" s="1" t="s">
        <v>173</v>
      </c>
      <c r="R65" s="1" t="s">
        <v>174</v>
      </c>
      <c r="S65" s="1" t="str">
        <f t="shared" si="1"/>
        <v>*/Guarantee[0]/GuaranteeReference[0]/accessCode</v>
      </c>
    </row>
    <row r="66" spans="1:19" ht="12" customHeight="1" outlineLevel="3" x14ac:dyDescent="0.25">
      <c r="A66" s="1" t="str">
        <f t="shared" ref="A66:A129" si="2">$G$2</f>
        <v>CC013C
CC015C
CC170C</v>
      </c>
      <c r="B66" s="1">
        <v>3</v>
      </c>
      <c r="C66" s="1" t="s">
        <v>17</v>
      </c>
      <c r="D66" s="1" t="s">
        <v>18</v>
      </c>
      <c r="E66" s="1" t="s">
        <v>18</v>
      </c>
      <c r="F66" s="1" t="s">
        <v>408</v>
      </c>
      <c r="G66" s="9" t="s">
        <v>175</v>
      </c>
      <c r="H66" s="3" t="s">
        <v>176</v>
      </c>
      <c r="I66" s="1" t="s">
        <v>21</v>
      </c>
      <c r="J66" s="3" t="s">
        <v>781</v>
      </c>
      <c r="N66" s="1" t="s">
        <v>780</v>
      </c>
      <c r="O66" s="1" t="s">
        <v>177</v>
      </c>
      <c r="R66" s="1" t="s">
        <v>178</v>
      </c>
      <c r="S66" s="1" t="str">
        <f t="shared" ref="S66:S129" si="3">IF($B66=0,$O66,_xlfn.TEXTBEFORE(S65,"/",$B66,,,S65)&amp;"/"&amp;$O66)&amp;IF(_xlfn.TEXTAFTER($D66,"..",,,,1)&lt;&gt;"1","[0]","")</f>
        <v>*/Guarantee[0]/GuaranteeReference[0]/amountToBeCovered</v>
      </c>
    </row>
    <row r="67" spans="1:19" ht="12" customHeight="1" outlineLevel="3" x14ac:dyDescent="0.25">
      <c r="A67" s="1" t="str">
        <f t="shared" si="2"/>
        <v>CC013C
CC015C
CC170C</v>
      </c>
      <c r="B67" s="1">
        <v>3</v>
      </c>
      <c r="C67" s="1" t="s">
        <v>17</v>
      </c>
      <c r="D67" s="1" t="s">
        <v>18</v>
      </c>
      <c r="E67" s="1" t="s">
        <v>18</v>
      </c>
      <c r="F67" s="1" t="s">
        <v>408</v>
      </c>
      <c r="G67" s="9" t="s">
        <v>179</v>
      </c>
      <c r="H67" s="3" t="s">
        <v>180</v>
      </c>
      <c r="I67" s="1" t="s">
        <v>21</v>
      </c>
      <c r="J67" s="3" t="s">
        <v>783</v>
      </c>
      <c r="L67" s="1" t="s">
        <v>784</v>
      </c>
      <c r="N67" s="1" t="s">
        <v>782</v>
      </c>
      <c r="O67" s="1" t="s">
        <v>181</v>
      </c>
      <c r="R67" s="1" t="s">
        <v>182</v>
      </c>
      <c r="S67" s="1" t="str">
        <f t="shared" si="3"/>
        <v>*/Guarantee[0]/GuaranteeReference[0]/currency</v>
      </c>
    </row>
    <row r="68" spans="1:19" ht="12" customHeight="1" outlineLevel="1" x14ac:dyDescent="0.25">
      <c r="A68" s="4" t="str">
        <f t="shared" si="2"/>
        <v>CC013C
CC015C
CC170C</v>
      </c>
      <c r="B68" s="4">
        <v>1</v>
      </c>
      <c r="C68" s="4" t="s">
        <v>41</v>
      </c>
      <c r="D68" s="4" t="s">
        <v>18</v>
      </c>
      <c r="E68" s="4" t="s">
        <v>18</v>
      </c>
      <c r="F68" s="4" t="s">
        <v>18</v>
      </c>
      <c r="G68" s="5" t="s">
        <v>183</v>
      </c>
      <c r="H68" s="6"/>
      <c r="I68" s="4" t="s">
        <v>21</v>
      </c>
      <c r="J68" s="4"/>
      <c r="K68" s="4"/>
      <c r="L68" s="4"/>
      <c r="M68" s="4"/>
      <c r="N68" s="4" t="s">
        <v>718</v>
      </c>
      <c r="O68" s="4" t="s">
        <v>183</v>
      </c>
      <c r="P68" s="4"/>
      <c r="Q68" s="4"/>
      <c r="S68" s="1" t="str">
        <f t="shared" si="3"/>
        <v>*/Consignment</v>
      </c>
    </row>
    <row r="69" spans="1:19" ht="12" customHeight="1" outlineLevel="2" x14ac:dyDescent="0.25">
      <c r="A69" s="1" t="str">
        <f t="shared" si="2"/>
        <v>CC013C
CC015C
CC170C</v>
      </c>
      <c r="B69" s="1">
        <v>2</v>
      </c>
      <c r="C69" s="1" t="s">
        <v>17</v>
      </c>
      <c r="D69" s="1" t="s">
        <v>36</v>
      </c>
      <c r="E69" s="1" t="s">
        <v>36</v>
      </c>
      <c r="F69" s="1" t="s">
        <v>408</v>
      </c>
      <c r="G69" s="7" t="s">
        <v>184</v>
      </c>
      <c r="H69" s="3" t="s">
        <v>140</v>
      </c>
      <c r="I69" s="1" t="s">
        <v>450</v>
      </c>
      <c r="J69" s="3" t="s">
        <v>611</v>
      </c>
      <c r="K69" s="1" t="s">
        <v>610</v>
      </c>
      <c r="L69" s="1" t="s">
        <v>606</v>
      </c>
      <c r="N69" s="1" t="s">
        <v>609</v>
      </c>
      <c r="O69" s="1" t="s">
        <v>185</v>
      </c>
      <c r="R69" s="1" t="s">
        <v>186</v>
      </c>
      <c r="S69" s="1" t="str">
        <f t="shared" si="3"/>
        <v>*/Consignment/countryOfDispatch</v>
      </c>
    </row>
    <row r="70" spans="1:19" ht="12" customHeight="1" outlineLevel="2" x14ac:dyDescent="0.25">
      <c r="A70" s="1" t="str">
        <f t="shared" si="2"/>
        <v>CC013C
CC015C
CC170C</v>
      </c>
      <c r="B70" s="1">
        <v>2</v>
      </c>
      <c r="C70" s="1" t="s">
        <v>17</v>
      </c>
      <c r="D70" s="1" t="s">
        <v>36</v>
      </c>
      <c r="E70" s="1" t="s">
        <v>36</v>
      </c>
      <c r="F70" s="1" t="s">
        <v>408</v>
      </c>
      <c r="G70" s="7" t="s">
        <v>187</v>
      </c>
      <c r="H70" s="3" t="s">
        <v>140</v>
      </c>
      <c r="I70" s="1" t="s">
        <v>450</v>
      </c>
      <c r="J70" s="1" t="s">
        <v>608</v>
      </c>
      <c r="K70" s="1" t="s">
        <v>607</v>
      </c>
      <c r="L70" s="1" t="s">
        <v>606</v>
      </c>
      <c r="N70" s="1" t="s">
        <v>605</v>
      </c>
      <c r="O70" s="1" t="s">
        <v>188</v>
      </c>
      <c r="R70" s="1" t="s">
        <v>189</v>
      </c>
      <c r="S70" s="1" t="str">
        <f t="shared" si="3"/>
        <v>*/Consignment/countryOfDestination</v>
      </c>
    </row>
    <row r="71" spans="1:19" ht="12" customHeight="1" outlineLevel="2" x14ac:dyDescent="0.25">
      <c r="A71" s="1" t="str">
        <f t="shared" si="2"/>
        <v>CC013C
CC015C
CC170C</v>
      </c>
      <c r="B71" s="1">
        <v>2</v>
      </c>
      <c r="C71" s="1" t="s">
        <v>17</v>
      </c>
      <c r="D71" s="1" t="s">
        <v>36</v>
      </c>
      <c r="E71" s="1" t="s">
        <v>36</v>
      </c>
      <c r="F71" s="1" t="s">
        <v>36</v>
      </c>
      <c r="G71" s="7" t="s">
        <v>190</v>
      </c>
      <c r="H71" s="3" t="s">
        <v>400</v>
      </c>
      <c r="I71" s="1" t="s">
        <v>450</v>
      </c>
      <c r="J71" s="1" t="s">
        <v>721</v>
      </c>
      <c r="K71" s="1" t="s">
        <v>720</v>
      </c>
      <c r="L71" s="1" t="s">
        <v>473</v>
      </c>
      <c r="N71" s="1" t="s">
        <v>719</v>
      </c>
      <c r="O71" s="1" t="s">
        <v>191</v>
      </c>
      <c r="R71" s="1" t="s">
        <v>74</v>
      </c>
      <c r="S71" s="1" t="str">
        <f t="shared" si="3"/>
        <v>*/Consignment/containerIndicator</v>
      </c>
    </row>
    <row r="72" spans="1:19" ht="12" customHeight="1" outlineLevel="2" x14ac:dyDescent="0.25">
      <c r="A72" s="1" t="str">
        <f t="shared" si="2"/>
        <v>CC013C
CC015C
CC170C</v>
      </c>
      <c r="B72" s="1">
        <v>2</v>
      </c>
      <c r="C72" s="1" t="s">
        <v>17</v>
      </c>
      <c r="D72" s="1" t="s">
        <v>36</v>
      </c>
      <c r="E72" s="1" t="s">
        <v>36</v>
      </c>
      <c r="F72" s="1" t="s">
        <v>36</v>
      </c>
      <c r="G72" s="7" t="s">
        <v>192</v>
      </c>
      <c r="H72" s="3" t="s">
        <v>69</v>
      </c>
      <c r="I72" s="1" t="s">
        <v>38</v>
      </c>
      <c r="L72" s="1" t="s">
        <v>723</v>
      </c>
      <c r="N72" s="1" t="s">
        <v>726</v>
      </c>
      <c r="O72" s="1" t="s">
        <v>193</v>
      </c>
      <c r="R72" s="1" t="s">
        <v>194</v>
      </c>
      <c r="S72" s="1" t="str">
        <f t="shared" si="3"/>
        <v>*/Consignment/inlandModeOfTransport</v>
      </c>
    </row>
    <row r="73" spans="1:19" ht="12" customHeight="1" outlineLevel="2" x14ac:dyDescent="0.25">
      <c r="A73" s="1" t="str">
        <f t="shared" si="2"/>
        <v>CC013C
CC015C
CC170C</v>
      </c>
      <c r="B73" s="1">
        <v>2</v>
      </c>
      <c r="C73" s="1" t="s">
        <v>17</v>
      </c>
      <c r="D73" s="1" t="s">
        <v>36</v>
      </c>
      <c r="E73" s="1" t="s">
        <v>36</v>
      </c>
      <c r="F73" s="1" t="s">
        <v>36</v>
      </c>
      <c r="G73" s="7" t="s">
        <v>195</v>
      </c>
      <c r="H73" s="3" t="s">
        <v>69</v>
      </c>
      <c r="I73" s="1" t="s">
        <v>450</v>
      </c>
      <c r="J73" s="3" t="s">
        <v>725</v>
      </c>
      <c r="K73" s="1" t="s">
        <v>724</v>
      </c>
      <c r="L73" s="1" t="s">
        <v>723</v>
      </c>
      <c r="N73" s="1" t="s">
        <v>722</v>
      </c>
      <c r="O73" s="1" t="s">
        <v>196</v>
      </c>
      <c r="R73" s="1" t="s">
        <v>197</v>
      </c>
      <c r="S73" s="1" t="str">
        <f t="shared" si="3"/>
        <v>*/Consignment/modeOfTransportAtTheBorder</v>
      </c>
    </row>
    <row r="74" spans="1:19" ht="12" customHeight="1" outlineLevel="2" x14ac:dyDescent="0.25">
      <c r="A74" s="1" t="str">
        <f t="shared" si="2"/>
        <v>CC013C
CC015C
CC170C</v>
      </c>
      <c r="B74" s="1">
        <v>2</v>
      </c>
      <c r="C74" s="1" t="s">
        <v>17</v>
      </c>
      <c r="D74" s="1" t="s">
        <v>18</v>
      </c>
      <c r="E74" s="1" t="s">
        <v>18</v>
      </c>
      <c r="F74" s="1" t="s">
        <v>408</v>
      </c>
      <c r="G74" s="7" t="s">
        <v>198</v>
      </c>
      <c r="H74" s="3" t="s">
        <v>199</v>
      </c>
      <c r="I74" s="1" t="s">
        <v>21</v>
      </c>
      <c r="J74" s="3" t="s">
        <v>693</v>
      </c>
      <c r="N74" s="1" t="s">
        <v>692</v>
      </c>
      <c r="O74" s="1" t="s">
        <v>200</v>
      </c>
      <c r="R74" s="1" t="s">
        <v>201</v>
      </c>
      <c r="S74" s="1" t="str">
        <f t="shared" si="3"/>
        <v>*/Consignment/grossMass</v>
      </c>
    </row>
    <row r="75" spans="1:19" ht="12" customHeight="1" outlineLevel="2" x14ac:dyDescent="0.25">
      <c r="A75" s="1" t="str">
        <f t="shared" si="2"/>
        <v>CC013C
CC015C
CC170C</v>
      </c>
      <c r="B75" s="1">
        <v>2</v>
      </c>
      <c r="C75" s="1" t="s">
        <v>17</v>
      </c>
      <c r="D75" s="1" t="s">
        <v>36</v>
      </c>
      <c r="E75" s="1" t="s">
        <v>36</v>
      </c>
      <c r="F75" s="1" t="s">
        <v>408</v>
      </c>
      <c r="G75" s="7" t="s">
        <v>202</v>
      </c>
      <c r="H75" s="3" t="s">
        <v>203</v>
      </c>
      <c r="I75" s="1" t="s">
        <v>450</v>
      </c>
      <c r="J75" s="3" t="s">
        <v>523</v>
      </c>
      <c r="K75" s="1" t="s">
        <v>522</v>
      </c>
      <c r="N75" s="1" t="s">
        <v>521</v>
      </c>
      <c r="O75" s="1" t="s">
        <v>204</v>
      </c>
      <c r="R75" s="1" t="s">
        <v>205</v>
      </c>
      <c r="S75" s="1" t="str">
        <f t="shared" si="3"/>
        <v>*/Consignment/referenceNumberUCR</v>
      </c>
    </row>
    <row r="76" spans="1:19" ht="12" customHeight="1" outlineLevel="2" x14ac:dyDescent="0.25">
      <c r="A76" s="4" t="str">
        <f t="shared" si="2"/>
        <v>CC013C
CC015C
CC170C</v>
      </c>
      <c r="B76" s="4">
        <v>2</v>
      </c>
      <c r="C76" s="4" t="s">
        <v>41</v>
      </c>
      <c r="D76" s="4" t="s">
        <v>36</v>
      </c>
      <c r="E76" s="4" t="s">
        <v>36</v>
      </c>
      <c r="F76" s="4" t="s">
        <v>408</v>
      </c>
      <c r="G76" s="8" t="s">
        <v>206</v>
      </c>
      <c r="H76" s="6"/>
      <c r="I76" s="4" t="s">
        <v>38</v>
      </c>
      <c r="J76" s="4" t="s">
        <v>594</v>
      </c>
      <c r="K76" s="4"/>
      <c r="L76" s="4"/>
      <c r="M76" s="4"/>
      <c r="N76" s="4" t="s">
        <v>588</v>
      </c>
      <c r="O76" s="4" t="s">
        <v>206</v>
      </c>
      <c r="P76" s="4"/>
      <c r="Q76" s="4"/>
      <c r="S76" s="1" t="str">
        <f t="shared" si="3"/>
        <v>*/Consignment/Carrier</v>
      </c>
    </row>
    <row r="77" spans="1:19" ht="12" customHeight="1" outlineLevel="3" x14ac:dyDescent="0.25">
      <c r="A77" s="1" t="str">
        <f t="shared" si="2"/>
        <v>CC013C
CC015C
CC170C</v>
      </c>
      <c r="B77" s="1">
        <v>3</v>
      </c>
      <c r="C77" s="1" t="s">
        <v>17</v>
      </c>
      <c r="D77" s="1" t="s">
        <v>18</v>
      </c>
      <c r="E77" s="1" t="s">
        <v>18</v>
      </c>
      <c r="F77" s="1" t="s">
        <v>408</v>
      </c>
      <c r="G77" s="9" t="s">
        <v>119</v>
      </c>
      <c r="H77" s="3" t="s">
        <v>401</v>
      </c>
      <c r="I77" s="1" t="s">
        <v>21</v>
      </c>
      <c r="J77" s="3" t="s">
        <v>595</v>
      </c>
      <c r="N77" s="1" t="s">
        <v>589</v>
      </c>
      <c r="O77" s="1" t="s">
        <v>121</v>
      </c>
      <c r="R77" s="1" t="s">
        <v>207</v>
      </c>
      <c r="S77" s="1" t="str">
        <f t="shared" si="3"/>
        <v>*/Consignment/Carrier/identificationNumber</v>
      </c>
    </row>
    <row r="78" spans="1:19" ht="12" customHeight="1" outlineLevel="3" x14ac:dyDescent="0.25">
      <c r="A78" s="4" t="str">
        <f t="shared" si="2"/>
        <v>CC013C
CC015C
CC170C</v>
      </c>
      <c r="B78" s="4">
        <v>3</v>
      </c>
      <c r="C78" s="4" t="s">
        <v>41</v>
      </c>
      <c r="D78" s="4" t="s">
        <v>36</v>
      </c>
      <c r="E78" s="4" t="s">
        <v>36</v>
      </c>
      <c r="F78" s="4" t="s">
        <v>408</v>
      </c>
      <c r="G78" s="10" t="s">
        <v>143</v>
      </c>
      <c r="H78" s="6"/>
      <c r="I78" s="4" t="s">
        <v>38</v>
      </c>
      <c r="J78" s="4" t="s">
        <v>549</v>
      </c>
      <c r="K78" s="4"/>
      <c r="L78" s="4"/>
      <c r="M78" s="4"/>
      <c r="N78" s="4" t="s">
        <v>590</v>
      </c>
      <c r="O78" s="4" t="s">
        <v>144</v>
      </c>
      <c r="P78" s="4"/>
      <c r="Q78" s="4"/>
      <c r="S78" s="1" t="str">
        <f t="shared" si="3"/>
        <v>*/Consignment/Carrier/ContactPerson</v>
      </c>
    </row>
    <row r="79" spans="1:19" ht="12" customHeight="1" outlineLevel="4" x14ac:dyDescent="0.25">
      <c r="A79" s="1" t="str">
        <f t="shared" si="2"/>
        <v>CC013C
CC015C
CC170C</v>
      </c>
      <c r="B79" s="1">
        <v>4</v>
      </c>
      <c r="C79" s="1" t="s">
        <v>17</v>
      </c>
      <c r="D79" s="1" t="s">
        <v>18</v>
      </c>
      <c r="E79" s="1" t="s">
        <v>18</v>
      </c>
      <c r="F79" s="1" t="s">
        <v>408</v>
      </c>
      <c r="G79" s="11" t="s">
        <v>4</v>
      </c>
      <c r="H79" s="3" t="s">
        <v>126</v>
      </c>
      <c r="I79" s="1" t="s">
        <v>21</v>
      </c>
      <c r="N79" s="1" t="s">
        <v>591</v>
      </c>
      <c r="O79" s="1" t="s">
        <v>127</v>
      </c>
      <c r="R79" s="1" t="s">
        <v>128</v>
      </c>
      <c r="S79" s="1" t="str">
        <f t="shared" si="3"/>
        <v>*/Consignment/Carrier/ContactPerson/name</v>
      </c>
    </row>
    <row r="80" spans="1:19" ht="12" customHeight="1" outlineLevel="4" x14ac:dyDescent="0.25">
      <c r="A80" s="1" t="str">
        <f t="shared" si="2"/>
        <v>CC013C
CC015C
CC170C</v>
      </c>
      <c r="B80" s="1">
        <v>4</v>
      </c>
      <c r="C80" s="1" t="s">
        <v>17</v>
      </c>
      <c r="D80" s="1" t="s">
        <v>18</v>
      </c>
      <c r="E80" s="1" t="s">
        <v>18</v>
      </c>
      <c r="F80" s="1" t="s">
        <v>408</v>
      </c>
      <c r="G80" s="11" t="s">
        <v>145</v>
      </c>
      <c r="H80" s="3" t="s">
        <v>20</v>
      </c>
      <c r="I80" s="1" t="s">
        <v>21</v>
      </c>
      <c r="N80" s="1" t="s">
        <v>592</v>
      </c>
      <c r="O80" s="1" t="s">
        <v>146</v>
      </c>
      <c r="R80" s="1" t="s">
        <v>147</v>
      </c>
      <c r="S80" s="1" t="str">
        <f t="shared" si="3"/>
        <v>*/Consignment/Carrier/ContactPerson/phoneNumber</v>
      </c>
    </row>
    <row r="81" spans="1:19" ht="12" customHeight="1" outlineLevel="4" x14ac:dyDescent="0.25">
      <c r="A81" s="1" t="str">
        <f t="shared" si="2"/>
        <v>CC013C
CC015C
CC170C</v>
      </c>
      <c r="B81" s="1">
        <v>4</v>
      </c>
      <c r="C81" s="1" t="s">
        <v>17</v>
      </c>
      <c r="D81" s="1" t="s">
        <v>36</v>
      </c>
      <c r="E81" s="1" t="s">
        <v>36</v>
      </c>
      <c r="F81" s="1" t="s">
        <v>408</v>
      </c>
      <c r="G81" s="11" t="s">
        <v>148</v>
      </c>
      <c r="H81" s="3" t="s">
        <v>149</v>
      </c>
      <c r="I81" s="1" t="s">
        <v>38</v>
      </c>
      <c r="J81" s="1" t="s">
        <v>458</v>
      </c>
      <c r="N81" s="1" t="s">
        <v>593</v>
      </c>
      <c r="O81" s="1" t="s">
        <v>150</v>
      </c>
      <c r="R81" s="1" t="s">
        <v>151</v>
      </c>
      <c r="S81" s="1" t="str">
        <f t="shared" si="3"/>
        <v>*/Consignment/Carrier/ContactPerson/eMailAddress</v>
      </c>
    </row>
    <row r="82" spans="1:19" ht="12" customHeight="1" outlineLevel="2" x14ac:dyDescent="0.25">
      <c r="A82" s="4" t="str">
        <f t="shared" si="2"/>
        <v>CC013C
CC015C
CC170C</v>
      </c>
      <c r="B82" s="4">
        <v>2</v>
      </c>
      <c r="C82" s="4" t="s">
        <v>41</v>
      </c>
      <c r="D82" s="4" t="s">
        <v>36</v>
      </c>
      <c r="E82" s="4" t="s">
        <v>36</v>
      </c>
      <c r="F82" s="4" t="s">
        <v>408</v>
      </c>
      <c r="G82" s="8" t="s">
        <v>208</v>
      </c>
      <c r="H82" s="6"/>
      <c r="I82" s="4" t="s">
        <v>450</v>
      </c>
      <c r="J82" s="6" t="s">
        <v>539</v>
      </c>
      <c r="K82" s="4" t="s">
        <v>538</v>
      </c>
      <c r="L82" s="4"/>
      <c r="M82" s="4"/>
      <c r="N82" s="4" t="s">
        <v>534</v>
      </c>
      <c r="O82" s="4" t="s">
        <v>208</v>
      </c>
      <c r="P82" s="4"/>
      <c r="Q82" s="4"/>
      <c r="S82" s="1" t="str">
        <f t="shared" si="3"/>
        <v>*/Consignment/Consignor</v>
      </c>
    </row>
    <row r="83" spans="1:19" ht="12" customHeight="1" outlineLevel="3" x14ac:dyDescent="0.25">
      <c r="A83" s="1" t="str">
        <f t="shared" si="2"/>
        <v>CC013C
CC015C
CC170C</v>
      </c>
      <c r="B83" s="1">
        <v>3</v>
      </c>
      <c r="C83" s="1" t="s">
        <v>17</v>
      </c>
      <c r="D83" s="1" t="s">
        <v>36</v>
      </c>
      <c r="E83" s="1" t="s">
        <v>36</v>
      </c>
      <c r="F83" s="1" t="s">
        <v>408</v>
      </c>
      <c r="G83" s="9" t="s">
        <v>119</v>
      </c>
      <c r="H83" s="3" t="s">
        <v>120</v>
      </c>
      <c r="I83" s="1" t="s">
        <v>38</v>
      </c>
      <c r="J83" s="1" t="s">
        <v>537</v>
      </c>
      <c r="N83" s="1" t="s">
        <v>535</v>
      </c>
      <c r="O83" s="1" t="s">
        <v>121</v>
      </c>
      <c r="R83" s="1" t="s">
        <v>122</v>
      </c>
      <c r="S83" s="1" t="str">
        <f t="shared" si="3"/>
        <v>*/Consignment/Consignor/identificationNumber</v>
      </c>
    </row>
    <row r="84" spans="1:19" ht="12" customHeight="1" outlineLevel="3" x14ac:dyDescent="0.25">
      <c r="A84" s="1" t="str">
        <f t="shared" si="2"/>
        <v>CC013C
CC015C
CC170C</v>
      </c>
      <c r="B84" s="1">
        <v>3</v>
      </c>
      <c r="C84" s="1" t="s">
        <v>17</v>
      </c>
      <c r="D84" s="1" t="s">
        <v>36</v>
      </c>
      <c r="E84" s="1" t="s">
        <v>36</v>
      </c>
      <c r="F84" s="1" t="s">
        <v>408</v>
      </c>
      <c r="G84" s="9" t="s">
        <v>4</v>
      </c>
      <c r="H84" s="3" t="s">
        <v>126</v>
      </c>
      <c r="I84" s="1" t="s">
        <v>450</v>
      </c>
      <c r="K84" s="1" t="s">
        <v>541</v>
      </c>
      <c r="N84" s="1" t="s">
        <v>536</v>
      </c>
      <c r="O84" s="1" t="s">
        <v>127</v>
      </c>
      <c r="R84" s="1" t="s">
        <v>128</v>
      </c>
      <c r="S84" s="1" t="str">
        <f t="shared" si="3"/>
        <v>*/Consignment/Consignor/name</v>
      </c>
    </row>
    <row r="85" spans="1:19" ht="12" customHeight="1" outlineLevel="3" x14ac:dyDescent="0.25">
      <c r="A85" s="4" t="str">
        <f t="shared" si="2"/>
        <v>CC013C
CC015C
CC170C</v>
      </c>
      <c r="B85" s="4">
        <v>3</v>
      </c>
      <c r="C85" s="4" t="s">
        <v>41</v>
      </c>
      <c r="D85" s="4" t="s">
        <v>36</v>
      </c>
      <c r="E85" s="4" t="s">
        <v>36</v>
      </c>
      <c r="F85" s="4" t="s">
        <v>408</v>
      </c>
      <c r="G85" s="10" t="s">
        <v>129</v>
      </c>
      <c r="H85" s="6"/>
      <c r="I85" s="4" t="s">
        <v>450</v>
      </c>
      <c r="J85" s="4"/>
      <c r="K85" s="4" t="s">
        <v>541</v>
      </c>
      <c r="L85" s="4"/>
      <c r="M85" s="4"/>
      <c r="N85" s="4" t="s">
        <v>540</v>
      </c>
      <c r="O85" s="4" t="s">
        <v>129</v>
      </c>
      <c r="P85" s="4"/>
      <c r="Q85" s="4"/>
      <c r="S85" s="1" t="str">
        <f t="shared" si="3"/>
        <v>*/Consignment/Consignor/Address</v>
      </c>
    </row>
    <row r="86" spans="1:19" ht="12" customHeight="1" outlineLevel="4" x14ac:dyDescent="0.25">
      <c r="A86" s="1" t="str">
        <f t="shared" si="2"/>
        <v>CC013C
CC015C
CC170C</v>
      </c>
      <c r="B86" s="1">
        <v>4</v>
      </c>
      <c r="C86" s="1" t="s">
        <v>17</v>
      </c>
      <c r="D86" s="1" t="s">
        <v>18</v>
      </c>
      <c r="E86" s="1" t="s">
        <v>18</v>
      </c>
      <c r="F86" s="1" t="s">
        <v>408</v>
      </c>
      <c r="G86" s="11" t="s">
        <v>130</v>
      </c>
      <c r="H86" s="3" t="s">
        <v>126</v>
      </c>
      <c r="I86" s="1" t="s">
        <v>21</v>
      </c>
      <c r="N86" s="1" t="s">
        <v>542</v>
      </c>
      <c r="O86" s="1" t="s">
        <v>131</v>
      </c>
      <c r="R86" s="1" t="s">
        <v>132</v>
      </c>
      <c r="S86" s="1" t="str">
        <f t="shared" si="3"/>
        <v>*/Consignment/Consignor/Address/streetAndNumber</v>
      </c>
    </row>
    <row r="87" spans="1:19" ht="12" customHeight="1" outlineLevel="4" x14ac:dyDescent="0.25">
      <c r="A87" s="1" t="str">
        <f t="shared" si="2"/>
        <v>CC013C
CC015C
CC170C</v>
      </c>
      <c r="B87" s="1">
        <v>4</v>
      </c>
      <c r="C87" s="1" t="s">
        <v>17</v>
      </c>
      <c r="D87" s="1" t="s">
        <v>36</v>
      </c>
      <c r="E87" s="1" t="s">
        <v>36</v>
      </c>
      <c r="F87" s="1" t="s">
        <v>408</v>
      </c>
      <c r="G87" s="11" t="s">
        <v>133</v>
      </c>
      <c r="H87" s="3" t="s">
        <v>120</v>
      </c>
      <c r="I87" s="1" t="s">
        <v>450</v>
      </c>
      <c r="K87" s="1" t="s">
        <v>544</v>
      </c>
      <c r="N87" s="1" t="s">
        <v>543</v>
      </c>
      <c r="O87" s="1" t="s">
        <v>134</v>
      </c>
      <c r="R87" s="1" t="s">
        <v>135</v>
      </c>
      <c r="S87" s="1" t="str">
        <f t="shared" si="3"/>
        <v>*/Consignment/Consignor/Address/postcode</v>
      </c>
    </row>
    <row r="88" spans="1:19" ht="12" customHeight="1" outlineLevel="4" x14ac:dyDescent="0.25">
      <c r="A88" s="1" t="str">
        <f t="shared" si="2"/>
        <v>CC013C
CC015C
CC170C</v>
      </c>
      <c r="B88" s="1">
        <v>4</v>
      </c>
      <c r="C88" s="1" t="s">
        <v>17</v>
      </c>
      <c r="D88" s="1" t="s">
        <v>18</v>
      </c>
      <c r="E88" s="1" t="s">
        <v>18</v>
      </c>
      <c r="F88" s="1" t="s">
        <v>408</v>
      </c>
      <c r="G88" s="11" t="s">
        <v>136</v>
      </c>
      <c r="H88" s="3" t="s">
        <v>101</v>
      </c>
      <c r="I88" s="1" t="s">
        <v>21</v>
      </c>
      <c r="N88" s="1" t="s">
        <v>545</v>
      </c>
      <c r="O88" s="1" t="s">
        <v>137</v>
      </c>
      <c r="R88" s="1" t="s">
        <v>138</v>
      </c>
      <c r="S88" s="1" t="str">
        <f t="shared" si="3"/>
        <v>*/Consignment/Consignor/Address/city</v>
      </c>
    </row>
    <row r="89" spans="1:19" ht="12" customHeight="1" outlineLevel="4" x14ac:dyDescent="0.25">
      <c r="A89" s="1" t="str">
        <f t="shared" si="2"/>
        <v>CC013C
CC015C
CC170C</v>
      </c>
      <c r="B89" s="1">
        <v>4</v>
      </c>
      <c r="C89" s="1" t="s">
        <v>17</v>
      </c>
      <c r="D89" s="1" t="s">
        <v>18</v>
      </c>
      <c r="E89" s="1" t="s">
        <v>18</v>
      </c>
      <c r="F89" s="1" t="s">
        <v>408</v>
      </c>
      <c r="G89" s="11" t="s">
        <v>139</v>
      </c>
      <c r="H89" s="3" t="s">
        <v>140</v>
      </c>
      <c r="I89" s="1" t="s">
        <v>21</v>
      </c>
      <c r="L89" s="1" t="s">
        <v>547</v>
      </c>
      <c r="N89" s="1" t="s">
        <v>546</v>
      </c>
      <c r="O89" s="1" t="s">
        <v>141</v>
      </c>
      <c r="R89" s="1" t="s">
        <v>142</v>
      </c>
      <c r="S89" s="1" t="str">
        <f t="shared" si="3"/>
        <v>*/Consignment/Consignor/Address/country</v>
      </c>
    </row>
    <row r="90" spans="1:19" ht="12" customHeight="1" outlineLevel="3" x14ac:dyDescent="0.25">
      <c r="A90" s="4" t="str">
        <f t="shared" si="2"/>
        <v>CC013C
CC015C
CC170C</v>
      </c>
      <c r="B90" s="4">
        <v>3</v>
      </c>
      <c r="C90" s="4" t="s">
        <v>41</v>
      </c>
      <c r="D90" s="4" t="s">
        <v>36</v>
      </c>
      <c r="E90" s="4" t="s">
        <v>36</v>
      </c>
      <c r="F90" s="4" t="s">
        <v>408</v>
      </c>
      <c r="G90" s="10" t="s">
        <v>143</v>
      </c>
      <c r="H90" s="6"/>
      <c r="I90" s="4" t="s">
        <v>38</v>
      </c>
      <c r="J90" s="4" t="s">
        <v>549</v>
      </c>
      <c r="K90" s="4"/>
      <c r="L90" s="4"/>
      <c r="M90" s="4"/>
      <c r="N90" s="4" t="s">
        <v>548</v>
      </c>
      <c r="O90" s="4" t="s">
        <v>144</v>
      </c>
      <c r="P90" s="4"/>
      <c r="Q90" s="4"/>
      <c r="S90" s="1" t="str">
        <f t="shared" si="3"/>
        <v>*/Consignment/Consignor/ContactPerson</v>
      </c>
    </row>
    <row r="91" spans="1:19" ht="12" customHeight="1" outlineLevel="4" x14ac:dyDescent="0.25">
      <c r="A91" s="1" t="str">
        <f t="shared" si="2"/>
        <v>CC013C
CC015C
CC170C</v>
      </c>
      <c r="B91" s="1">
        <v>4</v>
      </c>
      <c r="C91" s="1" t="s">
        <v>17</v>
      </c>
      <c r="D91" s="1" t="s">
        <v>18</v>
      </c>
      <c r="E91" s="1" t="s">
        <v>18</v>
      </c>
      <c r="F91" s="1" t="s">
        <v>408</v>
      </c>
      <c r="G91" s="11" t="s">
        <v>4</v>
      </c>
      <c r="H91" s="3" t="s">
        <v>126</v>
      </c>
      <c r="I91" s="1" t="s">
        <v>21</v>
      </c>
      <c r="N91" s="1" t="s">
        <v>550</v>
      </c>
      <c r="O91" s="1" t="s">
        <v>127</v>
      </c>
      <c r="R91" s="1" t="s">
        <v>128</v>
      </c>
      <c r="S91" s="1" t="str">
        <f t="shared" si="3"/>
        <v>*/Consignment/Consignor/ContactPerson/name</v>
      </c>
    </row>
    <row r="92" spans="1:19" ht="12" customHeight="1" outlineLevel="4" x14ac:dyDescent="0.25">
      <c r="A92" s="1" t="str">
        <f t="shared" si="2"/>
        <v>CC013C
CC015C
CC170C</v>
      </c>
      <c r="B92" s="1">
        <v>4</v>
      </c>
      <c r="C92" s="1" t="s">
        <v>17</v>
      </c>
      <c r="D92" s="1" t="s">
        <v>18</v>
      </c>
      <c r="E92" s="1" t="s">
        <v>18</v>
      </c>
      <c r="F92" s="1" t="s">
        <v>408</v>
      </c>
      <c r="G92" s="11" t="s">
        <v>145</v>
      </c>
      <c r="H92" s="3" t="s">
        <v>20</v>
      </c>
      <c r="I92" s="1" t="s">
        <v>21</v>
      </c>
      <c r="N92" s="1" t="s">
        <v>551</v>
      </c>
      <c r="O92" s="1" t="s">
        <v>146</v>
      </c>
      <c r="R92" s="1" t="s">
        <v>147</v>
      </c>
      <c r="S92" s="1" t="str">
        <f t="shared" si="3"/>
        <v>*/Consignment/Consignor/ContactPerson/phoneNumber</v>
      </c>
    </row>
    <row r="93" spans="1:19" ht="12" customHeight="1" outlineLevel="4" x14ac:dyDescent="0.25">
      <c r="A93" s="1" t="str">
        <f t="shared" si="2"/>
        <v>CC013C
CC015C
CC170C</v>
      </c>
      <c r="B93" s="1">
        <v>4</v>
      </c>
      <c r="C93" s="1" t="s">
        <v>17</v>
      </c>
      <c r="D93" s="1" t="s">
        <v>36</v>
      </c>
      <c r="E93" s="1" t="s">
        <v>36</v>
      </c>
      <c r="F93" s="1" t="s">
        <v>408</v>
      </c>
      <c r="G93" s="11" t="s">
        <v>148</v>
      </c>
      <c r="H93" s="3" t="s">
        <v>149</v>
      </c>
      <c r="I93" s="1" t="s">
        <v>38</v>
      </c>
      <c r="J93" s="1" t="s">
        <v>458</v>
      </c>
      <c r="N93" s="1" t="s">
        <v>552</v>
      </c>
      <c r="O93" s="1" t="s">
        <v>150</v>
      </c>
      <c r="R93" s="1" t="s">
        <v>151</v>
      </c>
      <c r="S93" s="1" t="str">
        <f t="shared" si="3"/>
        <v>*/Consignment/Consignor/ContactPerson/eMailAddress</v>
      </c>
    </row>
    <row r="94" spans="1:19" ht="12" customHeight="1" outlineLevel="2" x14ac:dyDescent="0.25">
      <c r="A94" s="4" t="str">
        <f t="shared" si="2"/>
        <v>CC013C
CC015C
CC170C</v>
      </c>
      <c r="B94" s="4">
        <v>2</v>
      </c>
      <c r="C94" s="4" t="s">
        <v>41</v>
      </c>
      <c r="D94" s="4" t="s">
        <v>36</v>
      </c>
      <c r="E94" s="4" t="s">
        <v>36</v>
      </c>
      <c r="F94" s="4" t="s">
        <v>408</v>
      </c>
      <c r="G94" s="8" t="s">
        <v>209</v>
      </c>
      <c r="H94" s="6"/>
      <c r="I94" s="4" t="s">
        <v>450</v>
      </c>
      <c r="J94" s="6" t="s">
        <v>557</v>
      </c>
      <c r="K94" s="4" t="s">
        <v>556</v>
      </c>
      <c r="L94" s="4"/>
      <c r="M94" s="4"/>
      <c r="N94" s="4" t="s">
        <v>553</v>
      </c>
      <c r="O94" s="4" t="s">
        <v>209</v>
      </c>
      <c r="P94" s="4"/>
      <c r="Q94" s="4"/>
      <c r="S94" s="1" t="str">
        <f t="shared" si="3"/>
        <v>*/Consignment/Consignee</v>
      </c>
    </row>
    <row r="95" spans="1:19" ht="12" customHeight="1" outlineLevel="3" x14ac:dyDescent="0.25">
      <c r="A95" s="1" t="str">
        <f t="shared" si="2"/>
        <v>CC013C
CC015C
CC170C</v>
      </c>
      <c r="B95" s="1">
        <v>3</v>
      </c>
      <c r="C95" s="1" t="s">
        <v>17</v>
      </c>
      <c r="D95" s="1" t="s">
        <v>36</v>
      </c>
      <c r="E95" s="1" t="s">
        <v>36</v>
      </c>
      <c r="F95" s="1" t="s">
        <v>408</v>
      </c>
      <c r="G95" s="9" t="s">
        <v>119</v>
      </c>
      <c r="H95" s="3" t="s">
        <v>120</v>
      </c>
      <c r="I95" s="1" t="s">
        <v>38</v>
      </c>
      <c r="J95" s="1" t="s">
        <v>558</v>
      </c>
      <c r="N95" s="1" t="s">
        <v>554</v>
      </c>
      <c r="O95" s="1" t="s">
        <v>121</v>
      </c>
      <c r="R95" s="1" t="s">
        <v>122</v>
      </c>
      <c r="S95" s="1" t="str">
        <f t="shared" si="3"/>
        <v>*/Consignment/Consignee/identificationNumber</v>
      </c>
    </row>
    <row r="96" spans="1:19" ht="12" customHeight="1" outlineLevel="3" x14ac:dyDescent="0.25">
      <c r="A96" s="1" t="str">
        <f t="shared" si="2"/>
        <v>CC013C
CC015C
CC170C</v>
      </c>
      <c r="B96" s="1">
        <v>3</v>
      </c>
      <c r="C96" s="1" t="s">
        <v>17</v>
      </c>
      <c r="D96" s="1" t="s">
        <v>36</v>
      </c>
      <c r="E96" s="1" t="s">
        <v>36</v>
      </c>
      <c r="F96" s="1" t="s">
        <v>408</v>
      </c>
      <c r="G96" s="9" t="s">
        <v>4</v>
      </c>
      <c r="H96" s="3" t="s">
        <v>126</v>
      </c>
      <c r="I96" s="1" t="s">
        <v>450</v>
      </c>
      <c r="K96" s="1" t="s">
        <v>541</v>
      </c>
      <c r="N96" s="1" t="s">
        <v>555</v>
      </c>
      <c r="O96" s="1" t="s">
        <v>127</v>
      </c>
      <c r="R96" s="1" t="s">
        <v>128</v>
      </c>
      <c r="S96" s="1" t="str">
        <f t="shared" si="3"/>
        <v>*/Consignment/Consignee/name</v>
      </c>
    </row>
    <row r="97" spans="1:19" ht="12" customHeight="1" outlineLevel="3" x14ac:dyDescent="0.25">
      <c r="A97" s="4" t="str">
        <f t="shared" si="2"/>
        <v>CC013C
CC015C
CC170C</v>
      </c>
      <c r="B97" s="4">
        <v>3</v>
      </c>
      <c r="C97" s="4" t="s">
        <v>41</v>
      </c>
      <c r="D97" s="4" t="s">
        <v>36</v>
      </c>
      <c r="E97" s="4" t="s">
        <v>36</v>
      </c>
      <c r="F97" s="4" t="s">
        <v>408</v>
      </c>
      <c r="G97" s="10" t="s">
        <v>129</v>
      </c>
      <c r="H97" s="6"/>
      <c r="I97" s="4" t="s">
        <v>450</v>
      </c>
      <c r="J97" s="4"/>
      <c r="K97" s="4" t="s">
        <v>541</v>
      </c>
      <c r="L97" s="4"/>
      <c r="M97" s="4"/>
      <c r="N97" s="4" t="s">
        <v>559</v>
      </c>
      <c r="O97" s="4" t="s">
        <v>129</v>
      </c>
      <c r="P97" s="4"/>
      <c r="Q97" s="4"/>
      <c r="S97" s="1" t="str">
        <f t="shared" si="3"/>
        <v>*/Consignment/Consignee/Address</v>
      </c>
    </row>
    <row r="98" spans="1:19" ht="12" customHeight="1" outlineLevel="4" x14ac:dyDescent="0.25">
      <c r="A98" s="1" t="str">
        <f t="shared" si="2"/>
        <v>CC013C
CC015C
CC170C</v>
      </c>
      <c r="B98" s="1">
        <v>4</v>
      </c>
      <c r="C98" s="1" t="s">
        <v>17</v>
      </c>
      <c r="D98" s="1" t="s">
        <v>18</v>
      </c>
      <c r="E98" s="1" t="s">
        <v>18</v>
      </c>
      <c r="F98" s="1" t="s">
        <v>408</v>
      </c>
      <c r="G98" s="11" t="s">
        <v>130</v>
      </c>
      <c r="H98" s="3" t="s">
        <v>126</v>
      </c>
      <c r="I98" s="1" t="s">
        <v>21</v>
      </c>
      <c r="N98" s="1" t="s">
        <v>560</v>
      </c>
      <c r="O98" s="1" t="s">
        <v>131</v>
      </c>
      <c r="R98" s="1" t="s">
        <v>132</v>
      </c>
      <c r="S98" s="1" t="str">
        <f t="shared" si="3"/>
        <v>*/Consignment/Consignee/Address/streetAndNumber</v>
      </c>
    </row>
    <row r="99" spans="1:19" ht="12" customHeight="1" outlineLevel="4" x14ac:dyDescent="0.25">
      <c r="A99" s="1" t="str">
        <f t="shared" si="2"/>
        <v>CC013C
CC015C
CC170C</v>
      </c>
      <c r="B99" s="1">
        <v>4</v>
      </c>
      <c r="C99" s="1" t="s">
        <v>17</v>
      </c>
      <c r="D99" s="1" t="s">
        <v>36</v>
      </c>
      <c r="E99" s="1" t="s">
        <v>36</v>
      </c>
      <c r="F99" s="1" t="s">
        <v>408</v>
      </c>
      <c r="G99" s="11" t="s">
        <v>133</v>
      </c>
      <c r="H99" s="3" t="s">
        <v>120</v>
      </c>
      <c r="I99" s="1" t="s">
        <v>450</v>
      </c>
      <c r="K99" s="1" t="s">
        <v>544</v>
      </c>
      <c r="N99" s="1" t="s">
        <v>561</v>
      </c>
      <c r="O99" s="1" t="s">
        <v>134</v>
      </c>
      <c r="R99" s="1" t="s">
        <v>135</v>
      </c>
      <c r="S99" s="1" t="str">
        <f t="shared" si="3"/>
        <v>*/Consignment/Consignee/Address/postcode</v>
      </c>
    </row>
    <row r="100" spans="1:19" ht="12" customHeight="1" outlineLevel="4" x14ac:dyDescent="0.25">
      <c r="A100" s="1" t="str">
        <f t="shared" si="2"/>
        <v>CC013C
CC015C
CC170C</v>
      </c>
      <c r="B100" s="1">
        <v>4</v>
      </c>
      <c r="C100" s="1" t="s">
        <v>17</v>
      </c>
      <c r="D100" s="1" t="s">
        <v>18</v>
      </c>
      <c r="E100" s="1" t="s">
        <v>18</v>
      </c>
      <c r="F100" s="1" t="s">
        <v>408</v>
      </c>
      <c r="G100" s="11" t="s">
        <v>136</v>
      </c>
      <c r="H100" s="3" t="s">
        <v>101</v>
      </c>
      <c r="I100" s="1" t="s">
        <v>21</v>
      </c>
      <c r="N100" s="1" t="s">
        <v>562</v>
      </c>
      <c r="O100" s="1" t="s">
        <v>137</v>
      </c>
      <c r="R100" s="1" t="s">
        <v>138</v>
      </c>
      <c r="S100" s="1" t="str">
        <f t="shared" si="3"/>
        <v>*/Consignment/Consignee/Address/city</v>
      </c>
    </row>
    <row r="101" spans="1:19" ht="12" customHeight="1" outlineLevel="4" x14ac:dyDescent="0.25">
      <c r="A101" s="1" t="str">
        <f t="shared" si="2"/>
        <v>CC013C
CC015C
CC170C</v>
      </c>
      <c r="B101" s="1">
        <v>4</v>
      </c>
      <c r="C101" s="1" t="s">
        <v>17</v>
      </c>
      <c r="D101" s="1" t="s">
        <v>18</v>
      </c>
      <c r="E101" s="1" t="s">
        <v>18</v>
      </c>
      <c r="F101" s="1" t="s">
        <v>408</v>
      </c>
      <c r="G101" s="11" t="s">
        <v>139</v>
      </c>
      <c r="H101" s="3" t="s">
        <v>140</v>
      </c>
      <c r="I101" s="1" t="s">
        <v>21</v>
      </c>
      <c r="L101" s="1" t="s">
        <v>547</v>
      </c>
      <c r="N101" s="1" t="s">
        <v>563</v>
      </c>
      <c r="O101" s="1" t="s">
        <v>141</v>
      </c>
      <c r="R101" s="1" t="s">
        <v>142</v>
      </c>
      <c r="S101" s="1" t="str">
        <f t="shared" si="3"/>
        <v>*/Consignment/Consignee/Address/country</v>
      </c>
    </row>
    <row r="102" spans="1:19" ht="12" customHeight="1" outlineLevel="2" x14ac:dyDescent="0.25">
      <c r="A102" s="4" t="str">
        <f t="shared" si="2"/>
        <v>CC013C
CC015C
CC170C</v>
      </c>
      <c r="B102" s="4">
        <v>2</v>
      </c>
      <c r="C102" s="4" t="s">
        <v>41</v>
      </c>
      <c r="D102" s="4" t="s">
        <v>164</v>
      </c>
      <c r="E102" s="4" t="s">
        <v>164</v>
      </c>
      <c r="F102" s="4" t="s">
        <v>408</v>
      </c>
      <c r="G102" s="8" t="s">
        <v>210</v>
      </c>
      <c r="H102" s="6"/>
      <c r="I102" s="4" t="s">
        <v>38</v>
      </c>
      <c r="J102" s="4" t="s">
        <v>467</v>
      </c>
      <c r="K102" s="4"/>
      <c r="L102" s="4"/>
      <c r="M102" s="4"/>
      <c r="N102" s="4" t="s">
        <v>596</v>
      </c>
      <c r="O102" s="4" t="s">
        <v>211</v>
      </c>
      <c r="P102" s="4"/>
      <c r="Q102" s="4"/>
      <c r="S102" s="1" t="str">
        <f t="shared" si="3"/>
        <v>*/Consignment/AdditionalSupplyChainActor[0]</v>
      </c>
    </row>
    <row r="103" spans="1:19" ht="12" customHeight="1" outlineLevel="3" x14ac:dyDescent="0.25">
      <c r="A103" s="1" t="str">
        <f t="shared" si="2"/>
        <v>CC013C
CC015C
CC170C</v>
      </c>
      <c r="B103" s="1">
        <v>3</v>
      </c>
      <c r="C103" s="1" t="s">
        <v>17</v>
      </c>
      <c r="D103" s="1" t="s">
        <v>18</v>
      </c>
      <c r="E103" s="1" t="s">
        <v>18</v>
      </c>
      <c r="F103" s="1" t="s">
        <v>408</v>
      </c>
      <c r="G103" s="9" t="s">
        <v>93</v>
      </c>
      <c r="H103" s="3" t="s">
        <v>483</v>
      </c>
      <c r="I103" s="1" t="s">
        <v>21</v>
      </c>
      <c r="J103" s="1" t="s">
        <v>475</v>
      </c>
      <c r="O103" s="1" t="s">
        <v>95</v>
      </c>
      <c r="R103" s="1" t="s">
        <v>96</v>
      </c>
      <c r="S103" s="1" t="str">
        <f t="shared" si="3"/>
        <v>*/Consignment/AdditionalSupplyChainActor[0]/sequenceNumber</v>
      </c>
    </row>
    <row r="104" spans="1:19" ht="12" customHeight="1" outlineLevel="3" x14ac:dyDescent="0.25">
      <c r="A104" s="1" t="str">
        <f t="shared" si="2"/>
        <v>CC013C
CC015C
CC170C</v>
      </c>
      <c r="B104" s="1">
        <v>3</v>
      </c>
      <c r="C104" s="1" t="s">
        <v>17</v>
      </c>
      <c r="D104" s="1" t="s">
        <v>18</v>
      </c>
      <c r="E104" s="1" t="s">
        <v>18</v>
      </c>
      <c r="F104" s="1" t="s">
        <v>408</v>
      </c>
      <c r="G104" s="9" t="s">
        <v>212</v>
      </c>
      <c r="H104" s="3" t="s">
        <v>213</v>
      </c>
      <c r="I104" s="1" t="s">
        <v>21</v>
      </c>
      <c r="L104" s="1" t="s">
        <v>599</v>
      </c>
      <c r="N104" s="1" t="s">
        <v>598</v>
      </c>
      <c r="O104" s="1" t="s">
        <v>214</v>
      </c>
      <c r="R104" s="1" t="s">
        <v>215</v>
      </c>
      <c r="S104" s="1" t="str">
        <f t="shared" si="3"/>
        <v>*/Consignment/AdditionalSupplyChainActor[0]/role</v>
      </c>
    </row>
    <row r="105" spans="1:19" ht="12" customHeight="1" outlineLevel="3" x14ac:dyDescent="0.25">
      <c r="A105" s="1" t="str">
        <f t="shared" si="2"/>
        <v>CC013C
CC015C
CC170C</v>
      </c>
      <c r="B105" s="1">
        <v>3</v>
      </c>
      <c r="C105" s="1" t="s">
        <v>17</v>
      </c>
      <c r="D105" s="1" t="s">
        <v>18</v>
      </c>
      <c r="E105" s="1" t="s">
        <v>18</v>
      </c>
      <c r="F105" s="1" t="s">
        <v>408</v>
      </c>
      <c r="G105" s="9" t="s">
        <v>119</v>
      </c>
      <c r="H105" s="3" t="s">
        <v>140</v>
      </c>
      <c r="I105" s="1" t="s">
        <v>21</v>
      </c>
      <c r="J105" s="3" t="s">
        <v>595</v>
      </c>
      <c r="N105" s="1" t="s">
        <v>597</v>
      </c>
      <c r="O105" s="1" t="s">
        <v>121</v>
      </c>
      <c r="R105" s="1" t="s">
        <v>207</v>
      </c>
      <c r="S105" s="1" t="str">
        <f t="shared" si="3"/>
        <v>*/Consignment/AdditionalSupplyChainActor[0]/identificationNumber</v>
      </c>
    </row>
    <row r="106" spans="1:19" ht="12" customHeight="1" outlineLevel="2" x14ac:dyDescent="0.25">
      <c r="A106" s="4" t="str">
        <f t="shared" si="2"/>
        <v>CC013C
CC015C
CC170C</v>
      </c>
      <c r="B106" s="4">
        <v>2</v>
      </c>
      <c r="C106" s="4" t="s">
        <v>41</v>
      </c>
      <c r="D106" s="4" t="s">
        <v>216</v>
      </c>
      <c r="E106" s="4" t="s">
        <v>216</v>
      </c>
      <c r="F106" s="4" t="s">
        <v>216</v>
      </c>
      <c r="G106" s="8" t="s">
        <v>217</v>
      </c>
      <c r="H106" s="6"/>
      <c r="I106" s="4" t="s">
        <v>450</v>
      </c>
      <c r="J106" s="4" t="s">
        <v>744</v>
      </c>
      <c r="K106" s="4" t="s">
        <v>743</v>
      </c>
      <c r="L106" s="4"/>
      <c r="M106" s="4"/>
      <c r="N106" s="4" t="s">
        <v>737</v>
      </c>
      <c r="O106" s="4" t="s">
        <v>218</v>
      </c>
      <c r="P106" s="4"/>
      <c r="Q106" s="4"/>
      <c r="S106" s="1" t="str">
        <f t="shared" si="3"/>
        <v>*/Consignment/TransportEquipment[0]</v>
      </c>
    </row>
    <row r="107" spans="1:19" ht="12" customHeight="1" outlineLevel="3" x14ac:dyDescent="0.25">
      <c r="A107" s="1" t="str">
        <f t="shared" si="2"/>
        <v>CC013C
CC015C
CC170C</v>
      </c>
      <c r="B107" s="1">
        <v>3</v>
      </c>
      <c r="C107" s="1" t="s">
        <v>17</v>
      </c>
      <c r="D107" s="1" t="s">
        <v>18</v>
      </c>
      <c r="E107" s="1" t="s">
        <v>18</v>
      </c>
      <c r="F107" s="1" t="s">
        <v>18</v>
      </c>
      <c r="G107" s="9" t="s">
        <v>93</v>
      </c>
      <c r="H107" s="3" t="s">
        <v>504</v>
      </c>
      <c r="I107" s="1" t="s">
        <v>21</v>
      </c>
      <c r="J107" s="1" t="s">
        <v>475</v>
      </c>
      <c r="O107" s="1" t="s">
        <v>95</v>
      </c>
      <c r="R107" s="1" t="s">
        <v>96</v>
      </c>
      <c r="S107" s="1" t="str">
        <f t="shared" si="3"/>
        <v>*/Consignment/TransportEquipment[0]/sequenceNumber</v>
      </c>
    </row>
    <row r="108" spans="1:19" ht="12" customHeight="1" outlineLevel="3" x14ac:dyDescent="0.25">
      <c r="A108" s="1" t="str">
        <f t="shared" si="2"/>
        <v>CC013C
CC015C
CC170C</v>
      </c>
      <c r="B108" s="1">
        <v>3</v>
      </c>
      <c r="C108" s="1" t="s">
        <v>17</v>
      </c>
      <c r="D108" s="1" t="s">
        <v>36</v>
      </c>
      <c r="E108" s="1" t="s">
        <v>36</v>
      </c>
      <c r="F108" s="1" t="s">
        <v>36</v>
      </c>
      <c r="G108" s="9" t="s">
        <v>219</v>
      </c>
      <c r="H108" s="3" t="s">
        <v>220</v>
      </c>
      <c r="I108" s="1" t="s">
        <v>450</v>
      </c>
      <c r="J108" s="1" t="s">
        <v>458</v>
      </c>
      <c r="K108" s="1" t="s">
        <v>745</v>
      </c>
      <c r="N108" s="1" t="s">
        <v>739</v>
      </c>
      <c r="O108" s="1" t="s">
        <v>221</v>
      </c>
      <c r="R108" s="1" t="s">
        <v>222</v>
      </c>
      <c r="S108" s="1" t="str">
        <f t="shared" si="3"/>
        <v>*/Consignment/TransportEquipment[0]/containerIdentificationNumber</v>
      </c>
    </row>
    <row r="109" spans="1:19" ht="12" customHeight="1" outlineLevel="3" x14ac:dyDescent="0.25">
      <c r="A109" s="1" t="str">
        <f t="shared" si="2"/>
        <v>CC013C
CC015C
CC170C</v>
      </c>
      <c r="B109" s="1">
        <v>3</v>
      </c>
      <c r="C109" s="1" t="s">
        <v>17</v>
      </c>
      <c r="D109" s="1" t="s">
        <v>18</v>
      </c>
      <c r="E109" s="1" t="s">
        <v>18</v>
      </c>
      <c r="F109" s="1" t="s">
        <v>18</v>
      </c>
      <c r="G109" s="9" t="s">
        <v>223</v>
      </c>
      <c r="H109" s="3" t="s">
        <v>224</v>
      </c>
      <c r="I109" s="1" t="s">
        <v>21</v>
      </c>
      <c r="J109" s="3" t="s">
        <v>746</v>
      </c>
      <c r="N109" s="1" t="s">
        <v>742</v>
      </c>
      <c r="O109" s="1" t="s">
        <v>225</v>
      </c>
      <c r="R109" s="1" t="s">
        <v>226</v>
      </c>
      <c r="S109" s="1" t="str">
        <f t="shared" si="3"/>
        <v>*/Consignment/TransportEquipment[0]/numberOfSeals</v>
      </c>
    </row>
    <row r="110" spans="1:19" ht="12" customHeight="1" outlineLevel="3" x14ac:dyDescent="0.25">
      <c r="A110" s="4" t="str">
        <f t="shared" si="2"/>
        <v>CC013C
CC015C
CC170C</v>
      </c>
      <c r="B110" s="4">
        <v>3</v>
      </c>
      <c r="C110" s="4" t="s">
        <v>41</v>
      </c>
      <c r="D110" s="4" t="s">
        <v>164</v>
      </c>
      <c r="E110" s="4" t="s">
        <v>164</v>
      </c>
      <c r="F110" s="4" t="s">
        <v>164</v>
      </c>
      <c r="G110" s="10" t="s">
        <v>227</v>
      </c>
      <c r="H110" s="6"/>
      <c r="I110" s="4" t="s">
        <v>450</v>
      </c>
      <c r="J110" s="4"/>
      <c r="K110" s="4" t="s">
        <v>747</v>
      </c>
      <c r="L110" s="4"/>
      <c r="M110" s="4"/>
      <c r="N110" s="4" t="s">
        <v>740</v>
      </c>
      <c r="O110" s="4" t="s">
        <v>227</v>
      </c>
      <c r="P110" s="4"/>
      <c r="Q110" s="4"/>
      <c r="S110" s="1" t="str">
        <f t="shared" si="3"/>
        <v>*/Consignment/TransportEquipment[0]/Seal[0]</v>
      </c>
    </row>
    <row r="111" spans="1:19" ht="12" customHeight="1" outlineLevel="4" x14ac:dyDescent="0.25">
      <c r="A111" s="1" t="str">
        <f t="shared" si="2"/>
        <v>CC013C
CC015C
CC170C</v>
      </c>
      <c r="B111" s="1">
        <v>4</v>
      </c>
      <c r="C111" s="1" t="s">
        <v>17</v>
      </c>
      <c r="D111" s="1" t="s">
        <v>18</v>
      </c>
      <c r="E111" s="1" t="s">
        <v>18</v>
      </c>
      <c r="F111" s="1" t="s">
        <v>18</v>
      </c>
      <c r="G111" s="11" t="s">
        <v>93</v>
      </c>
      <c r="H111" s="3" t="s">
        <v>483</v>
      </c>
      <c r="I111" s="1" t="s">
        <v>21</v>
      </c>
      <c r="J111" s="1" t="s">
        <v>475</v>
      </c>
      <c r="O111" s="1" t="s">
        <v>95</v>
      </c>
      <c r="R111" s="1" t="s">
        <v>96</v>
      </c>
      <c r="S111" s="1" t="str">
        <f t="shared" si="3"/>
        <v>*/Consignment/TransportEquipment[0]/Seal[0]/sequenceNumber</v>
      </c>
    </row>
    <row r="112" spans="1:19" ht="12" customHeight="1" outlineLevel="4" x14ac:dyDescent="0.25">
      <c r="A112" s="1" t="str">
        <f t="shared" si="2"/>
        <v>CC013C
CC015C
CC170C</v>
      </c>
      <c r="B112" s="1">
        <v>4</v>
      </c>
      <c r="C112" s="1" t="s">
        <v>17</v>
      </c>
      <c r="D112" s="1" t="s">
        <v>18</v>
      </c>
      <c r="E112" s="1" t="s">
        <v>18</v>
      </c>
      <c r="F112" s="1" t="s">
        <v>18</v>
      </c>
      <c r="G112" s="11" t="s">
        <v>228</v>
      </c>
      <c r="H112" s="3" t="s">
        <v>229</v>
      </c>
      <c r="I112" s="1" t="s">
        <v>21</v>
      </c>
      <c r="J112" s="1" t="s">
        <v>748</v>
      </c>
      <c r="N112" s="1" t="s">
        <v>741</v>
      </c>
      <c r="O112" s="1" t="s">
        <v>230</v>
      </c>
      <c r="R112" s="1" t="s">
        <v>231</v>
      </c>
      <c r="S112" s="1" t="str">
        <f t="shared" si="3"/>
        <v>*/Consignment/TransportEquipment[0]/Seal[0]/identifier</v>
      </c>
    </row>
    <row r="113" spans="1:19" ht="12" customHeight="1" outlineLevel="3" x14ac:dyDescent="0.25">
      <c r="A113" s="4" t="str">
        <f t="shared" si="2"/>
        <v>CC013C
CC015C
CC170C</v>
      </c>
      <c r="B113" s="4">
        <v>3</v>
      </c>
      <c r="C113" s="4" t="s">
        <v>41</v>
      </c>
      <c r="D113" s="4" t="s">
        <v>216</v>
      </c>
      <c r="E113" s="4" t="s">
        <v>216</v>
      </c>
      <c r="F113" s="4" t="s">
        <v>216</v>
      </c>
      <c r="G113" s="10" t="s">
        <v>232</v>
      </c>
      <c r="H113" s="6"/>
      <c r="I113" s="4" t="s">
        <v>450</v>
      </c>
      <c r="J113" s="4" t="s">
        <v>750</v>
      </c>
      <c r="K113" s="4" t="s">
        <v>749</v>
      </c>
      <c r="L113" s="4"/>
      <c r="M113" s="4"/>
      <c r="N113" s="4" t="s">
        <v>738</v>
      </c>
      <c r="O113" s="4" t="s">
        <v>233</v>
      </c>
      <c r="P113" s="4"/>
      <c r="Q113" s="4"/>
      <c r="S113" s="1" t="str">
        <f t="shared" si="3"/>
        <v>*/Consignment/TransportEquipment[0]/GoodsReference[0]</v>
      </c>
    </row>
    <row r="114" spans="1:19" ht="12" customHeight="1" outlineLevel="4" x14ac:dyDescent="0.25">
      <c r="A114" s="1" t="str">
        <f t="shared" si="2"/>
        <v>CC013C
CC015C
CC170C</v>
      </c>
      <c r="B114" s="1">
        <v>4</v>
      </c>
      <c r="C114" s="1" t="s">
        <v>17</v>
      </c>
      <c r="D114" s="1" t="s">
        <v>18</v>
      </c>
      <c r="E114" s="1" t="s">
        <v>18</v>
      </c>
      <c r="F114" s="1" t="s">
        <v>18</v>
      </c>
      <c r="G114" s="11" t="s">
        <v>93</v>
      </c>
      <c r="H114" s="3" t="s">
        <v>94</v>
      </c>
      <c r="I114" s="1" t="s">
        <v>21</v>
      </c>
      <c r="J114" s="1" t="s">
        <v>475</v>
      </c>
      <c r="O114" s="1" t="s">
        <v>95</v>
      </c>
      <c r="R114" s="1" t="s">
        <v>96</v>
      </c>
      <c r="S114" s="1" t="str">
        <f t="shared" si="3"/>
        <v>*/Consignment/TransportEquipment[0]/GoodsReference[0]/sequenceNumber</v>
      </c>
    </row>
    <row r="115" spans="1:19" ht="12" customHeight="1" outlineLevel="4" x14ac:dyDescent="0.25">
      <c r="A115" s="1" t="str">
        <f t="shared" si="2"/>
        <v>CC013C
CC015C
CC170C</v>
      </c>
      <c r="B115" s="1">
        <v>4</v>
      </c>
      <c r="C115" s="1" t="s">
        <v>17</v>
      </c>
      <c r="D115" s="1" t="s">
        <v>18</v>
      </c>
      <c r="E115" s="1" t="s">
        <v>18</v>
      </c>
      <c r="F115" s="1" t="s">
        <v>18</v>
      </c>
      <c r="G115" s="11" t="s">
        <v>234</v>
      </c>
      <c r="H115" s="3" t="s">
        <v>235</v>
      </c>
      <c r="I115" s="1" t="s">
        <v>21</v>
      </c>
      <c r="K115" s="3" t="s">
        <v>751</v>
      </c>
      <c r="N115" s="1" t="s">
        <v>752</v>
      </c>
      <c r="O115" s="1" t="s">
        <v>236</v>
      </c>
      <c r="R115" s="1" t="s">
        <v>237</v>
      </c>
      <c r="S115" s="1" t="str">
        <f t="shared" si="3"/>
        <v>*/Consignment/TransportEquipment[0]/GoodsReference[0]/declarationGoodsItemNumber</v>
      </c>
    </row>
    <row r="116" spans="1:19" ht="12" customHeight="1" outlineLevel="2" x14ac:dyDescent="0.25">
      <c r="A116" s="4" t="str">
        <f t="shared" si="2"/>
        <v>CC013C
CC015C
CC170C</v>
      </c>
      <c r="B116" s="4">
        <v>2</v>
      </c>
      <c r="C116" s="4" t="s">
        <v>41</v>
      </c>
      <c r="D116" s="4" t="s">
        <v>36</v>
      </c>
      <c r="E116" s="4" t="s">
        <v>36</v>
      </c>
      <c r="F116" s="4" t="s">
        <v>18</v>
      </c>
      <c r="G116" s="8" t="s">
        <v>238</v>
      </c>
      <c r="H116" s="6"/>
      <c r="I116" s="4" t="s">
        <v>450</v>
      </c>
      <c r="J116" s="4" t="s">
        <v>637</v>
      </c>
      <c r="K116" s="4" t="s">
        <v>636</v>
      </c>
      <c r="L116" s="4"/>
      <c r="M116" s="4"/>
      <c r="N116" s="4" t="s">
        <v>630</v>
      </c>
      <c r="O116" s="4" t="s">
        <v>239</v>
      </c>
      <c r="P116" s="4"/>
      <c r="Q116" s="4"/>
      <c r="S116" s="1" t="str">
        <f t="shared" si="3"/>
        <v>*/Consignment/LocationOfGoods</v>
      </c>
    </row>
    <row r="117" spans="1:19" ht="12" customHeight="1" outlineLevel="3" x14ac:dyDescent="0.25">
      <c r="A117" s="1" t="str">
        <f t="shared" si="2"/>
        <v>CC013C
CC015C
CC170C</v>
      </c>
      <c r="B117" s="1">
        <v>3</v>
      </c>
      <c r="C117" s="1" t="s">
        <v>17</v>
      </c>
      <c r="D117" s="1" t="s">
        <v>18</v>
      </c>
      <c r="E117" s="1" t="s">
        <v>18</v>
      </c>
      <c r="F117" s="1" t="s">
        <v>18</v>
      </c>
      <c r="G117" s="9" t="s">
        <v>240</v>
      </c>
      <c r="H117" s="3" t="s">
        <v>57</v>
      </c>
      <c r="I117" s="1" t="s">
        <v>21</v>
      </c>
      <c r="L117" s="1" t="s">
        <v>638</v>
      </c>
      <c r="N117" s="1" t="s">
        <v>631</v>
      </c>
      <c r="O117" s="1" t="s">
        <v>241</v>
      </c>
      <c r="R117" s="1" t="s">
        <v>242</v>
      </c>
      <c r="S117" s="1" t="str">
        <f t="shared" si="3"/>
        <v>*/Consignment/LocationOfGoods/typeOfLocation</v>
      </c>
    </row>
    <row r="118" spans="1:19" ht="12" customHeight="1" outlineLevel="3" x14ac:dyDescent="0.25">
      <c r="A118" s="1" t="str">
        <f t="shared" si="2"/>
        <v>CC013C
CC015C
CC170C</v>
      </c>
      <c r="B118" s="1">
        <v>3</v>
      </c>
      <c r="C118" s="1" t="s">
        <v>17</v>
      </c>
      <c r="D118" s="1" t="s">
        <v>18</v>
      </c>
      <c r="E118" s="1" t="s">
        <v>18</v>
      </c>
      <c r="F118" s="1" t="s">
        <v>18</v>
      </c>
      <c r="G118" s="9" t="s">
        <v>243</v>
      </c>
      <c r="H118" s="3" t="s">
        <v>57</v>
      </c>
      <c r="I118" s="1" t="s">
        <v>21</v>
      </c>
      <c r="J118" s="1" t="s">
        <v>639</v>
      </c>
      <c r="L118" s="1" t="s">
        <v>640</v>
      </c>
      <c r="N118" s="1" t="s">
        <v>632</v>
      </c>
      <c r="O118" s="1" t="s">
        <v>244</v>
      </c>
      <c r="R118" s="1" t="s">
        <v>245</v>
      </c>
      <c r="S118" s="1" t="str">
        <f t="shared" si="3"/>
        <v>*/Consignment/LocationOfGoods/qualifierOfIdentification</v>
      </c>
    </row>
    <row r="119" spans="1:19" ht="12" customHeight="1" outlineLevel="3" x14ac:dyDescent="0.25">
      <c r="A119" s="1" t="str">
        <f t="shared" si="2"/>
        <v>CC013C
CC015C
CC170C</v>
      </c>
      <c r="B119" s="1">
        <v>3</v>
      </c>
      <c r="C119" s="1" t="s">
        <v>17</v>
      </c>
      <c r="D119" s="1" t="s">
        <v>36</v>
      </c>
      <c r="E119" s="1" t="s">
        <v>36</v>
      </c>
      <c r="F119" s="1" t="s">
        <v>36</v>
      </c>
      <c r="G119" s="9" t="s">
        <v>246</v>
      </c>
      <c r="H119" s="3" t="s">
        <v>101</v>
      </c>
      <c r="I119" s="1" t="s">
        <v>450</v>
      </c>
      <c r="K119" s="1" t="s">
        <v>641</v>
      </c>
      <c r="N119" s="1" t="s">
        <v>633</v>
      </c>
      <c r="O119" s="1" t="s">
        <v>247</v>
      </c>
      <c r="R119" s="1" t="s">
        <v>248</v>
      </c>
      <c r="S119" s="1" t="str">
        <f t="shared" si="3"/>
        <v>*/Consignment/LocationOfGoods/authorisationNumber</v>
      </c>
    </row>
    <row r="120" spans="1:19" ht="12" customHeight="1" outlineLevel="3" x14ac:dyDescent="0.25">
      <c r="A120" s="1" t="str">
        <f t="shared" si="2"/>
        <v>CC013C
CC015C
CC170C</v>
      </c>
      <c r="B120" s="1">
        <v>3</v>
      </c>
      <c r="C120" s="1" t="s">
        <v>17</v>
      </c>
      <c r="D120" s="1" t="s">
        <v>36</v>
      </c>
      <c r="E120" s="1" t="s">
        <v>36</v>
      </c>
      <c r="F120" s="1" t="s">
        <v>36</v>
      </c>
      <c r="G120" s="9" t="s">
        <v>249</v>
      </c>
      <c r="H120" s="3" t="s">
        <v>250</v>
      </c>
      <c r="I120" s="1" t="s">
        <v>450</v>
      </c>
      <c r="K120" s="1" t="s">
        <v>642</v>
      </c>
      <c r="N120" s="1" t="s">
        <v>634</v>
      </c>
      <c r="O120" s="1" t="s">
        <v>251</v>
      </c>
      <c r="R120" s="1" t="s">
        <v>252</v>
      </c>
      <c r="S120" s="1" t="str">
        <f t="shared" si="3"/>
        <v>*/Consignment/LocationOfGoods/additionalIdentifier</v>
      </c>
    </row>
    <row r="121" spans="1:19" ht="12" customHeight="1" outlineLevel="3" x14ac:dyDescent="0.25">
      <c r="A121" s="1" t="str">
        <f t="shared" si="2"/>
        <v>CC013C
CC015C
CC170C</v>
      </c>
      <c r="B121" s="1">
        <v>3</v>
      </c>
      <c r="C121" s="1" t="s">
        <v>17</v>
      </c>
      <c r="D121" s="1" t="s">
        <v>36</v>
      </c>
      <c r="E121" s="1" t="s">
        <v>36</v>
      </c>
      <c r="F121" s="1" t="s">
        <v>36</v>
      </c>
      <c r="G121" s="9" t="s">
        <v>253</v>
      </c>
      <c r="H121" s="3" t="s">
        <v>254</v>
      </c>
      <c r="I121" s="1" t="s">
        <v>450</v>
      </c>
      <c r="K121" s="1" t="s">
        <v>641</v>
      </c>
      <c r="L121" s="1" t="s">
        <v>622</v>
      </c>
      <c r="N121" s="1" t="s">
        <v>635</v>
      </c>
      <c r="O121" s="1" t="s">
        <v>255</v>
      </c>
      <c r="R121" s="1" t="s">
        <v>256</v>
      </c>
      <c r="S121" s="1" t="str">
        <f t="shared" si="3"/>
        <v>*/Consignment/LocationOfGoods/UNLocode</v>
      </c>
    </row>
    <row r="122" spans="1:19" ht="12" customHeight="1" outlineLevel="3" x14ac:dyDescent="0.25">
      <c r="A122" s="4" t="str">
        <f t="shared" si="2"/>
        <v>CC013C
CC015C
CC170C</v>
      </c>
      <c r="B122" s="4">
        <v>3</v>
      </c>
      <c r="C122" s="4" t="s">
        <v>41</v>
      </c>
      <c r="D122" s="4" t="s">
        <v>36</v>
      </c>
      <c r="E122" s="4" t="s">
        <v>36</v>
      </c>
      <c r="F122" s="4" t="s">
        <v>36</v>
      </c>
      <c r="G122" s="10" t="s">
        <v>257</v>
      </c>
      <c r="H122" s="6"/>
      <c r="I122" s="4" t="s">
        <v>450</v>
      </c>
      <c r="J122" s="4"/>
      <c r="K122" s="4" t="s">
        <v>641</v>
      </c>
      <c r="L122" s="4"/>
      <c r="M122" s="4"/>
      <c r="N122" s="4" t="s">
        <v>643</v>
      </c>
      <c r="O122" s="4" t="s">
        <v>258</v>
      </c>
      <c r="P122" s="4"/>
      <c r="Q122" s="4"/>
      <c r="S122" s="1" t="str">
        <f t="shared" si="3"/>
        <v>*/Consignment/LocationOfGoods/CustomsOffice</v>
      </c>
    </row>
    <row r="123" spans="1:19" ht="12" customHeight="1" outlineLevel="4" x14ac:dyDescent="0.25">
      <c r="A123" s="1" t="str">
        <f t="shared" si="2"/>
        <v>CC013C
CC015C
CC170C</v>
      </c>
      <c r="B123" s="1">
        <v>4</v>
      </c>
      <c r="C123" s="1" t="s">
        <v>17</v>
      </c>
      <c r="D123" s="1" t="s">
        <v>18</v>
      </c>
      <c r="E123" s="1" t="s">
        <v>18</v>
      </c>
      <c r="F123" s="1" t="s">
        <v>18</v>
      </c>
      <c r="G123" s="11" t="s">
        <v>100</v>
      </c>
      <c r="H123" s="3" t="s">
        <v>106</v>
      </c>
      <c r="I123" s="1" t="s">
        <v>21</v>
      </c>
      <c r="L123" s="1" t="s">
        <v>645</v>
      </c>
      <c r="N123" s="1" t="s">
        <v>644</v>
      </c>
      <c r="O123" s="1" t="s">
        <v>102</v>
      </c>
      <c r="R123" s="1" t="s">
        <v>107</v>
      </c>
      <c r="S123" s="1" t="str">
        <f t="shared" si="3"/>
        <v>*/Consignment/LocationOfGoods/CustomsOffice/referenceNumber</v>
      </c>
    </row>
    <row r="124" spans="1:19" ht="12" customHeight="1" outlineLevel="3" x14ac:dyDescent="0.25">
      <c r="A124" s="4" t="str">
        <f t="shared" si="2"/>
        <v>CC013C
CC015C
CC170C</v>
      </c>
      <c r="B124" s="4">
        <v>3</v>
      </c>
      <c r="C124" s="4" t="s">
        <v>41</v>
      </c>
      <c r="D124" s="4" t="s">
        <v>36</v>
      </c>
      <c r="E124" s="4" t="s">
        <v>36</v>
      </c>
      <c r="F124" s="4" t="s">
        <v>36</v>
      </c>
      <c r="G124" s="10" t="s">
        <v>259</v>
      </c>
      <c r="H124" s="6"/>
      <c r="I124" s="4" t="s">
        <v>450</v>
      </c>
      <c r="J124" s="4"/>
      <c r="K124" s="4" t="s">
        <v>641</v>
      </c>
      <c r="L124" s="4"/>
      <c r="M124" s="4"/>
      <c r="N124" s="4" t="s">
        <v>646</v>
      </c>
      <c r="O124" s="4" t="s">
        <v>260</v>
      </c>
      <c r="P124" s="4"/>
      <c r="Q124" s="4"/>
      <c r="S124" s="1" t="str">
        <f t="shared" si="3"/>
        <v>*/Consignment/LocationOfGoods/GNSS</v>
      </c>
    </row>
    <row r="125" spans="1:19" ht="12" customHeight="1" outlineLevel="4" x14ac:dyDescent="0.25">
      <c r="A125" s="1" t="str">
        <f t="shared" si="2"/>
        <v>CC013C
CC015C
CC170C</v>
      </c>
      <c r="B125" s="1">
        <v>4</v>
      </c>
      <c r="C125" s="1" t="s">
        <v>17</v>
      </c>
      <c r="D125" s="1" t="s">
        <v>18</v>
      </c>
      <c r="E125" s="1" t="s">
        <v>18</v>
      </c>
      <c r="F125" s="1" t="s">
        <v>18</v>
      </c>
      <c r="G125" s="11" t="s">
        <v>261</v>
      </c>
      <c r="H125" s="3" t="s">
        <v>404</v>
      </c>
      <c r="I125" s="1" t="s">
        <v>21</v>
      </c>
      <c r="J125" s="3" t="s">
        <v>649</v>
      </c>
      <c r="N125" s="1" t="s">
        <v>647</v>
      </c>
      <c r="O125" s="1" t="s">
        <v>262</v>
      </c>
      <c r="R125" s="1" t="s">
        <v>263</v>
      </c>
      <c r="S125" s="1" t="str">
        <f t="shared" si="3"/>
        <v>*/Consignment/LocationOfGoods/GNSS/latitude</v>
      </c>
    </row>
    <row r="126" spans="1:19" ht="12" customHeight="1" outlineLevel="4" x14ac:dyDescent="0.25">
      <c r="A126" s="1" t="str">
        <f t="shared" si="2"/>
        <v>CC013C
CC015C
CC170C</v>
      </c>
      <c r="B126" s="1">
        <v>4</v>
      </c>
      <c r="C126" s="1" t="s">
        <v>17</v>
      </c>
      <c r="D126" s="1" t="s">
        <v>18</v>
      </c>
      <c r="E126" s="1" t="s">
        <v>18</v>
      </c>
      <c r="F126" s="1" t="s">
        <v>18</v>
      </c>
      <c r="G126" s="11" t="s">
        <v>264</v>
      </c>
      <c r="H126" s="3" t="s">
        <v>405</v>
      </c>
      <c r="I126" s="1" t="s">
        <v>21</v>
      </c>
      <c r="J126" s="3" t="s">
        <v>649</v>
      </c>
      <c r="N126" s="1" t="s">
        <v>648</v>
      </c>
      <c r="O126" s="1" t="s">
        <v>265</v>
      </c>
      <c r="R126" s="1" t="s">
        <v>266</v>
      </c>
      <c r="S126" s="1" t="str">
        <f t="shared" si="3"/>
        <v>*/Consignment/LocationOfGoods/GNSS/longitude</v>
      </c>
    </row>
    <row r="127" spans="1:19" ht="12" customHeight="1" outlineLevel="3" x14ac:dyDescent="0.25">
      <c r="A127" s="4" t="str">
        <f t="shared" si="2"/>
        <v>CC013C
CC015C
CC170C</v>
      </c>
      <c r="B127" s="4">
        <v>3</v>
      </c>
      <c r="C127" s="4" t="s">
        <v>41</v>
      </c>
      <c r="D127" s="4" t="s">
        <v>36</v>
      </c>
      <c r="E127" s="4" t="s">
        <v>36</v>
      </c>
      <c r="F127" s="4" t="s">
        <v>36</v>
      </c>
      <c r="G127" s="10" t="s">
        <v>267</v>
      </c>
      <c r="H127" s="6"/>
      <c r="I127" s="4" t="s">
        <v>450</v>
      </c>
      <c r="J127" s="4"/>
      <c r="K127" s="4" t="s">
        <v>641</v>
      </c>
      <c r="L127" s="4"/>
      <c r="M127" s="4"/>
      <c r="N127" s="4" t="s">
        <v>650</v>
      </c>
      <c r="O127" s="4" t="s">
        <v>268</v>
      </c>
      <c r="P127" s="4"/>
      <c r="Q127" s="4"/>
      <c r="S127" s="1" t="str">
        <f t="shared" si="3"/>
        <v>*/Consignment/LocationOfGoods/EconomicOperator</v>
      </c>
    </row>
    <row r="128" spans="1:19" ht="12" customHeight="1" outlineLevel="4" x14ac:dyDescent="0.25">
      <c r="A128" s="1" t="str">
        <f t="shared" si="2"/>
        <v>CC013C
CC015C
CC170C</v>
      </c>
      <c r="B128" s="1">
        <v>4</v>
      </c>
      <c r="C128" s="1" t="s">
        <v>17</v>
      </c>
      <c r="D128" s="1" t="s">
        <v>18</v>
      </c>
      <c r="E128" s="1" t="s">
        <v>18</v>
      </c>
      <c r="F128" s="1" t="s">
        <v>18</v>
      </c>
      <c r="G128" s="11" t="s">
        <v>119</v>
      </c>
      <c r="H128" s="3" t="s">
        <v>120</v>
      </c>
      <c r="I128" s="1" t="s">
        <v>21</v>
      </c>
      <c r="J128" s="1" t="s">
        <v>537</v>
      </c>
      <c r="N128" s="1" t="s">
        <v>651</v>
      </c>
      <c r="O128" s="1" t="s">
        <v>121</v>
      </c>
      <c r="R128" s="1" t="s">
        <v>122</v>
      </c>
      <c r="S128" s="1" t="str">
        <f t="shared" si="3"/>
        <v>*/Consignment/LocationOfGoods/EconomicOperator/identificationNumber</v>
      </c>
    </row>
    <row r="129" spans="1:19" ht="12" customHeight="1" outlineLevel="3" x14ac:dyDescent="0.25">
      <c r="A129" s="4" t="str">
        <f t="shared" si="2"/>
        <v>CC013C
CC015C
CC170C</v>
      </c>
      <c r="B129" s="4">
        <v>3</v>
      </c>
      <c r="C129" s="4" t="s">
        <v>41</v>
      </c>
      <c r="D129" s="4" t="s">
        <v>36</v>
      </c>
      <c r="E129" s="4" t="s">
        <v>36</v>
      </c>
      <c r="F129" s="4" t="s">
        <v>36</v>
      </c>
      <c r="G129" s="10" t="s">
        <v>129</v>
      </c>
      <c r="H129" s="6"/>
      <c r="I129" s="4" t="s">
        <v>450</v>
      </c>
      <c r="J129" s="4"/>
      <c r="K129" s="4" t="s">
        <v>641</v>
      </c>
      <c r="L129" s="4"/>
      <c r="M129" s="4"/>
      <c r="N129" s="4" t="s">
        <v>652</v>
      </c>
      <c r="O129" s="4" t="s">
        <v>129</v>
      </c>
      <c r="P129" s="4"/>
      <c r="Q129" s="4"/>
      <c r="S129" s="1" t="str">
        <f t="shared" si="3"/>
        <v>*/Consignment/LocationOfGoods/Address</v>
      </c>
    </row>
    <row r="130" spans="1:19" ht="12" customHeight="1" outlineLevel="4" x14ac:dyDescent="0.25">
      <c r="A130" s="1" t="str">
        <f t="shared" ref="A130:A193" si="4">$G$2</f>
        <v>CC013C
CC015C
CC170C</v>
      </c>
      <c r="B130" s="1">
        <v>4</v>
      </c>
      <c r="C130" s="1" t="s">
        <v>17</v>
      </c>
      <c r="D130" s="1" t="s">
        <v>18</v>
      </c>
      <c r="E130" s="1" t="s">
        <v>18</v>
      </c>
      <c r="F130" s="1" t="s">
        <v>18</v>
      </c>
      <c r="G130" s="11" t="s">
        <v>130</v>
      </c>
      <c r="H130" s="3" t="s">
        <v>126</v>
      </c>
      <c r="I130" s="1" t="s">
        <v>21</v>
      </c>
      <c r="N130" s="1" t="s">
        <v>653</v>
      </c>
      <c r="O130" s="1" t="s">
        <v>131</v>
      </c>
      <c r="R130" s="1" t="s">
        <v>132</v>
      </c>
      <c r="S130" s="1" t="str">
        <f t="shared" ref="S130:S193" si="5">IF($B130=0,$O130,_xlfn.TEXTBEFORE(S129,"/",$B130,,,S129)&amp;"/"&amp;$O130)&amp;IF(_xlfn.TEXTAFTER($D130,"..",,,,1)&lt;&gt;"1","[0]","")</f>
        <v>*/Consignment/LocationOfGoods/Address/streetAndNumber</v>
      </c>
    </row>
    <row r="131" spans="1:19" ht="12" customHeight="1" outlineLevel="4" x14ac:dyDescent="0.25">
      <c r="A131" s="1" t="str">
        <f t="shared" si="4"/>
        <v>CC013C
CC015C
CC170C</v>
      </c>
      <c r="B131" s="1">
        <v>4</v>
      </c>
      <c r="C131" s="1" t="s">
        <v>17</v>
      </c>
      <c r="D131" s="1" t="s">
        <v>36</v>
      </c>
      <c r="E131" s="1" t="s">
        <v>36</v>
      </c>
      <c r="F131" s="1" t="s">
        <v>36</v>
      </c>
      <c r="G131" s="11" t="s">
        <v>133</v>
      </c>
      <c r="H131" s="3" t="s">
        <v>120</v>
      </c>
      <c r="I131" s="1" t="s">
        <v>450</v>
      </c>
      <c r="K131" s="1" t="s">
        <v>544</v>
      </c>
      <c r="N131" s="1" t="s">
        <v>654</v>
      </c>
      <c r="O131" s="1" t="s">
        <v>134</v>
      </c>
      <c r="R131" s="1" t="s">
        <v>135</v>
      </c>
      <c r="S131" s="1" t="str">
        <f t="shared" si="5"/>
        <v>*/Consignment/LocationOfGoods/Address/postcode</v>
      </c>
    </row>
    <row r="132" spans="1:19" ht="12" customHeight="1" outlineLevel="4" x14ac:dyDescent="0.25">
      <c r="A132" s="1" t="str">
        <f t="shared" si="4"/>
        <v>CC013C
CC015C
CC170C</v>
      </c>
      <c r="B132" s="1">
        <v>4</v>
      </c>
      <c r="C132" s="1" t="s">
        <v>17</v>
      </c>
      <c r="D132" s="1" t="s">
        <v>18</v>
      </c>
      <c r="E132" s="1" t="s">
        <v>18</v>
      </c>
      <c r="F132" s="1" t="s">
        <v>18</v>
      </c>
      <c r="G132" s="11" t="s">
        <v>136</v>
      </c>
      <c r="H132" s="3" t="s">
        <v>101</v>
      </c>
      <c r="I132" s="1" t="s">
        <v>21</v>
      </c>
      <c r="N132" s="1" t="s">
        <v>655</v>
      </c>
      <c r="O132" s="1" t="s">
        <v>137</v>
      </c>
      <c r="R132" s="1" t="s">
        <v>138</v>
      </c>
      <c r="S132" s="1" t="str">
        <f t="shared" si="5"/>
        <v>*/Consignment/LocationOfGoods/Address/city</v>
      </c>
    </row>
    <row r="133" spans="1:19" ht="12" customHeight="1" outlineLevel="4" x14ac:dyDescent="0.25">
      <c r="A133" s="1" t="str">
        <f t="shared" si="4"/>
        <v>CC013C
CC015C
CC170C</v>
      </c>
      <c r="B133" s="1">
        <v>4</v>
      </c>
      <c r="C133" s="1" t="s">
        <v>17</v>
      </c>
      <c r="D133" s="1" t="s">
        <v>18</v>
      </c>
      <c r="E133" s="1" t="s">
        <v>18</v>
      </c>
      <c r="F133" s="1" t="s">
        <v>18</v>
      </c>
      <c r="G133" s="11" t="s">
        <v>139</v>
      </c>
      <c r="H133" s="3" t="s">
        <v>140</v>
      </c>
      <c r="I133" s="1" t="s">
        <v>21</v>
      </c>
      <c r="L133" s="1" t="s">
        <v>657</v>
      </c>
      <c r="N133" s="1" t="s">
        <v>656</v>
      </c>
      <c r="O133" s="1" t="s">
        <v>141</v>
      </c>
      <c r="R133" s="1" t="s">
        <v>142</v>
      </c>
      <c r="S133" s="1" t="str">
        <f t="shared" si="5"/>
        <v>*/Consignment/LocationOfGoods/Address/country</v>
      </c>
    </row>
    <row r="134" spans="1:19" ht="12" customHeight="1" outlineLevel="3" x14ac:dyDescent="0.25">
      <c r="A134" s="4" t="str">
        <f t="shared" si="4"/>
        <v>CC013C
CC015C
CC170C</v>
      </c>
      <c r="B134" s="4">
        <v>3</v>
      </c>
      <c r="C134" s="4" t="s">
        <v>41</v>
      </c>
      <c r="D134" s="4" t="s">
        <v>36</v>
      </c>
      <c r="E134" s="4" t="s">
        <v>36</v>
      </c>
      <c r="F134" s="4" t="s">
        <v>36</v>
      </c>
      <c r="G134" s="10" t="s">
        <v>269</v>
      </c>
      <c r="H134" s="6"/>
      <c r="I134" s="4" t="s">
        <v>450</v>
      </c>
      <c r="J134" s="4"/>
      <c r="K134" s="4" t="s">
        <v>641</v>
      </c>
      <c r="L134" s="4"/>
      <c r="M134" s="4"/>
      <c r="N134" s="4" t="s">
        <v>658</v>
      </c>
      <c r="O134" s="4" t="s">
        <v>270</v>
      </c>
      <c r="P134" s="4"/>
      <c r="Q134" s="4"/>
      <c r="S134" s="1" t="str">
        <f t="shared" si="5"/>
        <v>*/Consignment/LocationOfGoods/PostcodeAddress</v>
      </c>
    </row>
    <row r="135" spans="1:19" ht="12" customHeight="1" outlineLevel="4" x14ac:dyDescent="0.25">
      <c r="A135" s="1" t="str">
        <f t="shared" si="4"/>
        <v>CC013C
CC015C
CC170C</v>
      </c>
      <c r="B135" s="1">
        <v>4</v>
      </c>
      <c r="C135" s="1" t="s">
        <v>17</v>
      </c>
      <c r="D135" s="1" t="s">
        <v>36</v>
      </c>
      <c r="E135" s="1" t="s">
        <v>36</v>
      </c>
      <c r="F135" s="1" t="s">
        <v>36</v>
      </c>
      <c r="G135" s="11" t="s">
        <v>271</v>
      </c>
      <c r="H135" s="3" t="s">
        <v>120</v>
      </c>
      <c r="I135" s="1" t="s">
        <v>450</v>
      </c>
      <c r="K135" s="1" t="s">
        <v>661</v>
      </c>
      <c r="N135" s="1" t="s">
        <v>659</v>
      </c>
      <c r="O135" s="1" t="s">
        <v>272</v>
      </c>
      <c r="R135" s="1" t="s">
        <v>273</v>
      </c>
      <c r="S135" s="1" t="str">
        <f t="shared" si="5"/>
        <v>*/Consignment/LocationOfGoods/PostcodeAddress/houseNumber</v>
      </c>
    </row>
    <row r="136" spans="1:19" ht="12" customHeight="1" outlineLevel="4" x14ac:dyDescent="0.25">
      <c r="A136" s="1" t="str">
        <f t="shared" si="4"/>
        <v>CC013C
CC015C
CC170C</v>
      </c>
      <c r="B136" s="1">
        <v>4</v>
      </c>
      <c r="C136" s="1" t="s">
        <v>17</v>
      </c>
      <c r="D136" s="1" t="s">
        <v>18</v>
      </c>
      <c r="E136" s="1" t="s">
        <v>18</v>
      </c>
      <c r="F136" s="1" t="s">
        <v>18</v>
      </c>
      <c r="G136" s="11" t="s">
        <v>133</v>
      </c>
      <c r="H136" s="3" t="s">
        <v>120</v>
      </c>
      <c r="I136" s="1" t="s">
        <v>21</v>
      </c>
      <c r="N136" s="1" t="s">
        <v>660</v>
      </c>
      <c r="O136" s="1" t="s">
        <v>134</v>
      </c>
      <c r="R136" s="1" t="s">
        <v>135</v>
      </c>
      <c r="S136" s="1" t="str">
        <f t="shared" si="5"/>
        <v>*/Consignment/LocationOfGoods/PostcodeAddress/postcode</v>
      </c>
    </row>
    <row r="137" spans="1:19" ht="12" customHeight="1" outlineLevel="4" x14ac:dyDescent="0.25">
      <c r="A137" s="1" t="str">
        <f t="shared" si="4"/>
        <v>CC013C
CC015C
CC170C</v>
      </c>
      <c r="B137" s="1">
        <v>4</v>
      </c>
      <c r="C137" s="1" t="s">
        <v>17</v>
      </c>
      <c r="D137" s="1" t="s">
        <v>18</v>
      </c>
      <c r="E137" s="1" t="s">
        <v>18</v>
      </c>
      <c r="F137" s="1" t="s">
        <v>18</v>
      </c>
      <c r="G137" s="11" t="s">
        <v>139</v>
      </c>
      <c r="H137" s="3" t="s">
        <v>140</v>
      </c>
      <c r="I137" s="1" t="s">
        <v>21</v>
      </c>
      <c r="L137" s="1" t="s">
        <v>663</v>
      </c>
      <c r="N137" s="1" t="s">
        <v>662</v>
      </c>
      <c r="O137" s="1" t="s">
        <v>141</v>
      </c>
      <c r="R137" s="1" t="s">
        <v>142</v>
      </c>
      <c r="S137" s="1" t="str">
        <f t="shared" si="5"/>
        <v>*/Consignment/LocationOfGoods/PostcodeAddress/country</v>
      </c>
    </row>
    <row r="138" spans="1:19" ht="12" customHeight="1" outlineLevel="3" x14ac:dyDescent="0.25">
      <c r="A138" s="4" t="str">
        <f t="shared" si="4"/>
        <v>CC013C
CC015C
CC170C</v>
      </c>
      <c r="B138" s="4">
        <v>3</v>
      </c>
      <c r="C138" s="4" t="s">
        <v>41</v>
      </c>
      <c r="D138" s="4" t="s">
        <v>36</v>
      </c>
      <c r="E138" s="4" t="s">
        <v>36</v>
      </c>
      <c r="F138" s="4" t="s">
        <v>36</v>
      </c>
      <c r="G138" s="10" t="s">
        <v>143</v>
      </c>
      <c r="H138" s="6"/>
      <c r="I138" s="4" t="s">
        <v>450</v>
      </c>
      <c r="J138" s="4" t="s">
        <v>549</v>
      </c>
      <c r="K138" s="4" t="s">
        <v>641</v>
      </c>
      <c r="L138" s="4"/>
      <c r="M138" s="4"/>
      <c r="N138" s="4" t="s">
        <v>664</v>
      </c>
      <c r="O138" s="4" t="s">
        <v>144</v>
      </c>
      <c r="P138" s="4"/>
      <c r="Q138" s="4"/>
      <c r="S138" s="1" t="str">
        <f t="shared" si="5"/>
        <v>*/Consignment/LocationOfGoods/ContactPerson</v>
      </c>
    </row>
    <row r="139" spans="1:19" ht="12" customHeight="1" outlineLevel="4" x14ac:dyDescent="0.25">
      <c r="A139" s="1" t="str">
        <f t="shared" si="4"/>
        <v>CC013C
CC015C
CC170C</v>
      </c>
      <c r="B139" s="1">
        <v>4</v>
      </c>
      <c r="C139" s="1" t="s">
        <v>17</v>
      </c>
      <c r="D139" s="1" t="s">
        <v>18</v>
      </c>
      <c r="E139" s="1" t="s">
        <v>18</v>
      </c>
      <c r="F139" s="1" t="s">
        <v>18</v>
      </c>
      <c r="G139" s="11" t="s">
        <v>4</v>
      </c>
      <c r="H139" s="3" t="s">
        <v>126</v>
      </c>
      <c r="I139" s="1" t="s">
        <v>21</v>
      </c>
      <c r="N139" s="1" t="s">
        <v>665</v>
      </c>
      <c r="O139" s="1" t="s">
        <v>127</v>
      </c>
      <c r="R139" s="1" t="s">
        <v>128</v>
      </c>
      <c r="S139" s="1" t="str">
        <f t="shared" si="5"/>
        <v>*/Consignment/LocationOfGoods/ContactPerson/name</v>
      </c>
    </row>
    <row r="140" spans="1:19" ht="12" customHeight="1" outlineLevel="4" x14ac:dyDescent="0.25">
      <c r="A140" s="1" t="str">
        <f t="shared" si="4"/>
        <v>CC013C
CC015C
CC170C</v>
      </c>
      <c r="B140" s="1">
        <v>4</v>
      </c>
      <c r="C140" s="1" t="s">
        <v>17</v>
      </c>
      <c r="D140" s="1" t="s">
        <v>18</v>
      </c>
      <c r="E140" s="1" t="s">
        <v>18</v>
      </c>
      <c r="F140" s="1" t="s">
        <v>18</v>
      </c>
      <c r="G140" s="11" t="s">
        <v>145</v>
      </c>
      <c r="H140" s="3" t="s">
        <v>20</v>
      </c>
      <c r="I140" s="1" t="s">
        <v>21</v>
      </c>
      <c r="N140" s="1" t="s">
        <v>666</v>
      </c>
      <c r="O140" s="1" t="s">
        <v>146</v>
      </c>
      <c r="R140" s="1" t="s">
        <v>147</v>
      </c>
      <c r="S140" s="1" t="str">
        <f t="shared" si="5"/>
        <v>*/Consignment/LocationOfGoods/ContactPerson/phoneNumber</v>
      </c>
    </row>
    <row r="141" spans="1:19" ht="12" customHeight="1" outlineLevel="4" x14ac:dyDescent="0.25">
      <c r="A141" s="1" t="str">
        <f t="shared" si="4"/>
        <v>CC013C
CC015C
CC170C</v>
      </c>
      <c r="B141" s="1">
        <v>4</v>
      </c>
      <c r="C141" s="1" t="s">
        <v>17</v>
      </c>
      <c r="D141" s="1" t="s">
        <v>36</v>
      </c>
      <c r="E141" s="1" t="s">
        <v>36</v>
      </c>
      <c r="F141" s="1" t="s">
        <v>36</v>
      </c>
      <c r="G141" s="11" t="s">
        <v>148</v>
      </c>
      <c r="H141" s="3" t="s">
        <v>149</v>
      </c>
      <c r="I141" s="1" t="s">
        <v>38</v>
      </c>
      <c r="J141" s="1" t="s">
        <v>458</v>
      </c>
      <c r="N141" s="1" t="s">
        <v>667</v>
      </c>
      <c r="O141" s="1" t="s">
        <v>150</v>
      </c>
      <c r="R141" s="1" t="s">
        <v>151</v>
      </c>
      <c r="S141" s="1" t="str">
        <f t="shared" si="5"/>
        <v>*/Consignment/LocationOfGoods/ContactPerson/eMailAddress</v>
      </c>
    </row>
    <row r="142" spans="1:19" ht="12" customHeight="1" outlineLevel="2" x14ac:dyDescent="0.25">
      <c r="A142" s="4" t="str">
        <f t="shared" si="4"/>
        <v>CC013C
CC015C
CC170C</v>
      </c>
      <c r="B142" s="4">
        <v>2</v>
      </c>
      <c r="C142" s="4" t="s">
        <v>41</v>
      </c>
      <c r="D142" s="4" t="s">
        <v>274</v>
      </c>
      <c r="E142" s="4" t="s">
        <v>274</v>
      </c>
      <c r="F142" s="4" t="s">
        <v>274</v>
      </c>
      <c r="G142" s="8" t="s">
        <v>275</v>
      </c>
      <c r="H142" s="6"/>
      <c r="I142" s="4" t="s">
        <v>450</v>
      </c>
      <c r="J142" s="6" t="s">
        <v>731</v>
      </c>
      <c r="K142" s="4" t="s">
        <v>730</v>
      </c>
      <c r="L142" s="4"/>
      <c r="M142" s="4"/>
      <c r="N142" s="4" t="s">
        <v>716</v>
      </c>
      <c r="O142" s="4" t="s">
        <v>276</v>
      </c>
      <c r="P142" s="6"/>
      <c r="Q142" s="4"/>
      <c r="S142" s="1" t="str">
        <f t="shared" si="5"/>
        <v>*/Consignment/DepartureTransportMeans[0]</v>
      </c>
    </row>
    <row r="143" spans="1:19" ht="12" customHeight="1" outlineLevel="3" x14ac:dyDescent="0.25">
      <c r="A143" s="1" t="str">
        <f t="shared" si="4"/>
        <v>CC013C
CC015C
CC170C</v>
      </c>
      <c r="B143" s="1">
        <v>3</v>
      </c>
      <c r="C143" s="1" t="s">
        <v>17</v>
      </c>
      <c r="D143" s="1" t="s">
        <v>18</v>
      </c>
      <c r="E143" s="1" t="s">
        <v>18</v>
      </c>
      <c r="F143" s="1" t="s">
        <v>18</v>
      </c>
      <c r="G143" s="9" t="s">
        <v>93</v>
      </c>
      <c r="H143" s="3" t="s">
        <v>717</v>
      </c>
      <c r="I143" s="1" t="s">
        <v>21</v>
      </c>
      <c r="J143" s="1" t="s">
        <v>475</v>
      </c>
      <c r="O143" s="1" t="s">
        <v>95</v>
      </c>
      <c r="R143" s="1" t="s">
        <v>96</v>
      </c>
      <c r="S143" s="1" t="str">
        <f t="shared" si="5"/>
        <v>*/Consignment/DepartureTransportMeans[0]/sequenceNumber</v>
      </c>
    </row>
    <row r="144" spans="1:19" ht="12" customHeight="1" outlineLevel="3" x14ac:dyDescent="0.25">
      <c r="A144" s="1" t="str">
        <f t="shared" si="4"/>
        <v>CC013C
CC015C
CC170C</v>
      </c>
      <c r="B144" s="1">
        <v>3</v>
      </c>
      <c r="C144" s="1" t="s">
        <v>17</v>
      </c>
      <c r="D144" s="1" t="s">
        <v>18</v>
      </c>
      <c r="E144" s="1" t="s">
        <v>18</v>
      </c>
      <c r="F144" s="1" t="s">
        <v>18</v>
      </c>
      <c r="G144" s="9" t="s">
        <v>277</v>
      </c>
      <c r="H144" s="3" t="s">
        <v>278</v>
      </c>
      <c r="I144" s="1" t="s">
        <v>21</v>
      </c>
      <c r="J144" s="3" t="s">
        <v>736</v>
      </c>
      <c r="L144" s="1" t="s">
        <v>732</v>
      </c>
      <c r="N144" s="1" t="s">
        <v>727</v>
      </c>
      <c r="O144" s="1" t="s">
        <v>279</v>
      </c>
      <c r="R144" s="1" t="s">
        <v>280</v>
      </c>
      <c r="S144" s="1" t="str">
        <f t="shared" si="5"/>
        <v>*/Consignment/DepartureTransportMeans[0]/typeOfIdentification</v>
      </c>
    </row>
    <row r="145" spans="1:19" ht="12" customHeight="1" outlineLevel="3" x14ac:dyDescent="0.25">
      <c r="A145" s="1" t="str">
        <f t="shared" si="4"/>
        <v>CC013C
CC015C
CC170C</v>
      </c>
      <c r="B145" s="1">
        <v>3</v>
      </c>
      <c r="C145" s="1" t="s">
        <v>17</v>
      </c>
      <c r="D145" s="1" t="s">
        <v>18</v>
      </c>
      <c r="E145" s="1" t="s">
        <v>18</v>
      </c>
      <c r="F145" s="1" t="s">
        <v>18</v>
      </c>
      <c r="G145" s="9" t="s">
        <v>119</v>
      </c>
      <c r="H145" s="3" t="s">
        <v>101</v>
      </c>
      <c r="I145" s="1" t="s">
        <v>21</v>
      </c>
      <c r="J145" s="3" t="s">
        <v>735</v>
      </c>
      <c r="N145" s="1" t="s">
        <v>728</v>
      </c>
      <c r="O145" s="1" t="s">
        <v>121</v>
      </c>
      <c r="R145" s="1" t="s">
        <v>281</v>
      </c>
      <c r="S145" s="1" t="str">
        <f t="shared" si="5"/>
        <v>*/Consignment/DepartureTransportMeans[0]/identificationNumber</v>
      </c>
    </row>
    <row r="146" spans="1:19" ht="12" customHeight="1" outlineLevel="3" x14ac:dyDescent="0.25">
      <c r="A146" s="1" t="str">
        <f t="shared" si="4"/>
        <v>CC013C
CC015C
CC170C</v>
      </c>
      <c r="B146" s="1">
        <v>3</v>
      </c>
      <c r="C146" s="1" t="s">
        <v>17</v>
      </c>
      <c r="D146" s="1" t="s">
        <v>18</v>
      </c>
      <c r="E146" s="1" t="s">
        <v>18</v>
      </c>
      <c r="F146" s="1" t="s">
        <v>18</v>
      </c>
      <c r="G146" s="9" t="s">
        <v>282</v>
      </c>
      <c r="H146" s="3" t="s">
        <v>140</v>
      </c>
      <c r="I146" s="1" t="s">
        <v>21</v>
      </c>
      <c r="J146" s="3" t="s">
        <v>734</v>
      </c>
      <c r="L146" s="1" t="s">
        <v>733</v>
      </c>
      <c r="N146" s="1" t="s">
        <v>729</v>
      </c>
      <c r="O146" s="1" t="s">
        <v>283</v>
      </c>
      <c r="R146" s="1" t="s">
        <v>284</v>
      </c>
      <c r="S146" s="1" t="str">
        <f t="shared" si="5"/>
        <v>*/Consignment/DepartureTransportMeans[0]/nationality</v>
      </c>
    </row>
    <row r="147" spans="1:19" ht="12" customHeight="1" outlineLevel="2" x14ac:dyDescent="0.25">
      <c r="A147" s="4" t="str">
        <f t="shared" si="4"/>
        <v>CC013C
CC015C
CC170C</v>
      </c>
      <c r="B147" s="4">
        <v>2</v>
      </c>
      <c r="C147" s="4" t="s">
        <v>41</v>
      </c>
      <c r="D147" s="4" t="s">
        <v>164</v>
      </c>
      <c r="E147" s="4" t="s">
        <v>164</v>
      </c>
      <c r="F147" s="4" t="s">
        <v>408</v>
      </c>
      <c r="G147" s="8" t="s">
        <v>285</v>
      </c>
      <c r="H147" s="6"/>
      <c r="I147" s="4" t="s">
        <v>450</v>
      </c>
      <c r="J147" s="6" t="s">
        <v>615</v>
      </c>
      <c r="K147" s="4" t="s">
        <v>614</v>
      </c>
      <c r="L147" s="4"/>
      <c r="M147" s="4"/>
      <c r="N147" s="4" t="s">
        <v>612</v>
      </c>
      <c r="O147" s="4" t="s">
        <v>286</v>
      </c>
      <c r="P147" s="4"/>
      <c r="Q147" s="4"/>
      <c r="S147" s="1" t="str">
        <f t="shared" si="5"/>
        <v>*/Consignment/CountryOfRoutingOfConsignment[0]</v>
      </c>
    </row>
    <row r="148" spans="1:19" ht="12" customHeight="1" outlineLevel="3" x14ac:dyDescent="0.25">
      <c r="A148" s="1" t="str">
        <f t="shared" si="4"/>
        <v>CC013C
CC015C
CC170C</v>
      </c>
      <c r="B148" s="1">
        <v>3</v>
      </c>
      <c r="C148" s="1" t="s">
        <v>17</v>
      </c>
      <c r="D148" s="1" t="s">
        <v>18</v>
      </c>
      <c r="E148" s="1" t="s">
        <v>18</v>
      </c>
      <c r="F148" s="1" t="s">
        <v>408</v>
      </c>
      <c r="G148" s="9" t="s">
        <v>93</v>
      </c>
      <c r="H148" s="3" t="s">
        <v>483</v>
      </c>
      <c r="I148" s="1" t="s">
        <v>21</v>
      </c>
      <c r="J148" s="1" t="s">
        <v>475</v>
      </c>
      <c r="O148" s="1" t="s">
        <v>95</v>
      </c>
      <c r="R148" s="1" t="s">
        <v>96</v>
      </c>
      <c r="S148" s="1" t="str">
        <f t="shared" si="5"/>
        <v>*/Consignment/CountryOfRoutingOfConsignment[0]/sequenceNumber</v>
      </c>
    </row>
    <row r="149" spans="1:19" ht="12" customHeight="1" outlineLevel="3" x14ac:dyDescent="0.25">
      <c r="A149" s="1" t="str">
        <f t="shared" si="4"/>
        <v>CC013C
CC015C
CC170C</v>
      </c>
      <c r="B149" s="1">
        <v>3</v>
      </c>
      <c r="C149" s="1" t="s">
        <v>17</v>
      </c>
      <c r="D149" s="1" t="s">
        <v>18</v>
      </c>
      <c r="E149" s="1" t="s">
        <v>18</v>
      </c>
      <c r="F149" s="1" t="s">
        <v>408</v>
      </c>
      <c r="G149" s="9" t="s">
        <v>139</v>
      </c>
      <c r="H149" s="3" t="s">
        <v>140</v>
      </c>
      <c r="I149" s="1" t="s">
        <v>21</v>
      </c>
      <c r="L149" s="1" t="s">
        <v>606</v>
      </c>
      <c r="N149" s="1" t="s">
        <v>613</v>
      </c>
      <c r="O149" s="1" t="s">
        <v>141</v>
      </c>
      <c r="R149" s="1" t="s">
        <v>142</v>
      </c>
      <c r="S149" s="1" t="str">
        <f t="shared" si="5"/>
        <v>*/Consignment/CountryOfRoutingOfConsignment[0]/country</v>
      </c>
    </row>
    <row r="150" spans="1:19" ht="12" customHeight="1" outlineLevel="2" x14ac:dyDescent="0.25">
      <c r="A150" s="4" t="str">
        <f t="shared" si="4"/>
        <v>CC013C
CC015C
CC170C</v>
      </c>
      <c r="B150" s="4">
        <v>2</v>
      </c>
      <c r="C150" s="4" t="s">
        <v>41</v>
      </c>
      <c r="D150" s="4" t="s">
        <v>91</v>
      </c>
      <c r="E150" s="4" t="s">
        <v>91</v>
      </c>
      <c r="F150" s="4" t="s">
        <v>91</v>
      </c>
      <c r="G150" s="8" t="s">
        <v>287</v>
      </c>
      <c r="H150" s="6"/>
      <c r="I150" s="4" t="s">
        <v>450</v>
      </c>
      <c r="J150" s="6" t="s">
        <v>755</v>
      </c>
      <c r="K150" s="4" t="s">
        <v>754</v>
      </c>
      <c r="L150" s="4"/>
      <c r="M150" s="4"/>
      <c r="N150" s="4" t="s">
        <v>753</v>
      </c>
      <c r="O150" s="4" t="s">
        <v>288</v>
      </c>
      <c r="P150" s="6"/>
      <c r="Q150" s="4"/>
      <c r="S150" s="1" t="str">
        <f t="shared" si="5"/>
        <v>*/Consignment/ActiveBorderTransportMeans[0]</v>
      </c>
    </row>
    <row r="151" spans="1:19" ht="12" customHeight="1" outlineLevel="3" x14ac:dyDescent="0.25">
      <c r="A151" s="1" t="str">
        <f t="shared" si="4"/>
        <v>CC013C
CC015C
CC170C</v>
      </c>
      <c r="B151" s="1">
        <v>3</v>
      </c>
      <c r="C151" s="1" t="s">
        <v>17</v>
      </c>
      <c r="D151" s="1" t="s">
        <v>18</v>
      </c>
      <c r="E151" s="1" t="s">
        <v>18</v>
      </c>
      <c r="F151" s="1" t="s">
        <v>18</v>
      </c>
      <c r="G151" s="9" t="s">
        <v>93</v>
      </c>
      <c r="H151" s="3" t="s">
        <v>530</v>
      </c>
      <c r="I151" s="1" t="s">
        <v>21</v>
      </c>
      <c r="J151" s="1" t="s">
        <v>475</v>
      </c>
      <c r="O151" s="1" t="s">
        <v>95</v>
      </c>
      <c r="R151" s="1" t="s">
        <v>96</v>
      </c>
      <c r="S151" s="1" t="str">
        <f t="shared" si="5"/>
        <v>*/Consignment/ActiveBorderTransportMeans[0]/sequenceNumber</v>
      </c>
    </row>
    <row r="152" spans="1:19" ht="12" customHeight="1" outlineLevel="3" x14ac:dyDescent="0.25">
      <c r="A152" s="1" t="str">
        <f t="shared" si="4"/>
        <v>CC013C
CC015C
CC170C</v>
      </c>
      <c r="B152" s="1">
        <v>3</v>
      </c>
      <c r="C152" s="1" t="s">
        <v>17</v>
      </c>
      <c r="D152" s="1" t="s">
        <v>18</v>
      </c>
      <c r="E152" s="1" t="s">
        <v>18</v>
      </c>
      <c r="F152" s="1" t="s">
        <v>18</v>
      </c>
      <c r="G152" s="9" t="s">
        <v>289</v>
      </c>
      <c r="H152" s="3" t="s">
        <v>290</v>
      </c>
      <c r="I152" s="1" t="s">
        <v>21</v>
      </c>
      <c r="J152" s="3" t="s">
        <v>756</v>
      </c>
      <c r="N152" s="1" t="s">
        <v>757</v>
      </c>
      <c r="O152" s="1" t="s">
        <v>291</v>
      </c>
      <c r="R152" s="1" t="s">
        <v>292</v>
      </c>
      <c r="S152" s="1" t="str">
        <f t="shared" si="5"/>
        <v>*/Consignment/ActiveBorderTransportMeans[0]/customsOfficeAtBorderReferenceNumber</v>
      </c>
    </row>
    <row r="153" spans="1:19" ht="12" customHeight="1" outlineLevel="3" x14ac:dyDescent="0.25">
      <c r="A153" s="1" t="str">
        <f t="shared" si="4"/>
        <v>CC013C
CC015C
CC170C</v>
      </c>
      <c r="B153" s="1">
        <v>3</v>
      </c>
      <c r="C153" s="1" t="s">
        <v>17</v>
      </c>
      <c r="D153" s="1" t="s">
        <v>18</v>
      </c>
      <c r="E153" s="1" t="s">
        <v>18</v>
      </c>
      <c r="F153" s="1" t="s">
        <v>18</v>
      </c>
      <c r="G153" s="9" t="s">
        <v>277</v>
      </c>
      <c r="H153" s="3" t="s">
        <v>278</v>
      </c>
      <c r="I153" s="1" t="s">
        <v>21</v>
      </c>
      <c r="J153" s="3" t="s">
        <v>760</v>
      </c>
      <c r="L153" s="1" t="s">
        <v>759</v>
      </c>
      <c r="N153" s="1" t="s">
        <v>758</v>
      </c>
      <c r="O153" s="1" t="s">
        <v>279</v>
      </c>
      <c r="R153" s="1" t="s">
        <v>280</v>
      </c>
      <c r="S153" s="1" t="str">
        <f t="shared" si="5"/>
        <v>*/Consignment/ActiveBorderTransportMeans[0]/typeOfIdentification</v>
      </c>
    </row>
    <row r="154" spans="1:19" ht="12" customHeight="1" outlineLevel="3" x14ac:dyDescent="0.25">
      <c r="A154" s="1" t="str">
        <f t="shared" si="4"/>
        <v>CC013C
CC015C
CC170C</v>
      </c>
      <c r="B154" s="1">
        <v>3</v>
      </c>
      <c r="C154" s="1" t="s">
        <v>17</v>
      </c>
      <c r="D154" s="1" t="s">
        <v>18</v>
      </c>
      <c r="E154" s="1" t="s">
        <v>18</v>
      </c>
      <c r="F154" s="1" t="s">
        <v>18</v>
      </c>
      <c r="G154" s="9" t="s">
        <v>119</v>
      </c>
      <c r="H154" s="3" t="s">
        <v>101</v>
      </c>
      <c r="I154" s="1" t="s">
        <v>21</v>
      </c>
      <c r="J154" s="3" t="s">
        <v>762</v>
      </c>
      <c r="N154" s="1" t="s">
        <v>761</v>
      </c>
      <c r="O154" s="1" t="s">
        <v>121</v>
      </c>
      <c r="R154" s="1" t="s">
        <v>281</v>
      </c>
      <c r="S154" s="1" t="str">
        <f t="shared" si="5"/>
        <v>*/Consignment/ActiveBorderTransportMeans[0]/identificationNumber</v>
      </c>
    </row>
    <row r="155" spans="1:19" ht="12" customHeight="1" outlineLevel="3" x14ac:dyDescent="0.25">
      <c r="A155" s="1" t="str">
        <f t="shared" si="4"/>
        <v>CC013C
CC015C
CC170C</v>
      </c>
      <c r="B155" s="1">
        <v>3</v>
      </c>
      <c r="C155" s="1" t="s">
        <v>17</v>
      </c>
      <c r="D155" s="1" t="s">
        <v>18</v>
      </c>
      <c r="E155" s="1" t="s">
        <v>18</v>
      </c>
      <c r="F155" s="1" t="s">
        <v>18</v>
      </c>
      <c r="G155" s="9" t="s">
        <v>282</v>
      </c>
      <c r="H155" s="3" t="s">
        <v>140</v>
      </c>
      <c r="I155" s="1" t="s">
        <v>21</v>
      </c>
      <c r="J155" s="3" t="s">
        <v>764</v>
      </c>
      <c r="L155" s="1" t="s">
        <v>733</v>
      </c>
      <c r="N155" s="1" t="s">
        <v>763</v>
      </c>
      <c r="O155" s="1" t="s">
        <v>283</v>
      </c>
      <c r="R155" s="1" t="s">
        <v>284</v>
      </c>
      <c r="S155" s="1" t="str">
        <f t="shared" si="5"/>
        <v>*/Consignment/ActiveBorderTransportMeans[0]/nationality</v>
      </c>
    </row>
    <row r="156" spans="1:19" ht="12" customHeight="1" outlineLevel="3" x14ac:dyDescent="0.25">
      <c r="A156" s="1" t="str">
        <f t="shared" si="4"/>
        <v>CC013C
CC015C
CC170C</v>
      </c>
      <c r="B156" s="1">
        <v>3</v>
      </c>
      <c r="C156" s="1" t="s">
        <v>17</v>
      </c>
      <c r="D156" s="1" t="s">
        <v>36</v>
      </c>
      <c r="E156" s="1" t="s">
        <v>36</v>
      </c>
      <c r="F156" s="1" t="s">
        <v>36</v>
      </c>
      <c r="G156" s="9" t="s">
        <v>293</v>
      </c>
      <c r="H156" s="3" t="s">
        <v>294</v>
      </c>
      <c r="I156" s="1" t="s">
        <v>450</v>
      </c>
      <c r="J156" s="3" t="s">
        <v>767</v>
      </c>
      <c r="K156" s="1" t="s">
        <v>766</v>
      </c>
      <c r="N156" s="3" t="s">
        <v>765</v>
      </c>
      <c r="O156" s="1" t="s">
        <v>295</v>
      </c>
      <c r="R156" s="1" t="s">
        <v>296</v>
      </c>
      <c r="S156" s="1" t="str">
        <f t="shared" si="5"/>
        <v>*/Consignment/ActiveBorderTransportMeans[0]/conveyanceReferenceNumber</v>
      </c>
    </row>
    <row r="157" spans="1:19" ht="12" customHeight="1" outlineLevel="2" x14ac:dyDescent="0.25">
      <c r="A157" s="4" t="str">
        <f t="shared" si="4"/>
        <v>CC013C
CC015C
CC170C</v>
      </c>
      <c r="B157" s="4">
        <v>2</v>
      </c>
      <c r="C157" s="4" t="s">
        <v>41</v>
      </c>
      <c r="D157" s="4" t="s">
        <v>36</v>
      </c>
      <c r="E157" s="4" t="s">
        <v>36</v>
      </c>
      <c r="F157" s="4" t="s">
        <v>36</v>
      </c>
      <c r="G157" s="8" t="s">
        <v>297</v>
      </c>
      <c r="H157" s="6"/>
      <c r="I157" s="4" t="s">
        <v>450</v>
      </c>
      <c r="J157" s="4" t="s">
        <v>621</v>
      </c>
      <c r="K157" s="4" t="s">
        <v>620</v>
      </c>
      <c r="L157" s="4"/>
      <c r="M157" s="4"/>
      <c r="N157" s="4" t="s">
        <v>616</v>
      </c>
      <c r="O157" s="4" t="s">
        <v>298</v>
      </c>
      <c r="P157" s="4"/>
      <c r="Q157" s="4"/>
      <c r="S157" s="1" t="str">
        <f t="shared" si="5"/>
        <v>*/Consignment/PlaceOfLoading</v>
      </c>
    </row>
    <row r="158" spans="1:19" ht="12" customHeight="1" outlineLevel="3" x14ac:dyDescent="0.25">
      <c r="A158" s="1" t="str">
        <f t="shared" si="4"/>
        <v>CC013C
CC015C
CC170C</v>
      </c>
      <c r="B158" s="1">
        <v>3</v>
      </c>
      <c r="C158" s="1" t="s">
        <v>17</v>
      </c>
      <c r="D158" s="1" t="s">
        <v>36</v>
      </c>
      <c r="E158" s="1" t="s">
        <v>36</v>
      </c>
      <c r="F158" s="1" t="s">
        <v>36</v>
      </c>
      <c r="G158" s="9" t="s">
        <v>253</v>
      </c>
      <c r="H158" s="3" t="s">
        <v>254</v>
      </c>
      <c r="I158" s="1" t="s">
        <v>38</v>
      </c>
      <c r="L158" s="1" t="s">
        <v>622</v>
      </c>
      <c r="N158" s="1" t="s">
        <v>617</v>
      </c>
      <c r="O158" s="1" t="s">
        <v>255</v>
      </c>
      <c r="R158" s="1" t="s">
        <v>256</v>
      </c>
      <c r="S158" s="1" t="str">
        <f t="shared" si="5"/>
        <v>*/Consignment/PlaceOfLoading/UNLocode</v>
      </c>
    </row>
    <row r="159" spans="1:19" ht="12" customHeight="1" outlineLevel="3" x14ac:dyDescent="0.25">
      <c r="A159" s="1" t="str">
        <f t="shared" si="4"/>
        <v>CC013C
CC015C
CC170C</v>
      </c>
      <c r="B159" s="1">
        <v>3</v>
      </c>
      <c r="C159" s="1" t="s">
        <v>17</v>
      </c>
      <c r="D159" s="1" t="s">
        <v>36</v>
      </c>
      <c r="E159" s="1" t="s">
        <v>36</v>
      </c>
      <c r="F159" s="1" t="s">
        <v>18</v>
      </c>
      <c r="G159" s="9" t="s">
        <v>139</v>
      </c>
      <c r="H159" s="3" t="s">
        <v>140</v>
      </c>
      <c r="I159" s="1" t="s">
        <v>450</v>
      </c>
      <c r="K159" s="1" t="s">
        <v>623</v>
      </c>
      <c r="L159" s="1" t="s">
        <v>606</v>
      </c>
      <c r="N159" s="1" t="s">
        <v>618</v>
      </c>
      <c r="O159" s="1" t="s">
        <v>141</v>
      </c>
      <c r="R159" s="1" t="s">
        <v>142</v>
      </c>
      <c r="S159" s="1" t="str">
        <f t="shared" si="5"/>
        <v>*/Consignment/PlaceOfLoading/country</v>
      </c>
    </row>
    <row r="160" spans="1:19" ht="12" customHeight="1" outlineLevel="3" x14ac:dyDescent="0.25">
      <c r="A160" s="1" t="str">
        <f t="shared" si="4"/>
        <v>CC013C
CC015C
CC170C</v>
      </c>
      <c r="B160" s="1">
        <v>3</v>
      </c>
      <c r="C160" s="1" t="s">
        <v>17</v>
      </c>
      <c r="D160" s="1" t="s">
        <v>36</v>
      </c>
      <c r="E160" s="1" t="s">
        <v>36</v>
      </c>
      <c r="F160" s="1" t="s">
        <v>18</v>
      </c>
      <c r="G160" s="9" t="s">
        <v>299</v>
      </c>
      <c r="H160" s="3" t="s">
        <v>101</v>
      </c>
      <c r="I160" s="1" t="s">
        <v>450</v>
      </c>
      <c r="K160" s="1" t="s">
        <v>623</v>
      </c>
      <c r="N160" s="1" t="s">
        <v>619</v>
      </c>
      <c r="O160" s="1" t="s">
        <v>300</v>
      </c>
      <c r="R160" s="1" t="s">
        <v>301</v>
      </c>
      <c r="S160" s="1" t="str">
        <f t="shared" si="5"/>
        <v>*/Consignment/PlaceOfLoading/location</v>
      </c>
    </row>
    <row r="161" spans="1:19" ht="12" customHeight="1" outlineLevel="2" x14ac:dyDescent="0.25">
      <c r="A161" s="4" t="str">
        <f t="shared" si="4"/>
        <v>CC013C
CC015C
CC170C</v>
      </c>
      <c r="B161" s="4">
        <v>2</v>
      </c>
      <c r="C161" s="4" t="s">
        <v>41</v>
      </c>
      <c r="D161" s="4" t="s">
        <v>36</v>
      </c>
      <c r="E161" s="4" t="s">
        <v>36</v>
      </c>
      <c r="F161" s="4" t="s">
        <v>408</v>
      </c>
      <c r="G161" s="8" t="s">
        <v>302</v>
      </c>
      <c r="H161" s="6"/>
      <c r="I161" s="4" t="s">
        <v>450</v>
      </c>
      <c r="J161" s="4" t="s">
        <v>629</v>
      </c>
      <c r="K161" s="4" t="s">
        <v>628</v>
      </c>
      <c r="L161" s="4"/>
      <c r="M161" s="4"/>
      <c r="N161" s="4" t="s">
        <v>624</v>
      </c>
      <c r="O161" s="4" t="s">
        <v>303</v>
      </c>
      <c r="P161" s="4"/>
      <c r="Q161" s="4"/>
      <c r="S161" s="1" t="str">
        <f t="shared" si="5"/>
        <v>*/Consignment/PlaceOfUnloading</v>
      </c>
    </row>
    <row r="162" spans="1:19" ht="12" customHeight="1" outlineLevel="3" x14ac:dyDescent="0.25">
      <c r="A162" s="1" t="str">
        <f t="shared" si="4"/>
        <v>CC013C
CC015C
CC170C</v>
      </c>
      <c r="B162" s="1">
        <v>3</v>
      </c>
      <c r="C162" s="1" t="s">
        <v>17</v>
      </c>
      <c r="D162" s="1" t="s">
        <v>36</v>
      </c>
      <c r="E162" s="1" t="s">
        <v>36</v>
      </c>
      <c r="F162" s="1" t="s">
        <v>408</v>
      </c>
      <c r="G162" s="9" t="s">
        <v>253</v>
      </c>
      <c r="H162" s="3" t="s">
        <v>254</v>
      </c>
      <c r="I162" s="1" t="s">
        <v>38</v>
      </c>
      <c r="L162" s="1" t="s">
        <v>622</v>
      </c>
      <c r="N162" s="1" t="s">
        <v>625</v>
      </c>
      <c r="O162" s="1" t="s">
        <v>255</v>
      </c>
      <c r="R162" s="1" t="s">
        <v>256</v>
      </c>
      <c r="S162" s="1" t="str">
        <f t="shared" si="5"/>
        <v>*/Consignment/PlaceOfUnloading/UNLocode</v>
      </c>
    </row>
    <row r="163" spans="1:19" ht="12" customHeight="1" outlineLevel="3" x14ac:dyDescent="0.25">
      <c r="A163" s="1" t="str">
        <f t="shared" si="4"/>
        <v>CC013C
CC015C
CC170C</v>
      </c>
      <c r="B163" s="1">
        <v>3</v>
      </c>
      <c r="C163" s="1" t="s">
        <v>17</v>
      </c>
      <c r="D163" s="1" t="s">
        <v>36</v>
      </c>
      <c r="E163" s="1" t="s">
        <v>36</v>
      </c>
      <c r="F163" s="1" t="s">
        <v>408</v>
      </c>
      <c r="G163" s="9" t="s">
        <v>139</v>
      </c>
      <c r="H163" s="3" t="s">
        <v>140</v>
      </c>
      <c r="I163" s="1" t="s">
        <v>450</v>
      </c>
      <c r="K163" s="1" t="s">
        <v>623</v>
      </c>
      <c r="L163" s="1" t="s">
        <v>606</v>
      </c>
      <c r="N163" s="1" t="s">
        <v>626</v>
      </c>
      <c r="O163" s="1" t="s">
        <v>141</v>
      </c>
      <c r="R163" s="1" t="s">
        <v>142</v>
      </c>
      <c r="S163" s="1" t="str">
        <f t="shared" si="5"/>
        <v>*/Consignment/PlaceOfUnloading/country</v>
      </c>
    </row>
    <row r="164" spans="1:19" ht="12" customHeight="1" outlineLevel="3" x14ac:dyDescent="0.25">
      <c r="A164" s="1" t="str">
        <f t="shared" si="4"/>
        <v>CC013C
CC015C
CC170C</v>
      </c>
      <c r="B164" s="1">
        <v>3</v>
      </c>
      <c r="C164" s="1" t="s">
        <v>17</v>
      </c>
      <c r="D164" s="1" t="s">
        <v>36</v>
      </c>
      <c r="E164" s="1" t="s">
        <v>36</v>
      </c>
      <c r="F164" s="1" t="s">
        <v>408</v>
      </c>
      <c r="G164" s="9" t="s">
        <v>299</v>
      </c>
      <c r="H164" s="3" t="s">
        <v>101</v>
      </c>
      <c r="I164" s="1" t="s">
        <v>450</v>
      </c>
      <c r="K164" s="1" t="s">
        <v>623</v>
      </c>
      <c r="N164" s="1" t="s">
        <v>627</v>
      </c>
      <c r="O164" s="1" t="s">
        <v>300</v>
      </c>
      <c r="R164" s="1" t="s">
        <v>301</v>
      </c>
      <c r="S164" s="1" t="str">
        <f t="shared" si="5"/>
        <v>*/Consignment/PlaceOfUnloading/location</v>
      </c>
    </row>
    <row r="165" spans="1:19" ht="12" customHeight="1" outlineLevel="2" x14ac:dyDescent="0.25">
      <c r="A165" s="4" t="str">
        <f t="shared" si="4"/>
        <v>CC013C
CC015C
CC170C</v>
      </c>
      <c r="B165" s="4">
        <v>2</v>
      </c>
      <c r="C165" s="4" t="s">
        <v>41</v>
      </c>
      <c r="D165" s="4" t="s">
        <v>216</v>
      </c>
      <c r="E165" s="4" t="s">
        <v>216</v>
      </c>
      <c r="F165" s="4" t="s">
        <v>408</v>
      </c>
      <c r="G165" s="8" t="s">
        <v>304</v>
      </c>
      <c r="H165" s="6"/>
      <c r="I165" s="4" t="s">
        <v>38</v>
      </c>
      <c r="J165" s="4"/>
      <c r="K165" s="4"/>
      <c r="L165" s="4"/>
      <c r="M165" s="4"/>
      <c r="N165" s="4" t="s">
        <v>477</v>
      </c>
      <c r="O165" s="4" t="s">
        <v>305</v>
      </c>
      <c r="P165" s="4"/>
      <c r="Q165" s="4"/>
      <c r="S165" s="1" t="str">
        <f t="shared" si="5"/>
        <v>*/Consignment/PreviousDocument[0]</v>
      </c>
    </row>
    <row r="166" spans="1:19" ht="12" customHeight="1" outlineLevel="3" x14ac:dyDescent="0.25">
      <c r="A166" s="1" t="str">
        <f t="shared" si="4"/>
        <v>CC013C
CC015C
CC170C</v>
      </c>
      <c r="B166" s="1">
        <v>3</v>
      </c>
      <c r="C166" s="1" t="s">
        <v>17</v>
      </c>
      <c r="D166" s="1" t="s">
        <v>18</v>
      </c>
      <c r="E166" s="1" t="s">
        <v>18</v>
      </c>
      <c r="F166" s="1" t="s">
        <v>408</v>
      </c>
      <c r="G166" s="9" t="s">
        <v>93</v>
      </c>
      <c r="H166" s="3" t="s">
        <v>504</v>
      </c>
      <c r="I166" s="1" t="s">
        <v>21</v>
      </c>
      <c r="J166" s="1" t="s">
        <v>475</v>
      </c>
      <c r="O166" s="1" t="s">
        <v>95</v>
      </c>
      <c r="R166" s="1" t="s">
        <v>96</v>
      </c>
      <c r="S166" s="1" t="str">
        <f t="shared" si="5"/>
        <v>*/Consignment/PreviousDocument[0]/sequenceNumber</v>
      </c>
    </row>
    <row r="167" spans="1:19" ht="12" customHeight="1" outlineLevel="3" x14ac:dyDescent="0.25">
      <c r="A167" s="1" t="str">
        <f t="shared" si="4"/>
        <v>CC013C
CC015C
CC170C</v>
      </c>
      <c r="B167" s="1">
        <v>3</v>
      </c>
      <c r="C167" s="1" t="s">
        <v>17</v>
      </c>
      <c r="D167" s="1" t="s">
        <v>18</v>
      </c>
      <c r="E167" s="1" t="s">
        <v>18</v>
      </c>
      <c r="F167" s="1" t="s">
        <v>408</v>
      </c>
      <c r="G167" s="9" t="s">
        <v>2</v>
      </c>
      <c r="H167" s="3" t="s">
        <v>306</v>
      </c>
      <c r="I167" s="1" t="s">
        <v>21</v>
      </c>
      <c r="J167" s="3" t="s">
        <v>479</v>
      </c>
      <c r="L167" s="1" t="s">
        <v>478</v>
      </c>
      <c r="N167" s="1" t="s">
        <v>476</v>
      </c>
      <c r="O167" s="1" t="s">
        <v>98</v>
      </c>
      <c r="R167" s="1" t="s">
        <v>307</v>
      </c>
      <c r="S167" s="1" t="str">
        <f t="shared" si="5"/>
        <v>*/Consignment/PreviousDocument[0]/type</v>
      </c>
    </row>
    <row r="168" spans="1:19" ht="12" customHeight="1" outlineLevel="3" x14ac:dyDescent="0.25">
      <c r="A168" s="1" t="str">
        <f t="shared" si="4"/>
        <v>CC013C
CC015C
CC170C</v>
      </c>
      <c r="B168" s="1">
        <v>3</v>
      </c>
      <c r="C168" s="1" t="s">
        <v>17</v>
      </c>
      <c r="D168" s="1" t="s">
        <v>18</v>
      </c>
      <c r="E168" s="1" t="s">
        <v>18</v>
      </c>
      <c r="F168" s="1" t="s">
        <v>408</v>
      </c>
      <c r="G168" s="9" t="s">
        <v>100</v>
      </c>
      <c r="H168" s="3" t="s">
        <v>126</v>
      </c>
      <c r="I168" s="1" t="s">
        <v>21</v>
      </c>
      <c r="J168" s="1" t="s">
        <v>481</v>
      </c>
      <c r="N168" s="1" t="s">
        <v>480</v>
      </c>
      <c r="O168" s="1" t="s">
        <v>102</v>
      </c>
      <c r="R168" s="1" t="s">
        <v>308</v>
      </c>
      <c r="S168" s="1" t="str">
        <f t="shared" si="5"/>
        <v>*/Consignment/PreviousDocument[0]/referenceNumber</v>
      </c>
    </row>
    <row r="169" spans="1:19" ht="12" customHeight="1" outlineLevel="3" x14ac:dyDescent="0.25">
      <c r="A169" s="1" t="str">
        <f t="shared" si="4"/>
        <v>CC013C
CC015C
CC170C</v>
      </c>
      <c r="B169" s="1">
        <v>3</v>
      </c>
      <c r="C169" s="1" t="s">
        <v>17</v>
      </c>
      <c r="D169" s="1" t="s">
        <v>36</v>
      </c>
      <c r="E169" s="1" t="s">
        <v>36</v>
      </c>
      <c r="F169" s="1" t="s">
        <v>408</v>
      </c>
      <c r="G169" s="9" t="s">
        <v>309</v>
      </c>
      <c r="H169" s="3" t="s">
        <v>101</v>
      </c>
      <c r="I169" s="1" t="s">
        <v>38</v>
      </c>
      <c r="N169" s="1" t="s">
        <v>482</v>
      </c>
      <c r="O169" s="1" t="s">
        <v>310</v>
      </c>
      <c r="R169" s="1" t="s">
        <v>311</v>
      </c>
      <c r="S169" s="1" t="str">
        <f t="shared" si="5"/>
        <v>*/Consignment/PreviousDocument[0]/complementOfInformation</v>
      </c>
    </row>
    <row r="170" spans="1:19" ht="12" customHeight="1" outlineLevel="2" x14ac:dyDescent="0.25">
      <c r="A170" s="4" t="str">
        <f t="shared" si="4"/>
        <v>CC013C
CC015C
CC170C</v>
      </c>
      <c r="B170" s="4">
        <v>2</v>
      </c>
      <c r="C170" s="4" t="s">
        <v>41</v>
      </c>
      <c r="D170" s="4" t="s">
        <v>164</v>
      </c>
      <c r="E170" s="4" t="s">
        <v>164</v>
      </c>
      <c r="F170" s="4" t="s">
        <v>408</v>
      </c>
      <c r="G170" s="8" t="s">
        <v>312</v>
      </c>
      <c r="H170" s="6"/>
      <c r="I170" s="4" t="s">
        <v>38</v>
      </c>
      <c r="J170" s="4" t="s">
        <v>503</v>
      </c>
      <c r="K170" s="4"/>
      <c r="L170" s="4"/>
      <c r="M170" s="4"/>
      <c r="N170" s="4" t="s">
        <v>498</v>
      </c>
      <c r="O170" s="4" t="s">
        <v>313</v>
      </c>
      <c r="P170" s="4"/>
      <c r="Q170" s="4"/>
      <c r="S170" s="1" t="str">
        <f t="shared" si="5"/>
        <v>*/Consignment/SupportingDocument[0]</v>
      </c>
    </row>
    <row r="171" spans="1:19" ht="12" customHeight="1" outlineLevel="3" x14ac:dyDescent="0.25">
      <c r="A171" s="1" t="str">
        <f t="shared" si="4"/>
        <v>CC013C
CC015C
CC170C</v>
      </c>
      <c r="B171" s="1">
        <v>3</v>
      </c>
      <c r="C171" s="1" t="s">
        <v>17</v>
      </c>
      <c r="D171" s="1" t="s">
        <v>18</v>
      </c>
      <c r="E171" s="1" t="s">
        <v>18</v>
      </c>
      <c r="F171" s="1" t="s">
        <v>408</v>
      </c>
      <c r="G171" s="9" t="s">
        <v>93</v>
      </c>
      <c r="H171" s="3" t="s">
        <v>483</v>
      </c>
      <c r="I171" s="1" t="s">
        <v>21</v>
      </c>
      <c r="J171" s="1" t="s">
        <v>475</v>
      </c>
      <c r="O171" s="1" t="s">
        <v>95</v>
      </c>
      <c r="R171" s="1" t="s">
        <v>96</v>
      </c>
      <c r="S171" s="1" t="str">
        <f t="shared" si="5"/>
        <v>*/Consignment/SupportingDocument[0]/sequenceNumber</v>
      </c>
    </row>
    <row r="172" spans="1:19" ht="12" customHeight="1" outlineLevel="3" x14ac:dyDescent="0.25">
      <c r="A172" s="1" t="str">
        <f t="shared" si="4"/>
        <v>CC013C
CC015C
CC170C</v>
      </c>
      <c r="B172" s="1">
        <v>3</v>
      </c>
      <c r="C172" s="1" t="s">
        <v>17</v>
      </c>
      <c r="D172" s="1" t="s">
        <v>18</v>
      </c>
      <c r="E172" s="1" t="s">
        <v>18</v>
      </c>
      <c r="F172" s="1" t="s">
        <v>408</v>
      </c>
      <c r="G172" s="9" t="s">
        <v>2</v>
      </c>
      <c r="H172" s="3" t="s">
        <v>306</v>
      </c>
      <c r="I172" s="1" t="s">
        <v>21</v>
      </c>
      <c r="J172" s="1" t="s">
        <v>505</v>
      </c>
      <c r="L172" s="1" t="s">
        <v>507</v>
      </c>
      <c r="N172" s="1" t="s">
        <v>500</v>
      </c>
      <c r="O172" s="1" t="s">
        <v>98</v>
      </c>
      <c r="R172" s="1" t="s">
        <v>307</v>
      </c>
      <c r="S172" s="1" t="str">
        <f t="shared" si="5"/>
        <v>*/Consignment/SupportingDocument[0]/type</v>
      </c>
    </row>
    <row r="173" spans="1:19" ht="12" customHeight="1" outlineLevel="3" x14ac:dyDescent="0.25">
      <c r="A173" s="1" t="str">
        <f t="shared" si="4"/>
        <v>CC013C
CC015C
CC170C</v>
      </c>
      <c r="B173" s="1">
        <v>3</v>
      </c>
      <c r="C173" s="1" t="s">
        <v>17</v>
      </c>
      <c r="D173" s="1" t="s">
        <v>18</v>
      </c>
      <c r="E173" s="1" t="s">
        <v>18</v>
      </c>
      <c r="F173" s="1" t="s">
        <v>408</v>
      </c>
      <c r="G173" s="9" t="s">
        <v>100</v>
      </c>
      <c r="H173" s="3" t="s">
        <v>126</v>
      </c>
      <c r="I173" s="1" t="s">
        <v>21</v>
      </c>
      <c r="J173" s="1" t="s">
        <v>481</v>
      </c>
      <c r="N173" s="1" t="s">
        <v>499</v>
      </c>
      <c r="O173" s="1" t="s">
        <v>102</v>
      </c>
      <c r="R173" s="1" t="s">
        <v>308</v>
      </c>
      <c r="S173" s="1" t="str">
        <f t="shared" si="5"/>
        <v>*/Consignment/SupportingDocument[0]/referenceNumber</v>
      </c>
    </row>
    <row r="174" spans="1:19" ht="12" customHeight="1" outlineLevel="3" x14ac:dyDescent="0.25">
      <c r="A174" s="1" t="str">
        <f t="shared" si="4"/>
        <v>CC013C
CC015C
CC170C</v>
      </c>
      <c r="B174" s="1">
        <v>3</v>
      </c>
      <c r="C174" s="1" t="s">
        <v>17</v>
      </c>
      <c r="D174" s="1" t="s">
        <v>36</v>
      </c>
      <c r="E174" s="1" t="s">
        <v>36</v>
      </c>
      <c r="F174" s="1" t="s">
        <v>408</v>
      </c>
      <c r="G174" s="9" t="s">
        <v>314</v>
      </c>
      <c r="H174" s="3" t="s">
        <v>94</v>
      </c>
      <c r="I174" s="1" t="s">
        <v>38</v>
      </c>
      <c r="N174" s="1" t="s">
        <v>501</v>
      </c>
      <c r="O174" s="1" t="s">
        <v>315</v>
      </c>
      <c r="R174" s="1" t="s">
        <v>316</v>
      </c>
      <c r="S174" s="1" t="str">
        <f t="shared" si="5"/>
        <v>*/Consignment/SupportingDocument[0]/documentLineItemNumber</v>
      </c>
    </row>
    <row r="175" spans="1:19" ht="12" customHeight="1" outlineLevel="3" x14ac:dyDescent="0.25">
      <c r="A175" s="1" t="str">
        <f t="shared" si="4"/>
        <v>CC013C
CC015C
CC170C</v>
      </c>
      <c r="B175" s="1">
        <v>3</v>
      </c>
      <c r="C175" s="1" t="s">
        <v>17</v>
      </c>
      <c r="D175" s="1" t="s">
        <v>36</v>
      </c>
      <c r="E175" s="1" t="s">
        <v>36</v>
      </c>
      <c r="F175" s="1" t="s">
        <v>408</v>
      </c>
      <c r="G175" s="9" t="s">
        <v>309</v>
      </c>
      <c r="H175" s="3" t="s">
        <v>101</v>
      </c>
      <c r="I175" s="1" t="s">
        <v>38</v>
      </c>
      <c r="N175" s="1" t="s">
        <v>502</v>
      </c>
      <c r="O175" s="1" t="s">
        <v>310</v>
      </c>
      <c r="R175" s="1" t="s">
        <v>311</v>
      </c>
      <c r="S175" s="1" t="str">
        <f t="shared" si="5"/>
        <v>*/Consignment/SupportingDocument[0]/complementOfInformation</v>
      </c>
    </row>
    <row r="176" spans="1:19" ht="12" customHeight="1" outlineLevel="2" x14ac:dyDescent="0.25">
      <c r="A176" s="4" t="str">
        <f t="shared" si="4"/>
        <v>CC013C
CC015C
CC170C</v>
      </c>
      <c r="B176" s="4">
        <v>2</v>
      </c>
      <c r="C176" s="4" t="s">
        <v>41</v>
      </c>
      <c r="D176" s="4" t="s">
        <v>164</v>
      </c>
      <c r="E176" s="4" t="s">
        <v>164</v>
      </c>
      <c r="F176" s="4" t="s">
        <v>408</v>
      </c>
      <c r="G176" s="8" t="s">
        <v>317</v>
      </c>
      <c r="H176" s="6"/>
      <c r="I176" s="4" t="s">
        <v>38</v>
      </c>
      <c r="J176" s="6" t="s">
        <v>516</v>
      </c>
      <c r="K176" s="4"/>
      <c r="L176" s="4"/>
      <c r="M176" s="4"/>
      <c r="N176" s="4" t="s">
        <v>513</v>
      </c>
      <c r="O176" s="4" t="s">
        <v>318</v>
      </c>
      <c r="P176" s="4"/>
      <c r="Q176" s="4"/>
      <c r="S176" s="1" t="str">
        <f t="shared" si="5"/>
        <v>*/Consignment/TransportDocument[0]</v>
      </c>
    </row>
    <row r="177" spans="1:19" ht="12" customHeight="1" outlineLevel="3" x14ac:dyDescent="0.25">
      <c r="A177" s="1" t="str">
        <f t="shared" si="4"/>
        <v>CC013C
CC015C
CC170C</v>
      </c>
      <c r="B177" s="1">
        <v>3</v>
      </c>
      <c r="C177" s="1" t="s">
        <v>17</v>
      </c>
      <c r="D177" s="1" t="s">
        <v>18</v>
      </c>
      <c r="E177" s="1" t="s">
        <v>18</v>
      </c>
      <c r="F177" s="1" t="s">
        <v>408</v>
      </c>
      <c r="G177" s="9" t="s">
        <v>93</v>
      </c>
      <c r="H177" s="3" t="s">
        <v>483</v>
      </c>
      <c r="I177" s="1" t="s">
        <v>21</v>
      </c>
      <c r="J177" s="1" t="s">
        <v>475</v>
      </c>
      <c r="O177" s="1" t="s">
        <v>95</v>
      </c>
      <c r="R177" s="1" t="s">
        <v>96</v>
      </c>
      <c r="S177" s="1" t="str">
        <f t="shared" si="5"/>
        <v>*/Consignment/TransportDocument[0]/sequenceNumber</v>
      </c>
    </row>
    <row r="178" spans="1:19" ht="12" customHeight="1" outlineLevel="3" x14ac:dyDescent="0.25">
      <c r="A178" s="1" t="str">
        <f t="shared" si="4"/>
        <v>CC013C
CC015C
CC170C</v>
      </c>
      <c r="B178" s="1">
        <v>3</v>
      </c>
      <c r="C178" s="1" t="s">
        <v>17</v>
      </c>
      <c r="D178" s="1" t="s">
        <v>18</v>
      </c>
      <c r="E178" s="1" t="s">
        <v>18</v>
      </c>
      <c r="F178" s="1" t="s">
        <v>408</v>
      </c>
      <c r="G178" s="9" t="s">
        <v>2</v>
      </c>
      <c r="H178" s="3" t="s">
        <v>306</v>
      </c>
      <c r="I178" s="1" t="s">
        <v>21</v>
      </c>
      <c r="J178" s="1" t="s">
        <v>505</v>
      </c>
      <c r="L178" s="1" t="s">
        <v>517</v>
      </c>
      <c r="N178" s="1" t="s">
        <v>514</v>
      </c>
      <c r="O178" s="1" t="s">
        <v>98</v>
      </c>
      <c r="R178" s="1" t="s">
        <v>307</v>
      </c>
      <c r="S178" s="1" t="str">
        <f t="shared" si="5"/>
        <v>*/Consignment/TransportDocument[0]/type</v>
      </c>
    </row>
    <row r="179" spans="1:19" ht="12" customHeight="1" outlineLevel="3" x14ac:dyDescent="0.25">
      <c r="A179" s="1" t="str">
        <f t="shared" si="4"/>
        <v>CC013C
CC015C
CC170C</v>
      </c>
      <c r="B179" s="1">
        <v>3</v>
      </c>
      <c r="C179" s="1" t="s">
        <v>17</v>
      </c>
      <c r="D179" s="1" t="s">
        <v>18</v>
      </c>
      <c r="E179" s="1" t="s">
        <v>18</v>
      </c>
      <c r="F179" s="1" t="s">
        <v>408</v>
      </c>
      <c r="G179" s="9" t="s">
        <v>100</v>
      </c>
      <c r="H179" s="3" t="s">
        <v>126</v>
      </c>
      <c r="I179" s="1" t="s">
        <v>21</v>
      </c>
      <c r="J179" s="1" t="s">
        <v>481</v>
      </c>
      <c r="N179" s="1" t="s">
        <v>515</v>
      </c>
      <c r="O179" s="1" t="s">
        <v>102</v>
      </c>
      <c r="R179" s="1" t="s">
        <v>308</v>
      </c>
      <c r="S179" s="1" t="str">
        <f t="shared" si="5"/>
        <v>*/Consignment/TransportDocument[0]/referenceNumber</v>
      </c>
    </row>
    <row r="180" spans="1:19" ht="12" customHeight="1" outlineLevel="2" x14ac:dyDescent="0.25">
      <c r="A180" s="4" t="str">
        <f t="shared" si="4"/>
        <v>CC013C
CC015C
CC170C</v>
      </c>
      <c r="B180" s="4">
        <v>2</v>
      </c>
      <c r="C180" s="4" t="s">
        <v>41</v>
      </c>
      <c r="D180" s="4" t="s">
        <v>164</v>
      </c>
      <c r="E180" s="4" t="s">
        <v>164</v>
      </c>
      <c r="F180" s="4" t="s">
        <v>408</v>
      </c>
      <c r="G180" s="8" t="s">
        <v>319</v>
      </c>
      <c r="H180" s="6"/>
      <c r="I180" s="4" t="s">
        <v>38</v>
      </c>
      <c r="J180" s="6" t="s">
        <v>511</v>
      </c>
      <c r="K180" s="4"/>
      <c r="L180" s="4"/>
      <c r="M180" s="4"/>
      <c r="N180" s="4" t="s">
        <v>508</v>
      </c>
      <c r="O180" s="4" t="s">
        <v>320</v>
      </c>
      <c r="P180" s="4"/>
      <c r="Q180" s="4"/>
      <c r="S180" s="1" t="str">
        <f t="shared" si="5"/>
        <v>*/Consignment/AdditionalReference[0]</v>
      </c>
    </row>
    <row r="181" spans="1:19" ht="12" customHeight="1" outlineLevel="3" x14ac:dyDescent="0.25">
      <c r="A181" s="1" t="str">
        <f t="shared" si="4"/>
        <v>CC013C
CC015C
CC170C</v>
      </c>
      <c r="B181" s="1">
        <v>3</v>
      </c>
      <c r="C181" s="1" t="s">
        <v>17</v>
      </c>
      <c r="D181" s="1" t="s">
        <v>18</v>
      </c>
      <c r="E181" s="1" t="s">
        <v>18</v>
      </c>
      <c r="F181" s="1" t="s">
        <v>408</v>
      </c>
      <c r="G181" s="9" t="s">
        <v>93</v>
      </c>
      <c r="H181" s="3" t="s">
        <v>483</v>
      </c>
      <c r="I181" s="1" t="s">
        <v>21</v>
      </c>
      <c r="J181" s="1" t="s">
        <v>475</v>
      </c>
      <c r="O181" s="1" t="s">
        <v>95</v>
      </c>
      <c r="R181" s="1" t="s">
        <v>96</v>
      </c>
      <c r="S181" s="1" t="str">
        <f t="shared" si="5"/>
        <v>*/Consignment/AdditionalReference[0]/sequenceNumber</v>
      </c>
    </row>
    <row r="182" spans="1:19" ht="12" customHeight="1" outlineLevel="3" x14ac:dyDescent="0.25">
      <c r="A182" s="1" t="str">
        <f t="shared" si="4"/>
        <v>CC013C
CC015C
CC170C</v>
      </c>
      <c r="B182" s="1">
        <v>3</v>
      </c>
      <c r="C182" s="1" t="s">
        <v>17</v>
      </c>
      <c r="D182" s="1" t="s">
        <v>18</v>
      </c>
      <c r="E182" s="1" t="s">
        <v>18</v>
      </c>
      <c r="F182" s="1" t="s">
        <v>408</v>
      </c>
      <c r="G182" s="9" t="s">
        <v>2</v>
      </c>
      <c r="H182" s="3" t="s">
        <v>306</v>
      </c>
      <c r="I182" s="1" t="s">
        <v>21</v>
      </c>
      <c r="J182" s="1" t="s">
        <v>505</v>
      </c>
      <c r="L182" s="1" t="s">
        <v>512</v>
      </c>
      <c r="N182" s="1" t="s">
        <v>509</v>
      </c>
      <c r="O182" s="1" t="s">
        <v>98</v>
      </c>
      <c r="R182" s="1" t="s">
        <v>307</v>
      </c>
      <c r="S182" s="1" t="str">
        <f t="shared" si="5"/>
        <v>*/Consignment/AdditionalReference[0]/type</v>
      </c>
    </row>
    <row r="183" spans="1:19" ht="12" customHeight="1" outlineLevel="3" x14ac:dyDescent="0.25">
      <c r="A183" s="1" t="str">
        <f t="shared" si="4"/>
        <v>CC013C
CC015C
CC170C</v>
      </c>
      <c r="B183" s="1">
        <v>3</v>
      </c>
      <c r="C183" s="1" t="s">
        <v>17</v>
      </c>
      <c r="D183" s="1" t="s">
        <v>36</v>
      </c>
      <c r="E183" s="1" t="s">
        <v>36</v>
      </c>
      <c r="F183" s="1" t="s">
        <v>408</v>
      </c>
      <c r="G183" s="9" t="s">
        <v>100</v>
      </c>
      <c r="H183" s="3" t="s">
        <v>126</v>
      </c>
      <c r="I183" s="1" t="s">
        <v>38</v>
      </c>
      <c r="J183" s="1" t="s">
        <v>481</v>
      </c>
      <c r="N183" s="1" t="s">
        <v>510</v>
      </c>
      <c r="O183" s="1" t="s">
        <v>102</v>
      </c>
      <c r="R183" s="1" t="s">
        <v>308</v>
      </c>
      <c r="S183" s="1" t="str">
        <f t="shared" si="5"/>
        <v>*/Consignment/AdditionalReference[0]/referenceNumber</v>
      </c>
    </row>
    <row r="184" spans="1:19" ht="12" customHeight="1" outlineLevel="2" x14ac:dyDescent="0.25">
      <c r="A184" s="4" t="str">
        <f t="shared" si="4"/>
        <v>CC013C
CC015C
CC170C</v>
      </c>
      <c r="B184" s="4">
        <v>2</v>
      </c>
      <c r="C184" s="4" t="s">
        <v>41</v>
      </c>
      <c r="D184" s="4" t="s">
        <v>164</v>
      </c>
      <c r="E184" s="4" t="s">
        <v>164</v>
      </c>
      <c r="F184" s="4" t="s">
        <v>408</v>
      </c>
      <c r="G184" s="8" t="s">
        <v>321</v>
      </c>
      <c r="H184" s="6"/>
      <c r="I184" s="4" t="s">
        <v>38</v>
      </c>
      <c r="J184" s="4" t="s">
        <v>494</v>
      </c>
      <c r="K184" s="4"/>
      <c r="L184" s="4"/>
      <c r="M184" s="4"/>
      <c r="N184" s="4" t="s">
        <v>493</v>
      </c>
      <c r="O184" s="4" t="s">
        <v>322</v>
      </c>
      <c r="P184" s="4"/>
      <c r="Q184" s="4"/>
      <c r="S184" s="1" t="str">
        <f t="shared" si="5"/>
        <v>*/Consignment/AdditionalInformation[0]</v>
      </c>
    </row>
    <row r="185" spans="1:19" ht="12" customHeight="1" outlineLevel="3" x14ac:dyDescent="0.25">
      <c r="A185" s="1" t="str">
        <f t="shared" si="4"/>
        <v>CC013C
CC015C
CC170C</v>
      </c>
      <c r="B185" s="1">
        <v>3</v>
      </c>
      <c r="C185" s="1" t="s">
        <v>17</v>
      </c>
      <c r="D185" s="1" t="s">
        <v>18</v>
      </c>
      <c r="E185" s="1" t="s">
        <v>18</v>
      </c>
      <c r="F185" s="1" t="s">
        <v>408</v>
      </c>
      <c r="G185" s="9" t="s">
        <v>93</v>
      </c>
      <c r="H185" s="3" t="s">
        <v>483</v>
      </c>
      <c r="I185" s="1" t="s">
        <v>21</v>
      </c>
      <c r="J185" s="1" t="s">
        <v>475</v>
      </c>
      <c r="O185" s="1" t="s">
        <v>95</v>
      </c>
      <c r="R185" s="1" t="s">
        <v>96</v>
      </c>
      <c r="S185" s="1" t="str">
        <f t="shared" si="5"/>
        <v>*/Consignment/AdditionalInformation[0]/sequenceNumber</v>
      </c>
    </row>
    <row r="186" spans="1:19" ht="12" customHeight="1" outlineLevel="3" x14ac:dyDescent="0.25">
      <c r="A186" s="1" t="str">
        <f t="shared" si="4"/>
        <v>CC013C
CC015C
CC170C</v>
      </c>
      <c r="B186" s="1">
        <v>3</v>
      </c>
      <c r="C186" s="1" t="s">
        <v>17</v>
      </c>
      <c r="D186" s="1" t="s">
        <v>18</v>
      </c>
      <c r="E186" s="1" t="s">
        <v>18</v>
      </c>
      <c r="F186" s="1" t="s">
        <v>408</v>
      </c>
      <c r="G186" s="9" t="s">
        <v>323</v>
      </c>
      <c r="H186" s="3" t="s">
        <v>324</v>
      </c>
      <c r="I186" s="1" t="s">
        <v>21</v>
      </c>
      <c r="J186" s="3" t="s">
        <v>497</v>
      </c>
      <c r="N186" s="1" t="s">
        <v>495</v>
      </c>
      <c r="O186" s="1" t="s">
        <v>325</v>
      </c>
      <c r="R186" s="1" t="s">
        <v>326</v>
      </c>
      <c r="S186" s="1" t="str">
        <f t="shared" si="5"/>
        <v>*/Consignment/AdditionalInformation[0]/code</v>
      </c>
    </row>
    <row r="187" spans="1:19" ht="12" customHeight="1" outlineLevel="3" x14ac:dyDescent="0.25">
      <c r="A187" s="1" t="str">
        <f t="shared" si="4"/>
        <v>CC013C
CC015C
CC170C</v>
      </c>
      <c r="B187" s="1">
        <v>3</v>
      </c>
      <c r="C187" s="1" t="s">
        <v>17</v>
      </c>
      <c r="D187" s="1" t="s">
        <v>36</v>
      </c>
      <c r="E187" s="1" t="s">
        <v>36</v>
      </c>
      <c r="F187" s="1" t="s">
        <v>408</v>
      </c>
      <c r="G187" s="9" t="s">
        <v>327</v>
      </c>
      <c r="H187" s="3" t="s">
        <v>328</v>
      </c>
      <c r="I187" s="1" t="s">
        <v>38</v>
      </c>
      <c r="N187" s="1" t="s">
        <v>496</v>
      </c>
      <c r="O187" s="1" t="s">
        <v>329</v>
      </c>
      <c r="R187" s="1" t="s">
        <v>330</v>
      </c>
      <c r="S187" s="1" t="str">
        <f t="shared" si="5"/>
        <v>*/Consignment/AdditionalInformation[0]/text</v>
      </c>
    </row>
    <row r="188" spans="1:19" ht="12" customHeight="1" outlineLevel="2" x14ac:dyDescent="0.25">
      <c r="A188" s="4" t="str">
        <f t="shared" si="4"/>
        <v>CC013C
CC015C
CC170C</v>
      </c>
      <c r="B188" s="4">
        <v>2</v>
      </c>
      <c r="C188" s="4" t="s">
        <v>41</v>
      </c>
      <c r="D188" s="4" t="s">
        <v>36</v>
      </c>
      <c r="E188" s="4" t="s">
        <v>36</v>
      </c>
      <c r="F188" s="4" t="s">
        <v>408</v>
      </c>
      <c r="G188" s="8" t="s">
        <v>331</v>
      </c>
      <c r="H188" s="6"/>
      <c r="I188" s="4" t="s">
        <v>450</v>
      </c>
      <c r="J188" s="4" t="s">
        <v>604</v>
      </c>
      <c r="K188" s="6" t="s">
        <v>603</v>
      </c>
      <c r="L188" s="4"/>
      <c r="M188" s="4"/>
      <c r="N188" s="4" t="s">
        <v>600</v>
      </c>
      <c r="O188" s="4" t="s">
        <v>332</v>
      </c>
      <c r="P188" s="4"/>
      <c r="Q188" s="4"/>
      <c r="S188" s="1" t="str">
        <f t="shared" si="5"/>
        <v>*/Consignment/TransportCharges</v>
      </c>
    </row>
    <row r="189" spans="1:19" ht="12" customHeight="1" outlineLevel="3" x14ac:dyDescent="0.25">
      <c r="A189" s="1" t="str">
        <f t="shared" si="4"/>
        <v>CC013C
CC015C
CC170C</v>
      </c>
      <c r="B189" s="1">
        <v>3</v>
      </c>
      <c r="C189" s="1" t="s">
        <v>17</v>
      </c>
      <c r="D189" s="1" t="s">
        <v>18</v>
      </c>
      <c r="E189" s="1" t="s">
        <v>18</v>
      </c>
      <c r="F189" s="1" t="s">
        <v>408</v>
      </c>
      <c r="G189" s="9" t="s">
        <v>333</v>
      </c>
      <c r="H189" s="3" t="s">
        <v>334</v>
      </c>
      <c r="I189" s="1" t="s">
        <v>21</v>
      </c>
      <c r="L189" s="1" t="s">
        <v>602</v>
      </c>
      <c r="N189" s="1" t="s">
        <v>601</v>
      </c>
      <c r="O189" s="1" t="s">
        <v>335</v>
      </c>
      <c r="R189" s="1" t="s">
        <v>336</v>
      </c>
      <c r="S189" s="1" t="str">
        <f t="shared" si="5"/>
        <v>*/Consignment/TransportCharges/methodOfPayment</v>
      </c>
    </row>
    <row r="190" spans="1:19" ht="12" customHeight="1" outlineLevel="2" x14ac:dyDescent="0.25">
      <c r="A190" s="4" t="str">
        <f t="shared" si="4"/>
        <v>CC013C
CC015C
CC170C</v>
      </c>
      <c r="B190" s="4">
        <v>2</v>
      </c>
      <c r="C190" s="4" t="s">
        <v>41</v>
      </c>
      <c r="D190" s="4" t="s">
        <v>337</v>
      </c>
      <c r="E190" s="4" t="s">
        <v>337</v>
      </c>
      <c r="F190" s="4" t="s">
        <v>337</v>
      </c>
      <c r="G190" s="8" t="s">
        <v>338</v>
      </c>
      <c r="H190" s="6"/>
      <c r="I190" s="4" t="s">
        <v>21</v>
      </c>
      <c r="J190" s="4"/>
      <c r="K190" s="4"/>
      <c r="L190" s="4"/>
      <c r="M190" s="4"/>
      <c r="N190" s="4"/>
      <c r="O190" s="4" t="s">
        <v>339</v>
      </c>
      <c r="P190" s="4"/>
      <c r="Q190" s="4"/>
      <c r="S190" s="1" t="str">
        <f t="shared" si="5"/>
        <v>*/Consignment/HouseConsignment[0]</v>
      </c>
    </row>
    <row r="191" spans="1:19" ht="12" customHeight="1" outlineLevel="3" x14ac:dyDescent="0.25">
      <c r="A191" s="1" t="str">
        <f t="shared" si="4"/>
        <v>CC013C
CC015C
CC170C</v>
      </c>
      <c r="B191" s="1">
        <v>3</v>
      </c>
      <c r="C191" s="1" t="s">
        <v>17</v>
      </c>
      <c r="D191" s="1" t="s">
        <v>18</v>
      </c>
      <c r="E191" s="1" t="s">
        <v>18</v>
      </c>
      <c r="F191" s="1" t="s">
        <v>18</v>
      </c>
      <c r="G191" s="9" t="s">
        <v>93</v>
      </c>
      <c r="H191" s="3" t="s">
        <v>504</v>
      </c>
      <c r="I191" s="1" t="s">
        <v>21</v>
      </c>
      <c r="O191" s="1" t="s">
        <v>95</v>
      </c>
      <c r="R191" s="1" t="s">
        <v>96</v>
      </c>
      <c r="S191" s="1" t="str">
        <f t="shared" si="5"/>
        <v>*/Consignment/HouseConsignment[0]/sequenceNumber</v>
      </c>
    </row>
    <row r="192" spans="1:19" ht="12" customHeight="1" outlineLevel="3" x14ac:dyDescent="0.25">
      <c r="A192" s="1" t="str">
        <f t="shared" si="4"/>
        <v>CC013C
CC015C
CC170C</v>
      </c>
      <c r="B192" s="1">
        <v>3</v>
      </c>
      <c r="C192" s="1" t="s">
        <v>17</v>
      </c>
      <c r="D192" s="1" t="s">
        <v>36</v>
      </c>
      <c r="E192" s="1" t="s">
        <v>36</v>
      </c>
      <c r="F192" s="1" t="s">
        <v>408</v>
      </c>
      <c r="G192" s="9" t="s">
        <v>184</v>
      </c>
      <c r="H192" s="3" t="s">
        <v>140</v>
      </c>
      <c r="I192" s="1" t="s">
        <v>450</v>
      </c>
      <c r="J192" s="3" t="s">
        <v>611</v>
      </c>
      <c r="K192" s="1" t="s">
        <v>610</v>
      </c>
      <c r="L192" s="1" t="s">
        <v>606</v>
      </c>
      <c r="N192" s="1" t="s">
        <v>609</v>
      </c>
      <c r="O192" s="1" t="s">
        <v>185</v>
      </c>
      <c r="R192" s="1" t="s">
        <v>186</v>
      </c>
      <c r="S192" s="1" t="str">
        <f t="shared" si="5"/>
        <v>*/Consignment/HouseConsignment[0]/countryOfDispatch</v>
      </c>
    </row>
    <row r="193" spans="1:19" ht="12" customHeight="1" outlineLevel="3" x14ac:dyDescent="0.25">
      <c r="A193" s="1" t="str">
        <f t="shared" si="4"/>
        <v>CC013C
CC015C
CC170C</v>
      </c>
      <c r="B193" s="1">
        <v>3</v>
      </c>
      <c r="C193" s="1" t="s">
        <v>17</v>
      </c>
      <c r="D193" s="1" t="s">
        <v>36</v>
      </c>
      <c r="E193" s="1" t="s">
        <v>36</v>
      </c>
      <c r="F193" s="1" t="s">
        <v>408</v>
      </c>
      <c r="G193" s="9" t="s">
        <v>187</v>
      </c>
      <c r="H193" s="3" t="s">
        <v>140</v>
      </c>
      <c r="I193" s="1" t="s">
        <v>450</v>
      </c>
      <c r="J193" s="1" t="s">
        <v>608</v>
      </c>
      <c r="K193" s="1" t="s">
        <v>607</v>
      </c>
      <c r="L193" s="1" t="s">
        <v>606</v>
      </c>
      <c r="N193" s="1" t="s">
        <v>605</v>
      </c>
      <c r="O193" s="1" t="s">
        <v>188</v>
      </c>
      <c r="R193" s="1" t="s">
        <v>189</v>
      </c>
      <c r="S193" s="1" t="str">
        <f t="shared" si="5"/>
        <v>*/Consignment/HouseConsignment[0]/countryOfDestination</v>
      </c>
    </row>
    <row r="194" spans="1:19" ht="12" customHeight="1" outlineLevel="3" x14ac:dyDescent="0.25">
      <c r="A194" s="1" t="str">
        <f t="shared" ref="A194:A256" si="6">$G$2</f>
        <v>CC013C
CC015C
CC170C</v>
      </c>
      <c r="B194" s="1">
        <v>3</v>
      </c>
      <c r="C194" s="1" t="s">
        <v>17</v>
      </c>
      <c r="D194" s="1" t="s">
        <v>18</v>
      </c>
      <c r="E194" s="1" t="s">
        <v>18</v>
      </c>
      <c r="F194" s="1" t="s">
        <v>408</v>
      </c>
      <c r="G194" s="9" t="s">
        <v>198</v>
      </c>
      <c r="H194" s="3" t="s">
        <v>199</v>
      </c>
      <c r="I194" s="1" t="s">
        <v>21</v>
      </c>
      <c r="J194" s="3" t="s">
        <v>693</v>
      </c>
      <c r="N194" s="1" t="s">
        <v>692</v>
      </c>
      <c r="O194" s="1" t="s">
        <v>200</v>
      </c>
      <c r="R194" s="1" t="s">
        <v>201</v>
      </c>
      <c r="S194" s="1" t="str">
        <f t="shared" ref="S194:S256" si="7">IF($B194=0,$O194,_xlfn.TEXTBEFORE(S193,"/",$B194,,,S193)&amp;"/"&amp;$O194)&amp;IF(_xlfn.TEXTAFTER($D194,"..",,,,1)&lt;&gt;"1","[0]","")</f>
        <v>*/Consignment/HouseConsignment[0]/grossMass</v>
      </c>
    </row>
    <row r="195" spans="1:19" ht="12" customHeight="1" outlineLevel="3" x14ac:dyDescent="0.25">
      <c r="A195" s="1" t="str">
        <f t="shared" si="6"/>
        <v>CC013C
CC015C
CC170C</v>
      </c>
      <c r="B195" s="1">
        <v>3</v>
      </c>
      <c r="C195" s="1" t="s">
        <v>17</v>
      </c>
      <c r="D195" s="1" t="s">
        <v>36</v>
      </c>
      <c r="E195" s="1" t="s">
        <v>36</v>
      </c>
      <c r="F195" s="1" t="s">
        <v>408</v>
      </c>
      <c r="G195" s="9" t="s">
        <v>202</v>
      </c>
      <c r="H195" s="3" t="s">
        <v>203</v>
      </c>
      <c r="I195" s="1" t="s">
        <v>450</v>
      </c>
      <c r="J195" s="3" t="s">
        <v>523</v>
      </c>
      <c r="K195" s="1" t="s">
        <v>522</v>
      </c>
      <c r="N195" s="1" t="s">
        <v>521</v>
      </c>
      <c r="O195" s="1" t="s">
        <v>204</v>
      </c>
      <c r="R195" s="1" t="s">
        <v>205</v>
      </c>
      <c r="S195" s="1" t="str">
        <f t="shared" si="7"/>
        <v>*/Consignment/HouseConsignment[0]/referenceNumberUCR</v>
      </c>
    </row>
    <row r="196" spans="1:19" ht="12" customHeight="1" outlineLevel="3" x14ac:dyDescent="0.25">
      <c r="A196" s="4" t="str">
        <f t="shared" si="6"/>
        <v>CC013C
CC015C
CC170C</v>
      </c>
      <c r="B196" s="4">
        <v>3</v>
      </c>
      <c r="C196" s="4" t="s">
        <v>41</v>
      </c>
      <c r="D196" s="4" t="s">
        <v>36</v>
      </c>
      <c r="E196" s="4" t="s">
        <v>36</v>
      </c>
      <c r="F196" s="4" t="s">
        <v>408</v>
      </c>
      <c r="G196" s="10" t="s">
        <v>208</v>
      </c>
      <c r="H196" s="6"/>
      <c r="I196" s="4" t="s">
        <v>450</v>
      </c>
      <c r="J196" s="6" t="s">
        <v>539</v>
      </c>
      <c r="K196" s="4" t="s">
        <v>538</v>
      </c>
      <c r="L196" s="4"/>
      <c r="M196" s="4"/>
      <c r="N196" s="4" t="s">
        <v>534</v>
      </c>
      <c r="O196" s="4" t="s">
        <v>208</v>
      </c>
      <c r="P196" s="4"/>
      <c r="Q196" s="4"/>
      <c r="S196" s="1" t="str">
        <f t="shared" si="7"/>
        <v>*/Consignment/HouseConsignment[0]/Consignor</v>
      </c>
    </row>
    <row r="197" spans="1:19" ht="12" customHeight="1" outlineLevel="4" x14ac:dyDescent="0.25">
      <c r="A197" s="1" t="str">
        <f t="shared" si="6"/>
        <v>CC013C
CC015C
CC170C</v>
      </c>
      <c r="B197" s="1">
        <v>4</v>
      </c>
      <c r="C197" s="1" t="s">
        <v>17</v>
      </c>
      <c r="D197" s="1" t="s">
        <v>36</v>
      </c>
      <c r="E197" s="1" t="s">
        <v>36</v>
      </c>
      <c r="F197" s="1" t="s">
        <v>408</v>
      </c>
      <c r="G197" s="11" t="s">
        <v>119</v>
      </c>
      <c r="H197" s="3" t="s">
        <v>120</v>
      </c>
      <c r="I197" s="1" t="s">
        <v>38</v>
      </c>
      <c r="J197" s="1" t="s">
        <v>537</v>
      </c>
      <c r="N197" s="1" t="s">
        <v>535</v>
      </c>
      <c r="O197" s="1" t="s">
        <v>121</v>
      </c>
      <c r="R197" s="1" t="s">
        <v>122</v>
      </c>
      <c r="S197" s="1" t="str">
        <f t="shared" si="7"/>
        <v>*/Consignment/HouseConsignment[0]/Consignor/identificationNumber</v>
      </c>
    </row>
    <row r="198" spans="1:19" ht="12" customHeight="1" outlineLevel="4" x14ac:dyDescent="0.25">
      <c r="A198" s="1" t="str">
        <f t="shared" si="6"/>
        <v>CC013C
CC015C
CC170C</v>
      </c>
      <c r="B198" s="1">
        <v>4</v>
      </c>
      <c r="C198" s="1" t="s">
        <v>17</v>
      </c>
      <c r="D198" s="1" t="s">
        <v>36</v>
      </c>
      <c r="E198" s="1" t="s">
        <v>36</v>
      </c>
      <c r="F198" s="1" t="s">
        <v>408</v>
      </c>
      <c r="G198" s="11" t="s">
        <v>4</v>
      </c>
      <c r="H198" s="3" t="s">
        <v>126</v>
      </c>
      <c r="I198" s="1" t="s">
        <v>450</v>
      </c>
      <c r="K198" s="1" t="s">
        <v>541</v>
      </c>
      <c r="N198" s="1" t="s">
        <v>536</v>
      </c>
      <c r="O198" s="1" t="s">
        <v>127</v>
      </c>
      <c r="R198" s="1" t="s">
        <v>128</v>
      </c>
      <c r="S198" s="1" t="str">
        <f t="shared" si="7"/>
        <v>*/Consignment/HouseConsignment[0]/Consignor/name</v>
      </c>
    </row>
    <row r="199" spans="1:19" ht="12" customHeight="1" outlineLevel="4" x14ac:dyDescent="0.25">
      <c r="A199" s="4" t="str">
        <f t="shared" si="6"/>
        <v>CC013C
CC015C
CC170C</v>
      </c>
      <c r="B199" s="4">
        <v>4</v>
      </c>
      <c r="C199" s="4" t="s">
        <v>41</v>
      </c>
      <c r="D199" s="4" t="s">
        <v>36</v>
      </c>
      <c r="E199" s="4" t="s">
        <v>36</v>
      </c>
      <c r="F199" s="4" t="s">
        <v>408</v>
      </c>
      <c r="G199" s="12" t="s">
        <v>129</v>
      </c>
      <c r="H199" s="6"/>
      <c r="I199" s="4" t="s">
        <v>450</v>
      </c>
      <c r="J199" s="4"/>
      <c r="K199" s="4" t="s">
        <v>541</v>
      </c>
      <c r="L199" s="4"/>
      <c r="M199" s="4"/>
      <c r="N199" s="4" t="s">
        <v>540</v>
      </c>
      <c r="O199" s="4" t="s">
        <v>129</v>
      </c>
      <c r="P199" s="4"/>
      <c r="Q199" s="4"/>
      <c r="S199" s="1" t="str">
        <f t="shared" si="7"/>
        <v>*/Consignment/HouseConsignment[0]/Consignor/Address</v>
      </c>
    </row>
    <row r="200" spans="1:19" ht="12" customHeight="1" outlineLevel="5" x14ac:dyDescent="0.25">
      <c r="A200" s="1" t="str">
        <f t="shared" si="6"/>
        <v>CC013C
CC015C
CC170C</v>
      </c>
      <c r="B200" s="1">
        <v>5</v>
      </c>
      <c r="C200" s="1" t="s">
        <v>17</v>
      </c>
      <c r="D200" s="1" t="s">
        <v>18</v>
      </c>
      <c r="E200" s="1" t="s">
        <v>18</v>
      </c>
      <c r="F200" s="1" t="s">
        <v>408</v>
      </c>
      <c r="G200" s="13" t="s">
        <v>130</v>
      </c>
      <c r="H200" s="3" t="s">
        <v>126</v>
      </c>
      <c r="I200" s="1" t="s">
        <v>21</v>
      </c>
      <c r="N200" s="1" t="s">
        <v>542</v>
      </c>
      <c r="O200" s="1" t="s">
        <v>131</v>
      </c>
      <c r="R200" s="1" t="s">
        <v>132</v>
      </c>
      <c r="S200" s="1" t="str">
        <f t="shared" si="7"/>
        <v>*/Consignment/HouseConsignment[0]/Consignor/Address/streetAndNumber</v>
      </c>
    </row>
    <row r="201" spans="1:19" ht="12" customHeight="1" outlineLevel="5" x14ac:dyDescent="0.25">
      <c r="A201" s="1" t="str">
        <f t="shared" si="6"/>
        <v>CC013C
CC015C
CC170C</v>
      </c>
      <c r="B201" s="1">
        <v>5</v>
      </c>
      <c r="C201" s="1" t="s">
        <v>17</v>
      </c>
      <c r="D201" s="1" t="s">
        <v>36</v>
      </c>
      <c r="E201" s="1" t="s">
        <v>36</v>
      </c>
      <c r="F201" s="1" t="s">
        <v>408</v>
      </c>
      <c r="G201" s="13" t="s">
        <v>133</v>
      </c>
      <c r="H201" s="3" t="s">
        <v>120</v>
      </c>
      <c r="I201" s="1" t="s">
        <v>450</v>
      </c>
      <c r="K201" s="1" t="s">
        <v>544</v>
      </c>
      <c r="N201" s="1" t="s">
        <v>543</v>
      </c>
      <c r="O201" s="1" t="s">
        <v>134</v>
      </c>
      <c r="R201" s="1" t="s">
        <v>135</v>
      </c>
      <c r="S201" s="1" t="str">
        <f t="shared" si="7"/>
        <v>*/Consignment/HouseConsignment[0]/Consignor/Address/postcode</v>
      </c>
    </row>
    <row r="202" spans="1:19" ht="12" customHeight="1" outlineLevel="5" x14ac:dyDescent="0.25">
      <c r="A202" s="1" t="str">
        <f t="shared" si="6"/>
        <v>CC013C
CC015C
CC170C</v>
      </c>
      <c r="B202" s="1">
        <v>5</v>
      </c>
      <c r="C202" s="1" t="s">
        <v>17</v>
      </c>
      <c r="D202" s="1" t="s">
        <v>18</v>
      </c>
      <c r="E202" s="1" t="s">
        <v>18</v>
      </c>
      <c r="F202" s="1" t="s">
        <v>408</v>
      </c>
      <c r="G202" s="13" t="s">
        <v>136</v>
      </c>
      <c r="H202" s="3" t="s">
        <v>101</v>
      </c>
      <c r="I202" s="1" t="s">
        <v>21</v>
      </c>
      <c r="N202" s="1" t="s">
        <v>545</v>
      </c>
      <c r="O202" s="1" t="s">
        <v>137</v>
      </c>
      <c r="R202" s="1" t="s">
        <v>138</v>
      </c>
      <c r="S202" s="1" t="str">
        <f t="shared" si="7"/>
        <v>*/Consignment/HouseConsignment[0]/Consignor/Address/city</v>
      </c>
    </row>
    <row r="203" spans="1:19" ht="12" customHeight="1" outlineLevel="5" x14ac:dyDescent="0.25">
      <c r="A203" s="1" t="str">
        <f t="shared" si="6"/>
        <v>CC013C
CC015C
CC170C</v>
      </c>
      <c r="B203" s="1">
        <v>5</v>
      </c>
      <c r="C203" s="1" t="s">
        <v>17</v>
      </c>
      <c r="D203" s="1" t="s">
        <v>18</v>
      </c>
      <c r="E203" s="1" t="s">
        <v>18</v>
      </c>
      <c r="F203" s="1" t="s">
        <v>408</v>
      </c>
      <c r="G203" s="13" t="s">
        <v>139</v>
      </c>
      <c r="H203" s="3" t="s">
        <v>140</v>
      </c>
      <c r="I203" s="1" t="s">
        <v>21</v>
      </c>
      <c r="L203" s="1" t="s">
        <v>547</v>
      </c>
      <c r="N203" s="1" t="s">
        <v>546</v>
      </c>
      <c r="O203" s="1" t="s">
        <v>141</v>
      </c>
      <c r="R203" s="1" t="s">
        <v>142</v>
      </c>
      <c r="S203" s="1" t="str">
        <f t="shared" si="7"/>
        <v>*/Consignment/HouseConsignment[0]/Consignor/Address/country</v>
      </c>
    </row>
    <row r="204" spans="1:19" ht="12" customHeight="1" outlineLevel="4" x14ac:dyDescent="0.25">
      <c r="A204" s="4" t="str">
        <f t="shared" si="6"/>
        <v>CC013C
CC015C
CC170C</v>
      </c>
      <c r="B204" s="4">
        <v>4</v>
      </c>
      <c r="C204" s="4" t="s">
        <v>41</v>
      </c>
      <c r="D204" s="4" t="s">
        <v>36</v>
      </c>
      <c r="E204" s="4" t="s">
        <v>36</v>
      </c>
      <c r="F204" s="4" t="s">
        <v>408</v>
      </c>
      <c r="G204" s="12" t="s">
        <v>143</v>
      </c>
      <c r="H204" s="6"/>
      <c r="I204" s="4" t="s">
        <v>38</v>
      </c>
      <c r="J204" s="4" t="s">
        <v>549</v>
      </c>
      <c r="K204" s="4"/>
      <c r="L204" s="4"/>
      <c r="M204" s="4"/>
      <c r="N204" s="4" t="s">
        <v>548</v>
      </c>
      <c r="O204" s="4" t="s">
        <v>144</v>
      </c>
      <c r="P204" s="4"/>
      <c r="Q204" s="4"/>
      <c r="S204" s="1" t="str">
        <f t="shared" si="7"/>
        <v>*/Consignment/HouseConsignment[0]/Consignor/ContactPerson</v>
      </c>
    </row>
    <row r="205" spans="1:19" ht="12" customHeight="1" outlineLevel="5" x14ac:dyDescent="0.25">
      <c r="A205" s="1" t="str">
        <f t="shared" si="6"/>
        <v>CC013C
CC015C
CC170C</v>
      </c>
      <c r="B205" s="1">
        <v>5</v>
      </c>
      <c r="C205" s="1" t="s">
        <v>17</v>
      </c>
      <c r="D205" s="1" t="s">
        <v>18</v>
      </c>
      <c r="E205" s="1" t="s">
        <v>18</v>
      </c>
      <c r="F205" s="1" t="s">
        <v>408</v>
      </c>
      <c r="G205" s="13" t="s">
        <v>4</v>
      </c>
      <c r="H205" s="3" t="s">
        <v>126</v>
      </c>
      <c r="I205" s="1" t="s">
        <v>21</v>
      </c>
      <c r="N205" s="1" t="s">
        <v>550</v>
      </c>
      <c r="O205" s="1" t="s">
        <v>127</v>
      </c>
      <c r="R205" s="1" t="s">
        <v>128</v>
      </c>
      <c r="S205" s="1" t="str">
        <f t="shared" si="7"/>
        <v>*/Consignment/HouseConsignment[0]/Consignor/ContactPerson/name</v>
      </c>
    </row>
    <row r="206" spans="1:19" ht="12" customHeight="1" outlineLevel="5" x14ac:dyDescent="0.25">
      <c r="A206" s="1" t="str">
        <f t="shared" si="6"/>
        <v>CC013C
CC015C
CC170C</v>
      </c>
      <c r="B206" s="1">
        <v>5</v>
      </c>
      <c r="C206" s="1" t="s">
        <v>17</v>
      </c>
      <c r="D206" s="1" t="s">
        <v>18</v>
      </c>
      <c r="E206" s="1" t="s">
        <v>18</v>
      </c>
      <c r="F206" s="1" t="s">
        <v>408</v>
      </c>
      <c r="G206" s="13" t="s">
        <v>145</v>
      </c>
      <c r="H206" s="3" t="s">
        <v>20</v>
      </c>
      <c r="I206" s="1" t="s">
        <v>21</v>
      </c>
      <c r="N206" s="1" t="s">
        <v>551</v>
      </c>
      <c r="O206" s="1" t="s">
        <v>146</v>
      </c>
      <c r="R206" s="1" t="s">
        <v>147</v>
      </c>
      <c r="S206" s="1" t="str">
        <f t="shared" si="7"/>
        <v>*/Consignment/HouseConsignment[0]/Consignor/ContactPerson/phoneNumber</v>
      </c>
    </row>
    <row r="207" spans="1:19" ht="12" customHeight="1" outlineLevel="5" x14ac:dyDescent="0.25">
      <c r="A207" s="1" t="str">
        <f t="shared" si="6"/>
        <v>CC013C
CC015C
CC170C</v>
      </c>
      <c r="B207" s="1">
        <v>5</v>
      </c>
      <c r="C207" s="1" t="s">
        <v>17</v>
      </c>
      <c r="D207" s="1" t="s">
        <v>36</v>
      </c>
      <c r="E207" s="1" t="s">
        <v>36</v>
      </c>
      <c r="F207" s="1" t="s">
        <v>408</v>
      </c>
      <c r="G207" s="13" t="s">
        <v>148</v>
      </c>
      <c r="H207" s="3" t="s">
        <v>149</v>
      </c>
      <c r="I207" s="1" t="s">
        <v>38</v>
      </c>
      <c r="J207" s="1" t="s">
        <v>458</v>
      </c>
      <c r="N207" s="1" t="s">
        <v>552</v>
      </c>
      <c r="O207" s="1" t="s">
        <v>150</v>
      </c>
      <c r="R207" s="1" t="s">
        <v>151</v>
      </c>
      <c r="S207" s="1" t="str">
        <f t="shared" si="7"/>
        <v>*/Consignment/HouseConsignment[0]/Consignor/ContactPerson/eMailAddress</v>
      </c>
    </row>
    <row r="208" spans="1:19" ht="12" customHeight="1" outlineLevel="3" x14ac:dyDescent="0.25">
      <c r="A208" s="4" t="str">
        <f t="shared" si="6"/>
        <v>CC013C
CC015C
CC170C</v>
      </c>
      <c r="B208" s="4">
        <v>3</v>
      </c>
      <c r="C208" s="4" t="s">
        <v>41</v>
      </c>
      <c r="D208" s="4" t="s">
        <v>36</v>
      </c>
      <c r="E208" s="4" t="s">
        <v>36</v>
      </c>
      <c r="F208" s="4" t="s">
        <v>408</v>
      </c>
      <c r="G208" s="10" t="s">
        <v>209</v>
      </c>
      <c r="H208" s="6"/>
      <c r="I208" s="4" t="s">
        <v>450</v>
      </c>
      <c r="J208" s="6" t="s">
        <v>557</v>
      </c>
      <c r="K208" s="4" t="s">
        <v>556</v>
      </c>
      <c r="L208" s="4"/>
      <c r="M208" s="4"/>
      <c r="N208" s="4" t="s">
        <v>553</v>
      </c>
      <c r="O208" s="4" t="s">
        <v>209</v>
      </c>
      <c r="P208" s="4"/>
      <c r="Q208" s="4"/>
      <c r="S208" s="1" t="str">
        <f t="shared" si="7"/>
        <v>*/Consignment/HouseConsignment[0]/Consignee</v>
      </c>
    </row>
    <row r="209" spans="1:19" ht="12" customHeight="1" outlineLevel="4" x14ac:dyDescent="0.25">
      <c r="A209" s="1" t="str">
        <f t="shared" si="6"/>
        <v>CC013C
CC015C
CC170C</v>
      </c>
      <c r="B209" s="1">
        <v>4</v>
      </c>
      <c r="C209" s="1" t="s">
        <v>17</v>
      </c>
      <c r="D209" s="1" t="s">
        <v>36</v>
      </c>
      <c r="E209" s="1" t="s">
        <v>36</v>
      </c>
      <c r="F209" s="1" t="s">
        <v>408</v>
      </c>
      <c r="G209" s="11" t="s">
        <v>119</v>
      </c>
      <c r="H209" s="3" t="s">
        <v>120</v>
      </c>
      <c r="I209" s="1" t="s">
        <v>38</v>
      </c>
      <c r="J209" s="1" t="s">
        <v>558</v>
      </c>
      <c r="N209" s="1" t="s">
        <v>554</v>
      </c>
      <c r="O209" s="1" t="s">
        <v>121</v>
      </c>
      <c r="R209" s="1" t="s">
        <v>122</v>
      </c>
      <c r="S209" s="1" t="str">
        <f t="shared" si="7"/>
        <v>*/Consignment/HouseConsignment[0]/Consignee/identificationNumber</v>
      </c>
    </row>
    <row r="210" spans="1:19" ht="12" customHeight="1" outlineLevel="4" x14ac:dyDescent="0.25">
      <c r="A210" s="1" t="str">
        <f t="shared" si="6"/>
        <v>CC013C
CC015C
CC170C</v>
      </c>
      <c r="B210" s="1">
        <v>4</v>
      </c>
      <c r="C210" s="1" t="s">
        <v>17</v>
      </c>
      <c r="D210" s="1" t="s">
        <v>36</v>
      </c>
      <c r="E210" s="1" t="s">
        <v>36</v>
      </c>
      <c r="F210" s="1" t="s">
        <v>408</v>
      </c>
      <c r="G210" s="11" t="s">
        <v>4</v>
      </c>
      <c r="H210" s="3" t="s">
        <v>126</v>
      </c>
      <c r="I210" s="1" t="s">
        <v>450</v>
      </c>
      <c r="K210" s="1" t="s">
        <v>541</v>
      </c>
      <c r="N210" s="1" t="s">
        <v>555</v>
      </c>
      <c r="O210" s="1" t="s">
        <v>127</v>
      </c>
      <c r="R210" s="1" t="s">
        <v>128</v>
      </c>
      <c r="S210" s="1" t="str">
        <f t="shared" si="7"/>
        <v>*/Consignment/HouseConsignment[0]/Consignee/name</v>
      </c>
    </row>
    <row r="211" spans="1:19" ht="12" customHeight="1" outlineLevel="4" x14ac:dyDescent="0.25">
      <c r="A211" s="4" t="str">
        <f t="shared" si="6"/>
        <v>CC013C
CC015C
CC170C</v>
      </c>
      <c r="B211" s="4">
        <v>4</v>
      </c>
      <c r="C211" s="4" t="s">
        <v>41</v>
      </c>
      <c r="D211" s="4" t="s">
        <v>36</v>
      </c>
      <c r="E211" s="4" t="s">
        <v>36</v>
      </c>
      <c r="F211" s="4" t="s">
        <v>408</v>
      </c>
      <c r="G211" s="12" t="s">
        <v>129</v>
      </c>
      <c r="H211" s="6"/>
      <c r="I211" s="4" t="s">
        <v>450</v>
      </c>
      <c r="J211" s="4"/>
      <c r="K211" s="4" t="s">
        <v>541</v>
      </c>
      <c r="L211" s="4"/>
      <c r="M211" s="4"/>
      <c r="N211" s="4" t="s">
        <v>559</v>
      </c>
      <c r="O211" s="4" t="s">
        <v>129</v>
      </c>
      <c r="P211" s="4"/>
      <c r="Q211" s="4"/>
      <c r="S211" s="1" t="str">
        <f t="shared" si="7"/>
        <v>*/Consignment/HouseConsignment[0]/Consignee/Address</v>
      </c>
    </row>
    <row r="212" spans="1:19" ht="12" customHeight="1" outlineLevel="5" x14ac:dyDescent="0.25">
      <c r="A212" s="1" t="str">
        <f t="shared" si="6"/>
        <v>CC013C
CC015C
CC170C</v>
      </c>
      <c r="B212" s="1">
        <v>5</v>
      </c>
      <c r="C212" s="1" t="s">
        <v>17</v>
      </c>
      <c r="D212" s="1" t="s">
        <v>18</v>
      </c>
      <c r="E212" s="1" t="s">
        <v>18</v>
      </c>
      <c r="F212" s="1" t="s">
        <v>408</v>
      </c>
      <c r="G212" s="13" t="s">
        <v>130</v>
      </c>
      <c r="H212" s="3" t="s">
        <v>126</v>
      </c>
      <c r="I212" s="1" t="s">
        <v>21</v>
      </c>
      <c r="N212" s="1" t="s">
        <v>560</v>
      </c>
      <c r="O212" s="1" t="s">
        <v>131</v>
      </c>
      <c r="R212" s="1" t="s">
        <v>132</v>
      </c>
      <c r="S212" s="1" t="str">
        <f t="shared" si="7"/>
        <v>*/Consignment/HouseConsignment[0]/Consignee/Address/streetAndNumber</v>
      </c>
    </row>
    <row r="213" spans="1:19" ht="12" customHeight="1" outlineLevel="5" x14ac:dyDescent="0.25">
      <c r="A213" s="1" t="str">
        <f t="shared" si="6"/>
        <v>CC013C
CC015C
CC170C</v>
      </c>
      <c r="B213" s="1">
        <v>5</v>
      </c>
      <c r="C213" s="1" t="s">
        <v>17</v>
      </c>
      <c r="D213" s="1" t="s">
        <v>36</v>
      </c>
      <c r="E213" s="1" t="s">
        <v>36</v>
      </c>
      <c r="F213" s="1" t="s">
        <v>408</v>
      </c>
      <c r="G213" s="13" t="s">
        <v>133</v>
      </c>
      <c r="H213" s="3" t="s">
        <v>120</v>
      </c>
      <c r="I213" s="1" t="s">
        <v>450</v>
      </c>
      <c r="K213" s="1" t="s">
        <v>544</v>
      </c>
      <c r="N213" s="1" t="s">
        <v>561</v>
      </c>
      <c r="O213" s="1" t="s">
        <v>134</v>
      </c>
      <c r="R213" s="1" t="s">
        <v>135</v>
      </c>
      <c r="S213" s="1" t="str">
        <f t="shared" si="7"/>
        <v>*/Consignment/HouseConsignment[0]/Consignee/Address/postcode</v>
      </c>
    </row>
    <row r="214" spans="1:19" ht="12" customHeight="1" outlineLevel="5" x14ac:dyDescent="0.25">
      <c r="A214" s="1" t="str">
        <f t="shared" si="6"/>
        <v>CC013C
CC015C
CC170C</v>
      </c>
      <c r="B214" s="1">
        <v>5</v>
      </c>
      <c r="C214" s="1" t="s">
        <v>17</v>
      </c>
      <c r="D214" s="1" t="s">
        <v>18</v>
      </c>
      <c r="E214" s="1" t="s">
        <v>18</v>
      </c>
      <c r="F214" s="1" t="s">
        <v>408</v>
      </c>
      <c r="G214" s="13" t="s">
        <v>136</v>
      </c>
      <c r="H214" s="3" t="s">
        <v>101</v>
      </c>
      <c r="I214" s="1" t="s">
        <v>21</v>
      </c>
      <c r="N214" s="1" t="s">
        <v>562</v>
      </c>
      <c r="O214" s="1" t="s">
        <v>137</v>
      </c>
      <c r="R214" s="1" t="s">
        <v>138</v>
      </c>
      <c r="S214" s="1" t="str">
        <f t="shared" si="7"/>
        <v>*/Consignment/HouseConsignment[0]/Consignee/Address/city</v>
      </c>
    </row>
    <row r="215" spans="1:19" ht="12" customHeight="1" outlineLevel="5" x14ac:dyDescent="0.25">
      <c r="A215" s="1" t="str">
        <f t="shared" si="6"/>
        <v>CC013C
CC015C
CC170C</v>
      </c>
      <c r="B215" s="1">
        <v>5</v>
      </c>
      <c r="C215" s="1" t="s">
        <v>17</v>
      </c>
      <c r="D215" s="1" t="s">
        <v>18</v>
      </c>
      <c r="E215" s="1" t="s">
        <v>18</v>
      </c>
      <c r="F215" s="1" t="s">
        <v>408</v>
      </c>
      <c r="G215" s="13" t="s">
        <v>139</v>
      </c>
      <c r="H215" s="3" t="s">
        <v>140</v>
      </c>
      <c r="I215" s="1" t="s">
        <v>21</v>
      </c>
      <c r="L215" s="1" t="s">
        <v>547</v>
      </c>
      <c r="N215" s="1" t="s">
        <v>563</v>
      </c>
      <c r="O215" s="1" t="s">
        <v>141</v>
      </c>
      <c r="R215" s="1" t="s">
        <v>142</v>
      </c>
      <c r="S215" s="1" t="str">
        <f t="shared" si="7"/>
        <v>*/Consignment/HouseConsignment[0]/Consignee/Address/country</v>
      </c>
    </row>
    <row r="216" spans="1:19" ht="12" customHeight="1" outlineLevel="3" x14ac:dyDescent="0.25">
      <c r="A216" s="4" t="str">
        <f t="shared" si="6"/>
        <v>CC013C
CC015C
CC170C</v>
      </c>
      <c r="B216" s="4">
        <v>3</v>
      </c>
      <c r="C216" s="4" t="s">
        <v>41</v>
      </c>
      <c r="D216" s="4" t="s">
        <v>164</v>
      </c>
      <c r="E216" s="4" t="s">
        <v>164</v>
      </c>
      <c r="F216" s="4" t="s">
        <v>408</v>
      </c>
      <c r="G216" s="10" t="s">
        <v>210</v>
      </c>
      <c r="H216" s="6"/>
      <c r="I216" s="4" t="s">
        <v>38</v>
      </c>
      <c r="J216" s="4" t="s">
        <v>467</v>
      </c>
      <c r="K216" s="4"/>
      <c r="L216" s="4"/>
      <c r="M216" s="4"/>
      <c r="N216" s="4" t="s">
        <v>596</v>
      </c>
      <c r="O216" s="4" t="s">
        <v>211</v>
      </c>
      <c r="P216" s="4"/>
      <c r="Q216" s="4"/>
      <c r="S216" s="1" t="str">
        <f t="shared" si="7"/>
        <v>*/Consignment/HouseConsignment[0]/AdditionalSupplyChainActor[0]</v>
      </c>
    </row>
    <row r="217" spans="1:19" ht="12" customHeight="1" outlineLevel="4" x14ac:dyDescent="0.25">
      <c r="A217" s="1" t="str">
        <f t="shared" si="6"/>
        <v>CC013C
CC015C
CC170C</v>
      </c>
      <c r="B217" s="1">
        <v>4</v>
      </c>
      <c r="C217" s="1" t="s">
        <v>17</v>
      </c>
      <c r="D217" s="1" t="s">
        <v>18</v>
      </c>
      <c r="E217" s="1" t="s">
        <v>18</v>
      </c>
      <c r="F217" s="1" t="s">
        <v>408</v>
      </c>
      <c r="G217" s="11" t="s">
        <v>93</v>
      </c>
      <c r="H217" s="3" t="s">
        <v>483</v>
      </c>
      <c r="I217" s="1" t="s">
        <v>21</v>
      </c>
      <c r="J217" s="1" t="s">
        <v>475</v>
      </c>
      <c r="O217" s="1" t="s">
        <v>95</v>
      </c>
      <c r="R217" s="1" t="s">
        <v>96</v>
      </c>
      <c r="S217" s="1" t="str">
        <f t="shared" si="7"/>
        <v>*/Consignment/HouseConsignment[0]/AdditionalSupplyChainActor[0]/sequenceNumber</v>
      </c>
    </row>
    <row r="218" spans="1:19" ht="12" customHeight="1" outlineLevel="4" x14ac:dyDescent="0.25">
      <c r="A218" s="1" t="str">
        <f t="shared" si="6"/>
        <v>CC013C
CC015C
CC170C</v>
      </c>
      <c r="B218" s="1">
        <v>4</v>
      </c>
      <c r="C218" s="1" t="s">
        <v>17</v>
      </c>
      <c r="D218" s="1" t="s">
        <v>18</v>
      </c>
      <c r="E218" s="1" t="s">
        <v>18</v>
      </c>
      <c r="F218" s="1" t="s">
        <v>408</v>
      </c>
      <c r="G218" s="11" t="s">
        <v>212</v>
      </c>
      <c r="H218" s="3" t="s">
        <v>213</v>
      </c>
      <c r="I218" s="1" t="s">
        <v>21</v>
      </c>
      <c r="L218" s="1" t="s">
        <v>599</v>
      </c>
      <c r="N218" s="1" t="s">
        <v>598</v>
      </c>
      <c r="O218" s="1" t="s">
        <v>214</v>
      </c>
      <c r="R218" s="1" t="s">
        <v>215</v>
      </c>
      <c r="S218" s="1" t="str">
        <f t="shared" si="7"/>
        <v>*/Consignment/HouseConsignment[0]/AdditionalSupplyChainActor[0]/role</v>
      </c>
    </row>
    <row r="219" spans="1:19" ht="12" customHeight="1" outlineLevel="4" x14ac:dyDescent="0.25">
      <c r="A219" s="1" t="str">
        <f t="shared" si="6"/>
        <v>CC013C
CC015C
CC170C</v>
      </c>
      <c r="B219" s="1">
        <v>4</v>
      </c>
      <c r="C219" s="1" t="s">
        <v>17</v>
      </c>
      <c r="D219" s="1" t="s">
        <v>18</v>
      </c>
      <c r="E219" s="1" t="s">
        <v>18</v>
      </c>
      <c r="F219" s="1" t="s">
        <v>408</v>
      </c>
      <c r="G219" s="11" t="s">
        <v>119</v>
      </c>
      <c r="H219" s="3" t="s">
        <v>140</v>
      </c>
      <c r="I219" s="1" t="s">
        <v>21</v>
      </c>
      <c r="J219" s="3" t="s">
        <v>595</v>
      </c>
      <c r="N219" s="1" t="s">
        <v>597</v>
      </c>
      <c r="O219" s="1" t="s">
        <v>121</v>
      </c>
      <c r="R219" s="1" t="s">
        <v>207</v>
      </c>
      <c r="S219" s="1" t="str">
        <f t="shared" si="7"/>
        <v>*/Consignment/HouseConsignment[0]/AdditionalSupplyChainActor[0]/identificationNumber</v>
      </c>
    </row>
    <row r="220" spans="1:19" ht="12" customHeight="1" outlineLevel="3" x14ac:dyDescent="0.25">
      <c r="A220" s="4" t="str">
        <f t="shared" si="6"/>
        <v>CC013C
CC015C
CC170C</v>
      </c>
      <c r="B220" s="4">
        <v>3</v>
      </c>
      <c r="C220" s="4" t="s">
        <v>41</v>
      </c>
      <c r="D220" s="4" t="s">
        <v>274</v>
      </c>
      <c r="E220" s="4" t="s">
        <v>274</v>
      </c>
      <c r="F220" s="4" t="s">
        <v>274</v>
      </c>
      <c r="G220" s="10" t="s">
        <v>275</v>
      </c>
      <c r="H220" s="6"/>
      <c r="I220" s="4" t="s">
        <v>450</v>
      </c>
      <c r="J220" s="6" t="s">
        <v>731</v>
      </c>
      <c r="K220" s="4" t="s">
        <v>730</v>
      </c>
      <c r="L220" s="4"/>
      <c r="M220" s="4"/>
      <c r="N220" s="4" t="s">
        <v>716</v>
      </c>
      <c r="O220" s="4" t="s">
        <v>276</v>
      </c>
      <c r="P220" s="6"/>
      <c r="Q220" s="4"/>
      <c r="S220" s="1" t="str">
        <f t="shared" si="7"/>
        <v>*/Consignment/HouseConsignment[0]/DepartureTransportMeans[0]</v>
      </c>
    </row>
    <row r="221" spans="1:19" ht="12" customHeight="1" outlineLevel="4" x14ac:dyDescent="0.25">
      <c r="A221" s="1" t="str">
        <f t="shared" si="6"/>
        <v>CC013C
CC015C
CC170C</v>
      </c>
      <c r="B221" s="1">
        <v>4</v>
      </c>
      <c r="C221" s="1" t="s">
        <v>17</v>
      </c>
      <c r="D221" s="1" t="s">
        <v>18</v>
      </c>
      <c r="E221" s="1" t="s">
        <v>18</v>
      </c>
      <c r="F221" s="1" t="s">
        <v>18</v>
      </c>
      <c r="G221" s="11" t="s">
        <v>93</v>
      </c>
      <c r="H221" s="3" t="s">
        <v>717</v>
      </c>
      <c r="I221" s="1" t="s">
        <v>21</v>
      </c>
      <c r="J221" s="1" t="s">
        <v>475</v>
      </c>
      <c r="O221" s="1" t="s">
        <v>95</v>
      </c>
      <c r="R221" s="1" t="s">
        <v>96</v>
      </c>
      <c r="S221" s="1" t="str">
        <f t="shared" si="7"/>
        <v>*/Consignment/HouseConsignment[0]/DepartureTransportMeans[0]/sequenceNumber</v>
      </c>
    </row>
    <row r="222" spans="1:19" ht="12" customHeight="1" outlineLevel="4" x14ac:dyDescent="0.25">
      <c r="A222" s="1" t="str">
        <f t="shared" si="6"/>
        <v>CC013C
CC015C
CC170C</v>
      </c>
      <c r="B222" s="1">
        <v>4</v>
      </c>
      <c r="C222" s="1" t="s">
        <v>17</v>
      </c>
      <c r="D222" s="1" t="s">
        <v>18</v>
      </c>
      <c r="E222" s="1" t="s">
        <v>18</v>
      </c>
      <c r="F222" s="1" t="s">
        <v>18</v>
      </c>
      <c r="G222" s="11" t="s">
        <v>277</v>
      </c>
      <c r="H222" s="3" t="s">
        <v>278</v>
      </c>
      <c r="I222" s="1" t="s">
        <v>21</v>
      </c>
      <c r="J222" s="3" t="s">
        <v>785</v>
      </c>
      <c r="L222" s="1" t="s">
        <v>732</v>
      </c>
      <c r="N222" s="1" t="s">
        <v>727</v>
      </c>
      <c r="O222" s="1" t="s">
        <v>279</v>
      </c>
      <c r="R222" s="1" t="s">
        <v>280</v>
      </c>
      <c r="S222" s="1" t="str">
        <f t="shared" si="7"/>
        <v>*/Consignment/HouseConsignment[0]/DepartureTransportMeans[0]/typeOfIdentification</v>
      </c>
    </row>
    <row r="223" spans="1:19" ht="12" customHeight="1" outlineLevel="4" x14ac:dyDescent="0.25">
      <c r="A223" s="1" t="str">
        <f t="shared" si="6"/>
        <v>CC013C
CC015C
CC170C</v>
      </c>
      <c r="B223" s="1">
        <v>4</v>
      </c>
      <c r="C223" s="1" t="s">
        <v>17</v>
      </c>
      <c r="D223" s="1" t="s">
        <v>18</v>
      </c>
      <c r="E223" s="1" t="s">
        <v>18</v>
      </c>
      <c r="F223" s="1" t="s">
        <v>18</v>
      </c>
      <c r="G223" s="11" t="s">
        <v>119</v>
      </c>
      <c r="H223" s="3" t="s">
        <v>101</v>
      </c>
      <c r="I223" s="1" t="s">
        <v>21</v>
      </c>
      <c r="J223" s="3" t="s">
        <v>735</v>
      </c>
      <c r="N223" s="1" t="s">
        <v>728</v>
      </c>
      <c r="O223" s="1" t="s">
        <v>121</v>
      </c>
      <c r="R223" s="1" t="s">
        <v>281</v>
      </c>
      <c r="S223" s="1" t="str">
        <f t="shared" si="7"/>
        <v>*/Consignment/HouseConsignment[0]/DepartureTransportMeans[0]/identificationNumber</v>
      </c>
    </row>
    <row r="224" spans="1:19" ht="12" customHeight="1" outlineLevel="4" x14ac:dyDescent="0.25">
      <c r="A224" s="1" t="str">
        <f t="shared" si="6"/>
        <v>CC013C
CC015C
CC170C</v>
      </c>
      <c r="B224" s="1">
        <v>4</v>
      </c>
      <c r="C224" s="1" t="s">
        <v>17</v>
      </c>
      <c r="D224" s="1" t="s">
        <v>18</v>
      </c>
      <c r="E224" s="1" t="s">
        <v>18</v>
      </c>
      <c r="F224" s="1" t="s">
        <v>18</v>
      </c>
      <c r="G224" s="11" t="s">
        <v>282</v>
      </c>
      <c r="H224" s="3" t="s">
        <v>140</v>
      </c>
      <c r="I224" s="1" t="s">
        <v>21</v>
      </c>
      <c r="J224" s="3" t="s">
        <v>734</v>
      </c>
      <c r="L224" s="1" t="s">
        <v>733</v>
      </c>
      <c r="N224" s="1" t="s">
        <v>729</v>
      </c>
      <c r="O224" s="1" t="s">
        <v>283</v>
      </c>
      <c r="R224" s="1" t="s">
        <v>284</v>
      </c>
      <c r="S224" s="1" t="str">
        <f t="shared" si="7"/>
        <v>*/Consignment/HouseConsignment[0]/DepartureTransportMeans[0]/nationality</v>
      </c>
    </row>
    <row r="225" spans="1:19" ht="12" customHeight="1" outlineLevel="3" x14ac:dyDescent="0.25">
      <c r="A225" s="4" t="str">
        <f t="shared" si="6"/>
        <v>CC013C
CC015C
CC170C</v>
      </c>
      <c r="B225" s="4">
        <v>3</v>
      </c>
      <c r="C225" s="4" t="s">
        <v>41</v>
      </c>
      <c r="D225" s="4" t="s">
        <v>164</v>
      </c>
      <c r="E225" s="4" t="s">
        <v>164</v>
      </c>
      <c r="F225" s="4" t="s">
        <v>408</v>
      </c>
      <c r="G225" s="10" t="s">
        <v>304</v>
      </c>
      <c r="H225" s="6"/>
      <c r="I225" s="4" t="s">
        <v>38</v>
      </c>
      <c r="J225" s="4"/>
      <c r="K225" s="4"/>
      <c r="L225" s="4"/>
      <c r="M225" s="4"/>
      <c r="N225" s="4" t="s">
        <v>477</v>
      </c>
      <c r="O225" s="4" t="s">
        <v>305</v>
      </c>
      <c r="P225" s="4"/>
      <c r="Q225" s="4"/>
      <c r="S225" s="1" t="str">
        <f t="shared" si="7"/>
        <v>*/Consignment/HouseConsignment[0]/PreviousDocument[0]</v>
      </c>
    </row>
    <row r="226" spans="1:19" ht="12" customHeight="1" outlineLevel="4" x14ac:dyDescent="0.25">
      <c r="A226" s="1" t="str">
        <f t="shared" si="6"/>
        <v>CC013C
CC015C
CC170C</v>
      </c>
      <c r="B226" s="1">
        <v>4</v>
      </c>
      <c r="C226" s="1" t="s">
        <v>17</v>
      </c>
      <c r="D226" s="1" t="s">
        <v>18</v>
      </c>
      <c r="E226" s="1" t="s">
        <v>18</v>
      </c>
      <c r="F226" s="1" t="s">
        <v>408</v>
      </c>
      <c r="G226" s="11" t="s">
        <v>93</v>
      </c>
      <c r="H226" s="3" t="s">
        <v>483</v>
      </c>
      <c r="I226" s="1" t="s">
        <v>21</v>
      </c>
      <c r="J226" s="1" t="s">
        <v>475</v>
      </c>
      <c r="O226" s="1" t="s">
        <v>95</v>
      </c>
      <c r="R226" s="1" t="s">
        <v>96</v>
      </c>
      <c r="S226" s="1" t="str">
        <f t="shared" si="7"/>
        <v>*/Consignment/HouseConsignment[0]/PreviousDocument[0]/sequenceNumber</v>
      </c>
    </row>
    <row r="227" spans="1:19" ht="12" customHeight="1" outlineLevel="4" x14ac:dyDescent="0.25">
      <c r="A227" s="1" t="str">
        <f t="shared" si="6"/>
        <v>CC013C
CC015C
CC170C</v>
      </c>
      <c r="B227" s="1">
        <v>4</v>
      </c>
      <c r="C227" s="1" t="s">
        <v>17</v>
      </c>
      <c r="D227" s="1" t="s">
        <v>18</v>
      </c>
      <c r="E227" s="1" t="s">
        <v>18</v>
      </c>
      <c r="F227" s="1" t="s">
        <v>408</v>
      </c>
      <c r="G227" s="11" t="s">
        <v>2</v>
      </c>
      <c r="H227" s="3" t="s">
        <v>306</v>
      </c>
      <c r="I227" s="1" t="s">
        <v>21</v>
      </c>
      <c r="J227" s="3" t="s">
        <v>479</v>
      </c>
      <c r="L227" s="1" t="s">
        <v>478</v>
      </c>
      <c r="N227" s="1" t="s">
        <v>476</v>
      </c>
      <c r="O227" s="1" t="s">
        <v>98</v>
      </c>
      <c r="R227" s="1" t="s">
        <v>307</v>
      </c>
      <c r="S227" s="1" t="str">
        <f t="shared" si="7"/>
        <v>*/Consignment/HouseConsignment[0]/PreviousDocument[0]/type</v>
      </c>
    </row>
    <row r="228" spans="1:19" ht="12" customHeight="1" outlineLevel="4" x14ac:dyDescent="0.25">
      <c r="A228" s="1" t="str">
        <f t="shared" si="6"/>
        <v>CC013C
CC015C
CC170C</v>
      </c>
      <c r="B228" s="1">
        <v>4</v>
      </c>
      <c r="C228" s="1" t="s">
        <v>17</v>
      </c>
      <c r="D228" s="1" t="s">
        <v>18</v>
      </c>
      <c r="E228" s="1" t="s">
        <v>18</v>
      </c>
      <c r="F228" s="1" t="s">
        <v>408</v>
      </c>
      <c r="G228" s="11" t="s">
        <v>100</v>
      </c>
      <c r="H228" s="3" t="s">
        <v>126</v>
      </c>
      <c r="I228" s="1" t="s">
        <v>21</v>
      </c>
      <c r="J228" s="1" t="s">
        <v>481</v>
      </c>
      <c r="N228" s="1" t="s">
        <v>480</v>
      </c>
      <c r="O228" s="1" t="s">
        <v>102</v>
      </c>
      <c r="R228" s="1" t="s">
        <v>308</v>
      </c>
      <c r="S228" s="1" t="str">
        <f t="shared" si="7"/>
        <v>*/Consignment/HouseConsignment[0]/PreviousDocument[0]/referenceNumber</v>
      </c>
    </row>
    <row r="229" spans="1:19" ht="12" customHeight="1" outlineLevel="4" x14ac:dyDescent="0.25">
      <c r="A229" s="1" t="str">
        <f t="shared" si="6"/>
        <v>CC013C
CC015C
CC170C</v>
      </c>
      <c r="B229" s="1">
        <v>4</v>
      </c>
      <c r="C229" s="1" t="s">
        <v>17</v>
      </c>
      <c r="D229" s="1" t="s">
        <v>36</v>
      </c>
      <c r="E229" s="1" t="s">
        <v>36</v>
      </c>
      <c r="F229" s="1" t="s">
        <v>408</v>
      </c>
      <c r="G229" s="11" t="s">
        <v>309</v>
      </c>
      <c r="H229" s="3" t="s">
        <v>101</v>
      </c>
      <c r="I229" s="1" t="s">
        <v>38</v>
      </c>
      <c r="N229" s="1" t="s">
        <v>482</v>
      </c>
      <c r="O229" s="1" t="s">
        <v>310</v>
      </c>
      <c r="R229" s="1" t="s">
        <v>311</v>
      </c>
      <c r="S229" s="1" t="str">
        <f t="shared" si="7"/>
        <v>*/Consignment/HouseConsignment[0]/PreviousDocument[0]/complementOfInformation</v>
      </c>
    </row>
    <row r="230" spans="1:19" ht="12" customHeight="1" outlineLevel="3" x14ac:dyDescent="0.25">
      <c r="A230" s="4" t="str">
        <f t="shared" si="6"/>
        <v>CC013C
CC015C
CC170C</v>
      </c>
      <c r="B230" s="4">
        <v>3</v>
      </c>
      <c r="C230" s="4" t="s">
        <v>41</v>
      </c>
      <c r="D230" s="4" t="s">
        <v>164</v>
      </c>
      <c r="E230" s="4" t="s">
        <v>164</v>
      </c>
      <c r="F230" s="4" t="s">
        <v>408</v>
      </c>
      <c r="G230" s="10" t="s">
        <v>312</v>
      </c>
      <c r="H230" s="6"/>
      <c r="I230" s="4" t="s">
        <v>38</v>
      </c>
      <c r="J230" s="4" t="s">
        <v>503</v>
      </c>
      <c r="K230" s="4"/>
      <c r="L230" s="4"/>
      <c r="M230" s="4"/>
      <c r="N230" s="4" t="s">
        <v>498</v>
      </c>
      <c r="O230" s="4" t="s">
        <v>313</v>
      </c>
      <c r="P230" s="4"/>
      <c r="Q230" s="4"/>
      <c r="S230" s="1" t="str">
        <f t="shared" si="7"/>
        <v>*/Consignment/HouseConsignment[0]/SupportingDocument[0]</v>
      </c>
    </row>
    <row r="231" spans="1:19" ht="12" customHeight="1" outlineLevel="4" x14ac:dyDescent="0.25">
      <c r="A231" s="1" t="str">
        <f t="shared" si="6"/>
        <v>CC013C
CC015C
CC170C</v>
      </c>
      <c r="B231" s="1">
        <v>4</v>
      </c>
      <c r="C231" s="1" t="s">
        <v>17</v>
      </c>
      <c r="D231" s="1" t="s">
        <v>18</v>
      </c>
      <c r="E231" s="1" t="s">
        <v>18</v>
      </c>
      <c r="F231" s="1" t="s">
        <v>408</v>
      </c>
      <c r="G231" s="11" t="s">
        <v>93</v>
      </c>
      <c r="H231" s="3" t="s">
        <v>483</v>
      </c>
      <c r="I231" s="1" t="s">
        <v>21</v>
      </c>
      <c r="J231" s="1" t="s">
        <v>475</v>
      </c>
      <c r="O231" s="1" t="s">
        <v>95</v>
      </c>
      <c r="R231" s="1" t="s">
        <v>96</v>
      </c>
      <c r="S231" s="1" t="str">
        <f t="shared" si="7"/>
        <v>*/Consignment/HouseConsignment[0]/SupportingDocument[0]/sequenceNumber</v>
      </c>
    </row>
    <row r="232" spans="1:19" ht="12" customHeight="1" outlineLevel="4" x14ac:dyDescent="0.25">
      <c r="A232" s="1" t="str">
        <f t="shared" si="6"/>
        <v>CC013C
CC015C
CC170C</v>
      </c>
      <c r="B232" s="1">
        <v>4</v>
      </c>
      <c r="C232" s="1" t="s">
        <v>17</v>
      </c>
      <c r="D232" s="1" t="s">
        <v>18</v>
      </c>
      <c r="E232" s="1" t="s">
        <v>18</v>
      </c>
      <c r="F232" s="1" t="s">
        <v>408</v>
      </c>
      <c r="G232" s="11" t="s">
        <v>2</v>
      </c>
      <c r="H232" s="3" t="s">
        <v>306</v>
      </c>
      <c r="I232" s="1" t="s">
        <v>21</v>
      </c>
      <c r="J232" s="1" t="s">
        <v>505</v>
      </c>
      <c r="L232" s="1" t="s">
        <v>507</v>
      </c>
      <c r="N232" s="1" t="s">
        <v>500</v>
      </c>
      <c r="O232" s="1" t="s">
        <v>98</v>
      </c>
      <c r="R232" s="1" t="s">
        <v>307</v>
      </c>
      <c r="S232" s="1" t="str">
        <f t="shared" si="7"/>
        <v>*/Consignment/HouseConsignment[0]/SupportingDocument[0]/type</v>
      </c>
    </row>
    <row r="233" spans="1:19" ht="12" customHeight="1" outlineLevel="4" x14ac:dyDescent="0.25">
      <c r="A233" s="1" t="str">
        <f t="shared" si="6"/>
        <v>CC013C
CC015C
CC170C</v>
      </c>
      <c r="B233" s="1">
        <v>4</v>
      </c>
      <c r="C233" s="1" t="s">
        <v>17</v>
      </c>
      <c r="D233" s="1" t="s">
        <v>18</v>
      </c>
      <c r="E233" s="1" t="s">
        <v>18</v>
      </c>
      <c r="F233" s="1" t="s">
        <v>408</v>
      </c>
      <c r="G233" s="11" t="s">
        <v>100</v>
      </c>
      <c r="H233" s="3" t="s">
        <v>126</v>
      </c>
      <c r="I233" s="1" t="s">
        <v>21</v>
      </c>
      <c r="J233" s="1" t="s">
        <v>481</v>
      </c>
      <c r="N233" s="1" t="s">
        <v>499</v>
      </c>
      <c r="O233" s="1" t="s">
        <v>102</v>
      </c>
      <c r="R233" s="1" t="s">
        <v>308</v>
      </c>
      <c r="S233" s="1" t="str">
        <f t="shared" si="7"/>
        <v>*/Consignment/HouseConsignment[0]/SupportingDocument[0]/referenceNumber</v>
      </c>
    </row>
    <row r="234" spans="1:19" ht="12" customHeight="1" outlineLevel="4" x14ac:dyDescent="0.25">
      <c r="A234" s="1" t="str">
        <f t="shared" si="6"/>
        <v>CC013C
CC015C
CC170C</v>
      </c>
      <c r="B234" s="1">
        <v>4</v>
      </c>
      <c r="C234" s="1" t="s">
        <v>17</v>
      </c>
      <c r="D234" s="1" t="s">
        <v>36</v>
      </c>
      <c r="E234" s="1" t="s">
        <v>36</v>
      </c>
      <c r="F234" s="1" t="s">
        <v>408</v>
      </c>
      <c r="G234" s="11" t="s">
        <v>314</v>
      </c>
      <c r="H234" s="3" t="s">
        <v>94</v>
      </c>
      <c r="I234" s="1" t="s">
        <v>38</v>
      </c>
      <c r="N234" s="1" t="s">
        <v>501</v>
      </c>
      <c r="O234" s="1" t="s">
        <v>315</v>
      </c>
      <c r="R234" s="1" t="s">
        <v>316</v>
      </c>
      <c r="S234" s="1" t="str">
        <f t="shared" si="7"/>
        <v>*/Consignment/HouseConsignment[0]/SupportingDocument[0]/documentLineItemNumber</v>
      </c>
    </row>
    <row r="235" spans="1:19" ht="12" customHeight="1" outlineLevel="4" x14ac:dyDescent="0.25">
      <c r="A235" s="1" t="str">
        <f t="shared" si="6"/>
        <v>CC013C
CC015C
CC170C</v>
      </c>
      <c r="B235" s="1">
        <v>4</v>
      </c>
      <c r="C235" s="1" t="s">
        <v>17</v>
      </c>
      <c r="D235" s="1" t="s">
        <v>36</v>
      </c>
      <c r="E235" s="1" t="s">
        <v>36</v>
      </c>
      <c r="F235" s="1" t="s">
        <v>408</v>
      </c>
      <c r="G235" s="11" t="s">
        <v>309</v>
      </c>
      <c r="H235" s="3" t="s">
        <v>101</v>
      </c>
      <c r="I235" s="1" t="s">
        <v>38</v>
      </c>
      <c r="N235" s="1" t="s">
        <v>502</v>
      </c>
      <c r="O235" s="1" t="s">
        <v>310</v>
      </c>
      <c r="R235" s="1" t="s">
        <v>311</v>
      </c>
      <c r="S235" s="1" t="str">
        <f t="shared" si="7"/>
        <v>*/Consignment/HouseConsignment[0]/SupportingDocument[0]/complementOfInformation</v>
      </c>
    </row>
    <row r="236" spans="1:19" ht="12" customHeight="1" outlineLevel="3" x14ac:dyDescent="0.25">
      <c r="A236" s="4" t="str">
        <f t="shared" si="6"/>
        <v>CC013C
CC015C
CC170C</v>
      </c>
      <c r="B236" s="4">
        <v>3</v>
      </c>
      <c r="C236" s="4" t="s">
        <v>41</v>
      </c>
      <c r="D236" s="4" t="s">
        <v>164</v>
      </c>
      <c r="E236" s="4" t="s">
        <v>164</v>
      </c>
      <c r="F236" s="4" t="s">
        <v>408</v>
      </c>
      <c r="G236" s="10" t="s">
        <v>317</v>
      </c>
      <c r="H236" s="6"/>
      <c r="I236" s="4" t="s">
        <v>38</v>
      </c>
      <c r="J236" s="6" t="s">
        <v>516</v>
      </c>
      <c r="K236" s="4"/>
      <c r="L236" s="4"/>
      <c r="M236" s="4"/>
      <c r="N236" s="4" t="s">
        <v>513</v>
      </c>
      <c r="O236" s="4" t="s">
        <v>318</v>
      </c>
      <c r="P236" s="4"/>
      <c r="Q236" s="4"/>
      <c r="S236" s="1" t="str">
        <f t="shared" si="7"/>
        <v>*/Consignment/HouseConsignment[0]/TransportDocument[0]</v>
      </c>
    </row>
    <row r="237" spans="1:19" ht="12" customHeight="1" outlineLevel="4" x14ac:dyDescent="0.25">
      <c r="A237" s="1" t="str">
        <f t="shared" si="6"/>
        <v>CC013C
CC015C
CC170C</v>
      </c>
      <c r="B237" s="1">
        <v>4</v>
      </c>
      <c r="C237" s="1" t="s">
        <v>17</v>
      </c>
      <c r="D237" s="1" t="s">
        <v>18</v>
      </c>
      <c r="E237" s="1" t="s">
        <v>18</v>
      </c>
      <c r="F237" s="1" t="s">
        <v>408</v>
      </c>
      <c r="G237" s="11" t="s">
        <v>93</v>
      </c>
      <c r="H237" s="3" t="s">
        <v>483</v>
      </c>
      <c r="I237" s="1" t="s">
        <v>21</v>
      </c>
      <c r="J237" s="1" t="s">
        <v>475</v>
      </c>
      <c r="O237" s="1" t="s">
        <v>95</v>
      </c>
      <c r="R237" s="1" t="s">
        <v>96</v>
      </c>
      <c r="S237" s="1" t="str">
        <f t="shared" si="7"/>
        <v>*/Consignment/HouseConsignment[0]/TransportDocument[0]/sequenceNumber</v>
      </c>
    </row>
    <row r="238" spans="1:19" ht="12" customHeight="1" outlineLevel="4" x14ac:dyDescent="0.25">
      <c r="A238" s="1" t="str">
        <f t="shared" si="6"/>
        <v>CC013C
CC015C
CC170C</v>
      </c>
      <c r="B238" s="1">
        <v>4</v>
      </c>
      <c r="C238" s="1" t="s">
        <v>17</v>
      </c>
      <c r="D238" s="1" t="s">
        <v>18</v>
      </c>
      <c r="E238" s="1" t="s">
        <v>18</v>
      </c>
      <c r="F238" s="1" t="s">
        <v>408</v>
      </c>
      <c r="G238" s="11" t="s">
        <v>2</v>
      </c>
      <c r="H238" s="3" t="s">
        <v>306</v>
      </c>
      <c r="I238" s="1" t="s">
        <v>21</v>
      </c>
      <c r="J238" s="1" t="s">
        <v>505</v>
      </c>
      <c r="L238" s="1" t="s">
        <v>517</v>
      </c>
      <c r="N238" s="1" t="s">
        <v>514</v>
      </c>
      <c r="O238" s="1" t="s">
        <v>98</v>
      </c>
      <c r="R238" s="1" t="s">
        <v>307</v>
      </c>
      <c r="S238" s="1" t="str">
        <f t="shared" si="7"/>
        <v>*/Consignment/HouseConsignment[0]/TransportDocument[0]/type</v>
      </c>
    </row>
    <row r="239" spans="1:19" ht="12" customHeight="1" outlineLevel="4" x14ac:dyDescent="0.25">
      <c r="A239" s="1" t="str">
        <f t="shared" si="6"/>
        <v>CC013C
CC015C
CC170C</v>
      </c>
      <c r="B239" s="1">
        <v>4</v>
      </c>
      <c r="C239" s="1" t="s">
        <v>17</v>
      </c>
      <c r="D239" s="1" t="s">
        <v>18</v>
      </c>
      <c r="E239" s="1" t="s">
        <v>18</v>
      </c>
      <c r="F239" s="1" t="s">
        <v>408</v>
      </c>
      <c r="G239" s="11" t="s">
        <v>100</v>
      </c>
      <c r="H239" s="3" t="s">
        <v>126</v>
      </c>
      <c r="I239" s="1" t="s">
        <v>21</v>
      </c>
      <c r="J239" s="1" t="s">
        <v>481</v>
      </c>
      <c r="N239" s="1" t="s">
        <v>515</v>
      </c>
      <c r="O239" s="1" t="s">
        <v>102</v>
      </c>
      <c r="R239" s="1" t="s">
        <v>308</v>
      </c>
      <c r="S239" s="1" t="str">
        <f t="shared" si="7"/>
        <v>*/Consignment/HouseConsignment[0]/TransportDocument[0]/referenceNumber</v>
      </c>
    </row>
    <row r="240" spans="1:19" ht="12" customHeight="1" outlineLevel="3" x14ac:dyDescent="0.25">
      <c r="A240" s="4" t="str">
        <f t="shared" si="6"/>
        <v>CC013C
CC015C
CC170C</v>
      </c>
      <c r="B240" s="4">
        <v>3</v>
      </c>
      <c r="C240" s="4" t="s">
        <v>41</v>
      </c>
      <c r="D240" s="4" t="s">
        <v>164</v>
      </c>
      <c r="E240" s="4" t="s">
        <v>164</v>
      </c>
      <c r="F240" s="4" t="s">
        <v>408</v>
      </c>
      <c r="G240" s="10" t="s">
        <v>319</v>
      </c>
      <c r="H240" s="6"/>
      <c r="I240" s="4" t="s">
        <v>38</v>
      </c>
      <c r="J240" s="6" t="s">
        <v>511</v>
      </c>
      <c r="K240" s="4"/>
      <c r="L240" s="4"/>
      <c r="M240" s="4"/>
      <c r="N240" s="4" t="s">
        <v>508</v>
      </c>
      <c r="O240" s="4" t="s">
        <v>320</v>
      </c>
      <c r="P240" s="4"/>
      <c r="Q240" s="4"/>
      <c r="S240" s="1" t="str">
        <f t="shared" si="7"/>
        <v>*/Consignment/HouseConsignment[0]/AdditionalReference[0]</v>
      </c>
    </row>
    <row r="241" spans="1:19" ht="12" customHeight="1" outlineLevel="4" x14ac:dyDescent="0.25">
      <c r="A241" s="1" t="str">
        <f t="shared" si="6"/>
        <v>CC013C
CC015C
CC170C</v>
      </c>
      <c r="B241" s="1">
        <v>4</v>
      </c>
      <c r="C241" s="1" t="s">
        <v>17</v>
      </c>
      <c r="D241" s="1" t="s">
        <v>18</v>
      </c>
      <c r="E241" s="1" t="s">
        <v>18</v>
      </c>
      <c r="F241" s="1" t="s">
        <v>408</v>
      </c>
      <c r="G241" s="11" t="s">
        <v>93</v>
      </c>
      <c r="H241" s="3" t="s">
        <v>483</v>
      </c>
      <c r="I241" s="1" t="s">
        <v>21</v>
      </c>
      <c r="J241" s="1" t="s">
        <v>475</v>
      </c>
      <c r="O241" s="1" t="s">
        <v>95</v>
      </c>
      <c r="R241" s="1" t="s">
        <v>96</v>
      </c>
      <c r="S241" s="1" t="str">
        <f t="shared" si="7"/>
        <v>*/Consignment/HouseConsignment[0]/AdditionalReference[0]/sequenceNumber</v>
      </c>
    </row>
    <row r="242" spans="1:19" ht="12" customHeight="1" outlineLevel="4" x14ac:dyDescent="0.25">
      <c r="A242" s="1" t="str">
        <f t="shared" si="6"/>
        <v>CC013C
CC015C
CC170C</v>
      </c>
      <c r="B242" s="1">
        <v>4</v>
      </c>
      <c r="C242" s="1" t="s">
        <v>17</v>
      </c>
      <c r="D242" s="1" t="s">
        <v>18</v>
      </c>
      <c r="E242" s="1" t="s">
        <v>18</v>
      </c>
      <c r="F242" s="1" t="s">
        <v>408</v>
      </c>
      <c r="G242" s="11" t="s">
        <v>2</v>
      </c>
      <c r="H242" s="3" t="s">
        <v>306</v>
      </c>
      <c r="I242" s="1" t="s">
        <v>21</v>
      </c>
      <c r="J242" s="1" t="s">
        <v>505</v>
      </c>
      <c r="L242" s="1" t="s">
        <v>512</v>
      </c>
      <c r="N242" s="1" t="s">
        <v>509</v>
      </c>
      <c r="O242" s="1" t="s">
        <v>98</v>
      </c>
      <c r="R242" s="1" t="s">
        <v>307</v>
      </c>
      <c r="S242" s="1" t="str">
        <f t="shared" si="7"/>
        <v>*/Consignment/HouseConsignment[0]/AdditionalReference[0]/type</v>
      </c>
    </row>
    <row r="243" spans="1:19" ht="12" customHeight="1" outlineLevel="4" x14ac:dyDescent="0.25">
      <c r="A243" s="1" t="str">
        <f t="shared" si="6"/>
        <v>CC013C
CC015C
CC170C</v>
      </c>
      <c r="B243" s="1">
        <v>4</v>
      </c>
      <c r="C243" s="1" t="s">
        <v>17</v>
      </c>
      <c r="D243" s="1" t="s">
        <v>36</v>
      </c>
      <c r="E243" s="1" t="s">
        <v>36</v>
      </c>
      <c r="F243" s="1" t="s">
        <v>408</v>
      </c>
      <c r="G243" s="11" t="s">
        <v>100</v>
      </c>
      <c r="H243" s="3" t="s">
        <v>126</v>
      </c>
      <c r="I243" s="1" t="s">
        <v>38</v>
      </c>
      <c r="J243" s="1" t="s">
        <v>481</v>
      </c>
      <c r="N243" s="1" t="s">
        <v>510</v>
      </c>
      <c r="O243" s="1" t="s">
        <v>102</v>
      </c>
      <c r="R243" s="1" t="s">
        <v>308</v>
      </c>
      <c r="S243" s="1" t="str">
        <f t="shared" si="7"/>
        <v>*/Consignment/HouseConsignment[0]/AdditionalReference[0]/referenceNumber</v>
      </c>
    </row>
    <row r="244" spans="1:19" ht="12" customHeight="1" outlineLevel="3" x14ac:dyDescent="0.25">
      <c r="A244" s="4" t="str">
        <f t="shared" si="6"/>
        <v>CC013C
CC015C
CC170C</v>
      </c>
      <c r="B244" s="4">
        <v>3</v>
      </c>
      <c r="C244" s="4" t="s">
        <v>41</v>
      </c>
      <c r="D244" s="4" t="s">
        <v>164</v>
      </c>
      <c r="E244" s="4" t="s">
        <v>164</v>
      </c>
      <c r="F244" s="4" t="s">
        <v>408</v>
      </c>
      <c r="G244" s="10" t="s">
        <v>321</v>
      </c>
      <c r="H244" s="6"/>
      <c r="I244" s="4" t="s">
        <v>38</v>
      </c>
      <c r="J244" s="4" t="s">
        <v>467</v>
      </c>
      <c r="K244" s="4"/>
      <c r="L244" s="4"/>
      <c r="M244" s="4"/>
      <c r="N244" s="4" t="s">
        <v>493</v>
      </c>
      <c r="O244" s="4" t="s">
        <v>322</v>
      </c>
      <c r="P244" s="4"/>
      <c r="Q244" s="4"/>
      <c r="S244" s="1" t="str">
        <f t="shared" si="7"/>
        <v>*/Consignment/HouseConsignment[0]/AdditionalInformation[0]</v>
      </c>
    </row>
    <row r="245" spans="1:19" ht="12" customHeight="1" outlineLevel="4" x14ac:dyDescent="0.25">
      <c r="A245" s="1" t="str">
        <f t="shared" si="6"/>
        <v>CC013C
CC015C
CC170C</v>
      </c>
      <c r="B245" s="1">
        <v>4</v>
      </c>
      <c r="C245" s="1" t="s">
        <v>17</v>
      </c>
      <c r="D245" s="1" t="s">
        <v>18</v>
      </c>
      <c r="E245" s="1" t="s">
        <v>18</v>
      </c>
      <c r="F245" s="1" t="s">
        <v>408</v>
      </c>
      <c r="G245" s="11" t="s">
        <v>93</v>
      </c>
      <c r="H245" s="3" t="s">
        <v>483</v>
      </c>
      <c r="I245" s="1" t="s">
        <v>21</v>
      </c>
      <c r="J245" s="1" t="s">
        <v>475</v>
      </c>
      <c r="O245" s="1" t="s">
        <v>95</v>
      </c>
      <c r="R245" s="1" t="s">
        <v>96</v>
      </c>
      <c r="S245" s="1" t="str">
        <f t="shared" si="7"/>
        <v>*/Consignment/HouseConsignment[0]/AdditionalInformation[0]/sequenceNumber</v>
      </c>
    </row>
    <row r="246" spans="1:19" ht="12" customHeight="1" outlineLevel="4" x14ac:dyDescent="0.25">
      <c r="A246" s="1" t="str">
        <f t="shared" si="6"/>
        <v>CC013C
CC015C
CC170C</v>
      </c>
      <c r="B246" s="1">
        <v>4</v>
      </c>
      <c r="C246" s="1" t="s">
        <v>17</v>
      </c>
      <c r="D246" s="1" t="s">
        <v>18</v>
      </c>
      <c r="E246" s="1" t="s">
        <v>18</v>
      </c>
      <c r="F246" s="1" t="s">
        <v>408</v>
      </c>
      <c r="G246" s="11" t="s">
        <v>323</v>
      </c>
      <c r="H246" s="3" t="s">
        <v>324</v>
      </c>
      <c r="I246" s="1" t="s">
        <v>21</v>
      </c>
      <c r="J246" s="3" t="s">
        <v>497</v>
      </c>
      <c r="N246" s="1" t="s">
        <v>495</v>
      </c>
      <c r="O246" s="1" t="s">
        <v>325</v>
      </c>
      <c r="R246" s="1" t="s">
        <v>326</v>
      </c>
      <c r="S246" s="1" t="str">
        <f t="shared" si="7"/>
        <v>*/Consignment/HouseConsignment[0]/AdditionalInformation[0]/code</v>
      </c>
    </row>
    <row r="247" spans="1:19" ht="12" customHeight="1" outlineLevel="4" x14ac:dyDescent="0.25">
      <c r="A247" s="1" t="str">
        <f t="shared" si="6"/>
        <v>CC013C
CC015C
CC170C</v>
      </c>
      <c r="B247" s="1">
        <v>4</v>
      </c>
      <c r="C247" s="1" t="s">
        <v>17</v>
      </c>
      <c r="D247" s="1" t="s">
        <v>36</v>
      </c>
      <c r="E247" s="1" t="s">
        <v>36</v>
      </c>
      <c r="F247" s="1" t="s">
        <v>408</v>
      </c>
      <c r="G247" s="11" t="s">
        <v>327</v>
      </c>
      <c r="H247" s="3" t="s">
        <v>328</v>
      </c>
      <c r="I247" s="1" t="s">
        <v>38</v>
      </c>
      <c r="N247" s="1" t="s">
        <v>496</v>
      </c>
      <c r="O247" s="1" t="s">
        <v>329</v>
      </c>
      <c r="R247" s="1" t="s">
        <v>330</v>
      </c>
      <c r="S247" s="1" t="str">
        <f t="shared" si="7"/>
        <v>*/Consignment/HouseConsignment[0]/AdditionalInformation[0]/text</v>
      </c>
    </row>
    <row r="248" spans="1:19" ht="12" customHeight="1" outlineLevel="3" x14ac:dyDescent="0.25">
      <c r="A248" s="4" t="str">
        <f t="shared" si="6"/>
        <v>CC013C
CC015C
CC170C</v>
      </c>
      <c r="B248" s="4">
        <v>3</v>
      </c>
      <c r="C248" s="4" t="s">
        <v>41</v>
      </c>
      <c r="D248" s="4" t="s">
        <v>36</v>
      </c>
      <c r="E248" s="4" t="s">
        <v>36</v>
      </c>
      <c r="F248" s="4" t="s">
        <v>408</v>
      </c>
      <c r="G248" s="10" t="s">
        <v>331</v>
      </c>
      <c r="H248" s="6"/>
      <c r="I248" s="4" t="s">
        <v>450</v>
      </c>
      <c r="J248" s="4" t="s">
        <v>604</v>
      </c>
      <c r="K248" s="6" t="s">
        <v>603</v>
      </c>
      <c r="L248" s="4"/>
      <c r="M248" s="4"/>
      <c r="N248" s="4" t="s">
        <v>600</v>
      </c>
      <c r="O248" s="4" t="s">
        <v>332</v>
      </c>
      <c r="P248" s="4"/>
      <c r="Q248" s="4"/>
      <c r="S248" s="1" t="str">
        <f t="shared" si="7"/>
        <v>*/Consignment/HouseConsignment[0]/TransportCharges</v>
      </c>
    </row>
    <row r="249" spans="1:19" ht="12" customHeight="1" outlineLevel="4" x14ac:dyDescent="0.25">
      <c r="A249" s="1" t="str">
        <f t="shared" si="6"/>
        <v>CC013C
CC015C
CC170C</v>
      </c>
      <c r="B249" s="1">
        <v>4</v>
      </c>
      <c r="C249" s="1" t="s">
        <v>17</v>
      </c>
      <c r="D249" s="1" t="s">
        <v>18</v>
      </c>
      <c r="E249" s="1" t="s">
        <v>18</v>
      </c>
      <c r="F249" s="1" t="s">
        <v>408</v>
      </c>
      <c r="G249" s="11" t="s">
        <v>333</v>
      </c>
      <c r="H249" s="3" t="s">
        <v>334</v>
      </c>
      <c r="I249" s="1" t="s">
        <v>21</v>
      </c>
      <c r="L249" s="1" t="s">
        <v>602</v>
      </c>
      <c r="N249" s="1" t="s">
        <v>601</v>
      </c>
      <c r="O249" s="1" t="s">
        <v>335</v>
      </c>
      <c r="R249" s="1" t="s">
        <v>336</v>
      </c>
      <c r="S249" s="1" t="str">
        <f t="shared" si="7"/>
        <v>*/Consignment/HouseConsignment[0]/TransportCharges/methodOfPayment</v>
      </c>
    </row>
    <row r="250" spans="1:19" ht="12" customHeight="1" outlineLevel="3" x14ac:dyDescent="0.25">
      <c r="A250" s="4" t="str">
        <f t="shared" si="6"/>
        <v>CC013C
CC015C
CC170C</v>
      </c>
      <c r="B250" s="4">
        <v>3</v>
      </c>
      <c r="C250" s="4" t="s">
        <v>41</v>
      </c>
      <c r="D250" s="4" t="s">
        <v>340</v>
      </c>
      <c r="E250" s="4" t="s">
        <v>340</v>
      </c>
      <c r="F250" s="4" t="s">
        <v>408</v>
      </c>
      <c r="G250" s="10" t="s">
        <v>341</v>
      </c>
      <c r="H250" s="6"/>
      <c r="I250" s="4" t="s">
        <v>21</v>
      </c>
      <c r="J250" s="4"/>
      <c r="K250" s="4"/>
      <c r="L250" s="4"/>
      <c r="M250" s="4"/>
      <c r="N250" s="4" t="s">
        <v>464</v>
      </c>
      <c r="O250" s="4" t="s">
        <v>342</v>
      </c>
      <c r="P250" s="4"/>
      <c r="Q250" s="4"/>
      <c r="S250" s="1" t="str">
        <f t="shared" si="7"/>
        <v>*/Consignment/HouseConsignment[0]/ConsignmentItem[0]</v>
      </c>
    </row>
    <row r="251" spans="1:19" ht="12" customHeight="1" outlineLevel="4" x14ac:dyDescent="0.25">
      <c r="A251" s="1" t="str">
        <f t="shared" si="6"/>
        <v>CC013C
CC015C
CC170C</v>
      </c>
      <c r="B251" s="1">
        <v>4</v>
      </c>
      <c r="C251" s="1" t="s">
        <v>17</v>
      </c>
      <c r="D251" s="1" t="s">
        <v>18</v>
      </c>
      <c r="E251" s="1" t="s">
        <v>18</v>
      </c>
      <c r="F251" s="1" t="s">
        <v>408</v>
      </c>
      <c r="G251" s="11" t="s">
        <v>343</v>
      </c>
      <c r="H251" s="3" t="s">
        <v>94</v>
      </c>
      <c r="I251" s="1" t="s">
        <v>21</v>
      </c>
      <c r="J251" s="3" t="s">
        <v>466</v>
      </c>
      <c r="N251" s="1" t="s">
        <v>465</v>
      </c>
      <c r="O251" s="1" t="s">
        <v>344</v>
      </c>
      <c r="R251" s="1" t="s">
        <v>345</v>
      </c>
      <c r="S251" s="1" t="str">
        <f t="shared" si="7"/>
        <v>*/Consignment/HouseConsignment[0]/ConsignmentItem[0]/goodsItemNumber</v>
      </c>
    </row>
    <row r="252" spans="1:19" ht="12" customHeight="1" outlineLevel="4" x14ac:dyDescent="0.25">
      <c r="A252" s="1" t="str">
        <f t="shared" si="6"/>
        <v>CC013C
CC015C
CC170C</v>
      </c>
      <c r="B252" s="1">
        <v>4</v>
      </c>
      <c r="C252" s="1" t="s">
        <v>17</v>
      </c>
      <c r="D252" s="1" t="s">
        <v>18</v>
      </c>
      <c r="E252" s="1" t="s">
        <v>18</v>
      </c>
      <c r="F252" s="1" t="s">
        <v>408</v>
      </c>
      <c r="G252" s="11" t="s">
        <v>234</v>
      </c>
      <c r="H252" s="3" t="s">
        <v>235</v>
      </c>
      <c r="I252" s="1" t="s">
        <v>21</v>
      </c>
      <c r="J252" s="3" t="s">
        <v>751</v>
      </c>
      <c r="N252" s="1" t="s">
        <v>752</v>
      </c>
      <c r="O252" s="1" t="s">
        <v>236</v>
      </c>
      <c r="R252" s="1" t="s">
        <v>237</v>
      </c>
      <c r="S252" s="1" t="str">
        <f t="shared" si="7"/>
        <v>*/Consignment/HouseConsignment[0]/ConsignmentItem[0]/declarationGoodsItemNumber</v>
      </c>
    </row>
    <row r="253" spans="1:19" ht="12" customHeight="1" outlineLevel="4" x14ac:dyDescent="0.25">
      <c r="A253" s="1" t="str">
        <f t="shared" si="6"/>
        <v>CC013C
CC015C
CC170C</v>
      </c>
      <c r="B253" s="1">
        <v>4</v>
      </c>
      <c r="C253" s="1" t="s">
        <v>17</v>
      </c>
      <c r="D253" s="1" t="s">
        <v>36</v>
      </c>
      <c r="E253" s="1" t="s">
        <v>36</v>
      </c>
      <c r="F253" s="1" t="s">
        <v>408</v>
      </c>
      <c r="G253" s="11" t="s">
        <v>52</v>
      </c>
      <c r="H253" s="3" t="s">
        <v>53</v>
      </c>
      <c r="I253" s="1" t="s">
        <v>38</v>
      </c>
      <c r="N253" s="1" t="s">
        <v>460</v>
      </c>
      <c r="O253" s="1" t="s">
        <v>54</v>
      </c>
      <c r="R253" s="1" t="s">
        <v>55</v>
      </c>
      <c r="S253" s="1" t="str">
        <f t="shared" si="7"/>
        <v>*/Consignment/HouseConsignment[0]/ConsignmentItem[0]/declarationType</v>
      </c>
    </row>
    <row r="254" spans="1:19" ht="12" customHeight="1" outlineLevel="4" x14ac:dyDescent="0.25">
      <c r="A254" s="1" t="str">
        <f t="shared" si="6"/>
        <v>CC013C
CC015C
CC170C</v>
      </c>
      <c r="B254" s="1">
        <v>4</v>
      </c>
      <c r="C254" s="1" t="s">
        <v>17</v>
      </c>
      <c r="D254" s="1" t="s">
        <v>36</v>
      </c>
      <c r="E254" s="1" t="s">
        <v>36</v>
      </c>
      <c r="F254" s="1" t="s">
        <v>408</v>
      </c>
      <c r="G254" s="11" t="s">
        <v>184</v>
      </c>
      <c r="H254" s="3" t="s">
        <v>140</v>
      </c>
      <c r="I254" s="1" t="s">
        <v>450</v>
      </c>
      <c r="J254" s="3" t="s">
        <v>611</v>
      </c>
      <c r="K254" s="1" t="s">
        <v>610</v>
      </c>
      <c r="L254" s="1" t="s">
        <v>606</v>
      </c>
      <c r="N254" s="1" t="s">
        <v>609</v>
      </c>
      <c r="O254" s="1" t="s">
        <v>185</v>
      </c>
      <c r="R254" s="1" t="s">
        <v>186</v>
      </c>
      <c r="S254" s="1" t="str">
        <f t="shared" si="7"/>
        <v>*/Consignment/HouseConsignment[0]/ConsignmentItem[0]/countryOfDispatch</v>
      </c>
    </row>
    <row r="255" spans="1:19" ht="12" customHeight="1" outlineLevel="4" x14ac:dyDescent="0.25">
      <c r="A255" s="1" t="str">
        <f t="shared" si="6"/>
        <v>CC013C
CC015C
CC170C</v>
      </c>
      <c r="B255" s="1">
        <v>4</v>
      </c>
      <c r="C255" s="1" t="s">
        <v>17</v>
      </c>
      <c r="D255" s="1" t="s">
        <v>36</v>
      </c>
      <c r="E255" s="1" t="s">
        <v>36</v>
      </c>
      <c r="F255" s="1" t="s">
        <v>408</v>
      </c>
      <c r="G255" s="11" t="s">
        <v>187</v>
      </c>
      <c r="H255" s="3" t="s">
        <v>140</v>
      </c>
      <c r="I255" s="1" t="s">
        <v>450</v>
      </c>
      <c r="J255" s="1" t="s">
        <v>608</v>
      </c>
      <c r="K255" s="1" t="s">
        <v>607</v>
      </c>
      <c r="L255" s="1" t="s">
        <v>606</v>
      </c>
      <c r="N255" s="1" t="s">
        <v>605</v>
      </c>
      <c r="O255" s="1" t="s">
        <v>188</v>
      </c>
      <c r="R255" s="1" t="s">
        <v>189</v>
      </c>
      <c r="S255" s="1" t="str">
        <f t="shared" si="7"/>
        <v>*/Consignment/HouseConsignment[0]/ConsignmentItem[0]/countryOfDestination</v>
      </c>
    </row>
    <row r="256" spans="1:19" ht="12" customHeight="1" outlineLevel="4" x14ac:dyDescent="0.25">
      <c r="A256" s="1" t="str">
        <f t="shared" si="6"/>
        <v>CC013C
CC015C
CC170C</v>
      </c>
      <c r="B256" s="1">
        <v>4</v>
      </c>
      <c r="C256" s="1" t="s">
        <v>17</v>
      </c>
      <c r="D256" s="1" t="s">
        <v>36</v>
      </c>
      <c r="E256" s="1" t="s">
        <v>36</v>
      </c>
      <c r="F256" s="1" t="s">
        <v>408</v>
      </c>
      <c r="G256" s="11" t="s">
        <v>202</v>
      </c>
      <c r="H256" s="3" t="s">
        <v>203</v>
      </c>
      <c r="I256" s="1" t="s">
        <v>450</v>
      </c>
      <c r="J256" s="3" t="s">
        <v>523</v>
      </c>
      <c r="K256" s="1" t="s">
        <v>522</v>
      </c>
      <c r="N256" s="1" t="s">
        <v>521</v>
      </c>
      <c r="O256" s="1" t="s">
        <v>204</v>
      </c>
      <c r="R256" s="1" t="s">
        <v>205</v>
      </c>
      <c r="S256" s="1" t="str">
        <f t="shared" si="7"/>
        <v>*/Consignment/HouseConsignment[0]/ConsignmentItem[0]/referenceNumberUCR</v>
      </c>
    </row>
    <row r="257" spans="1:19" ht="12" customHeight="1" outlineLevel="4" x14ac:dyDescent="0.25">
      <c r="A257" s="4" t="str">
        <f t="shared" ref="A257:A294" si="8">$G$2</f>
        <v>CC013C
CC015C
CC170C</v>
      </c>
      <c r="B257" s="4">
        <v>4</v>
      </c>
      <c r="C257" s="4" t="s">
        <v>41</v>
      </c>
      <c r="D257" s="4" t="s">
        <v>164</v>
      </c>
      <c r="E257" s="4" t="s">
        <v>164</v>
      </c>
      <c r="F257" s="4" t="s">
        <v>408</v>
      </c>
      <c r="G257" s="12" t="s">
        <v>210</v>
      </c>
      <c r="H257" s="6"/>
      <c r="I257" s="4" t="s">
        <v>38</v>
      </c>
      <c r="J257" s="4" t="s">
        <v>467</v>
      </c>
      <c r="K257" s="4"/>
      <c r="L257" s="4"/>
      <c r="M257" s="4"/>
      <c r="N257" s="4" t="s">
        <v>596</v>
      </c>
      <c r="O257" s="4" t="s">
        <v>211</v>
      </c>
      <c r="P257" s="4"/>
      <c r="Q257" s="4"/>
      <c r="S257" s="1" t="str">
        <f>IF($B257=0,$O257,_xlfn.TEXTBEFORE(S256,"/",$B257,,,S256)&amp;"/"&amp;$O257)&amp;IF(_xlfn.TEXTAFTER($D257,"..",,,,1)&lt;&gt;"1","[0]","")</f>
        <v>*/Consignment/HouseConsignment[0]/ConsignmentItem[0]/AdditionalSupplyChainActor[0]</v>
      </c>
    </row>
    <row r="258" spans="1:19" ht="12" customHeight="1" outlineLevel="5" x14ac:dyDescent="0.25">
      <c r="A258" s="1" t="str">
        <f t="shared" si="8"/>
        <v>CC013C
CC015C
CC170C</v>
      </c>
      <c r="B258" s="1">
        <v>5</v>
      </c>
      <c r="C258" s="1" t="s">
        <v>17</v>
      </c>
      <c r="D258" s="1" t="s">
        <v>18</v>
      </c>
      <c r="E258" s="1" t="s">
        <v>18</v>
      </c>
      <c r="F258" s="1" t="s">
        <v>408</v>
      </c>
      <c r="G258" s="13" t="s">
        <v>93</v>
      </c>
      <c r="H258" s="3" t="s">
        <v>483</v>
      </c>
      <c r="I258" s="1" t="s">
        <v>21</v>
      </c>
      <c r="J258" s="1" t="s">
        <v>475</v>
      </c>
      <c r="O258" s="1" t="s">
        <v>95</v>
      </c>
      <c r="R258" s="1" t="s">
        <v>96</v>
      </c>
      <c r="S258" s="1" t="str">
        <f t="shared" ref="S258:S303" si="9">IF($B258=0,$O258,_xlfn.TEXTBEFORE(S257,"/",$B258,,,S257)&amp;"/"&amp;$O258)&amp;IF(_xlfn.TEXTAFTER($D258,"..",,,,1)&lt;&gt;"1","[0]","")</f>
        <v>*/Consignment/HouseConsignment[0]/ConsignmentItem[0]/AdditionalSupplyChainActor[0]/sequenceNumber</v>
      </c>
    </row>
    <row r="259" spans="1:19" ht="12" customHeight="1" outlineLevel="5" x14ac:dyDescent="0.25">
      <c r="A259" s="1" t="str">
        <f t="shared" si="8"/>
        <v>CC013C
CC015C
CC170C</v>
      </c>
      <c r="B259" s="1">
        <v>5</v>
      </c>
      <c r="C259" s="1" t="s">
        <v>17</v>
      </c>
      <c r="D259" s="1" t="s">
        <v>18</v>
      </c>
      <c r="E259" s="1" t="s">
        <v>18</v>
      </c>
      <c r="F259" s="1" t="s">
        <v>408</v>
      </c>
      <c r="G259" s="13" t="s">
        <v>212</v>
      </c>
      <c r="H259" s="3" t="s">
        <v>213</v>
      </c>
      <c r="I259" s="1" t="s">
        <v>21</v>
      </c>
      <c r="L259" s="1" t="s">
        <v>599</v>
      </c>
      <c r="N259" s="1" t="s">
        <v>598</v>
      </c>
      <c r="O259" s="1" t="s">
        <v>214</v>
      </c>
      <c r="R259" s="1" t="s">
        <v>215</v>
      </c>
      <c r="S259" s="1" t="str">
        <f t="shared" si="9"/>
        <v>*/Consignment/HouseConsignment[0]/ConsignmentItem[0]/AdditionalSupplyChainActor[0]/role</v>
      </c>
    </row>
    <row r="260" spans="1:19" ht="12" customHeight="1" outlineLevel="5" x14ac:dyDescent="0.25">
      <c r="A260" s="1" t="str">
        <f t="shared" si="8"/>
        <v>CC013C
CC015C
CC170C</v>
      </c>
      <c r="B260" s="1">
        <v>5</v>
      </c>
      <c r="C260" s="1" t="s">
        <v>17</v>
      </c>
      <c r="D260" s="1" t="s">
        <v>18</v>
      </c>
      <c r="E260" s="1" t="s">
        <v>18</v>
      </c>
      <c r="F260" s="1" t="s">
        <v>408</v>
      </c>
      <c r="G260" s="13" t="s">
        <v>119</v>
      </c>
      <c r="H260" s="3" t="s">
        <v>140</v>
      </c>
      <c r="I260" s="1" t="s">
        <v>21</v>
      </c>
      <c r="J260" s="3" t="s">
        <v>595</v>
      </c>
      <c r="N260" s="1" t="s">
        <v>597</v>
      </c>
      <c r="O260" s="1" t="s">
        <v>121</v>
      </c>
      <c r="R260" s="1" t="s">
        <v>207</v>
      </c>
      <c r="S260" s="1" t="str">
        <f t="shared" si="9"/>
        <v>*/Consignment/HouseConsignment[0]/ConsignmentItem[0]/AdditionalSupplyChainActor[0]/identificationNumber</v>
      </c>
    </row>
    <row r="261" spans="1:19" ht="12" customHeight="1" outlineLevel="4" x14ac:dyDescent="0.25">
      <c r="A261" s="4" t="str">
        <f t="shared" si="8"/>
        <v>CC013C
CC015C
CC170C</v>
      </c>
      <c r="B261" s="4">
        <v>4</v>
      </c>
      <c r="C261" s="4" t="s">
        <v>41</v>
      </c>
      <c r="D261" s="4" t="s">
        <v>18</v>
      </c>
      <c r="E261" s="4" t="s">
        <v>18</v>
      </c>
      <c r="F261" s="4" t="s">
        <v>408</v>
      </c>
      <c r="G261" s="12" t="s">
        <v>346</v>
      </c>
      <c r="H261" s="6"/>
      <c r="I261" s="4" t="s">
        <v>21</v>
      </c>
      <c r="J261" s="4"/>
      <c r="K261" s="4"/>
      <c r="L261" s="4"/>
      <c r="M261" s="4"/>
      <c r="N261" s="6" t="s">
        <v>694</v>
      </c>
      <c r="O261" s="4" t="s">
        <v>346</v>
      </c>
      <c r="P261" s="4"/>
      <c r="Q261" s="4"/>
      <c r="S261" s="1" t="str">
        <f t="shared" si="9"/>
        <v>*/Consignment/HouseConsignment[0]/ConsignmentItem[0]/Commodity</v>
      </c>
    </row>
    <row r="262" spans="1:19" ht="12" customHeight="1" outlineLevel="5" x14ac:dyDescent="0.25">
      <c r="A262" s="1" t="str">
        <f t="shared" si="8"/>
        <v>CC013C
CC015C
CC170C</v>
      </c>
      <c r="B262" s="1">
        <v>5</v>
      </c>
      <c r="C262" s="1" t="s">
        <v>17</v>
      </c>
      <c r="D262" s="1" t="s">
        <v>18</v>
      </c>
      <c r="E262" s="1" t="s">
        <v>18</v>
      </c>
      <c r="F262" s="1" t="s">
        <v>408</v>
      </c>
      <c r="G262" s="13" t="s">
        <v>347</v>
      </c>
      <c r="H262" s="3" t="s">
        <v>328</v>
      </c>
      <c r="I262" s="1" t="s">
        <v>21</v>
      </c>
      <c r="N262" s="1" t="s">
        <v>695</v>
      </c>
      <c r="O262" s="1" t="s">
        <v>348</v>
      </c>
      <c r="R262" s="1" t="s">
        <v>349</v>
      </c>
      <c r="S262" s="1" t="str">
        <f t="shared" si="9"/>
        <v>*/Consignment/HouseConsignment[0]/ConsignmentItem[0]/Commodity/descriptionOfGoods</v>
      </c>
    </row>
    <row r="263" spans="1:19" ht="12" customHeight="1" outlineLevel="5" x14ac:dyDescent="0.25">
      <c r="A263" s="1" t="str">
        <f t="shared" si="8"/>
        <v>CC013C
CC015C
CC170C</v>
      </c>
      <c r="B263" s="1">
        <v>5</v>
      </c>
      <c r="C263" s="1" t="s">
        <v>17</v>
      </c>
      <c r="D263" s="1" t="s">
        <v>36</v>
      </c>
      <c r="E263" s="1" t="s">
        <v>36</v>
      </c>
      <c r="F263" s="1" t="s">
        <v>408</v>
      </c>
      <c r="G263" s="13" t="s">
        <v>350</v>
      </c>
      <c r="H263" s="3" t="s">
        <v>351</v>
      </c>
      <c r="I263" s="1" t="s">
        <v>38</v>
      </c>
      <c r="J263" s="1" t="s">
        <v>709</v>
      </c>
      <c r="L263" s="1" t="s">
        <v>710</v>
      </c>
      <c r="N263" s="1" t="s">
        <v>708</v>
      </c>
      <c r="O263" s="1" t="s">
        <v>352</v>
      </c>
      <c r="R263" s="1" t="s">
        <v>353</v>
      </c>
      <c r="S263" s="1" t="str">
        <f t="shared" si="9"/>
        <v>*/Consignment/HouseConsignment[0]/ConsignmentItem[0]/Commodity/cusCode</v>
      </c>
    </row>
    <row r="264" spans="1:19" ht="12" customHeight="1" outlineLevel="5" x14ac:dyDescent="0.25">
      <c r="A264" s="4" t="str">
        <f t="shared" si="8"/>
        <v>CC013C
CC015C
CC170C</v>
      </c>
      <c r="B264" s="4">
        <v>5</v>
      </c>
      <c r="C264" s="4" t="s">
        <v>41</v>
      </c>
      <c r="D264" s="4" t="s">
        <v>36</v>
      </c>
      <c r="E264" s="4" t="s">
        <v>36</v>
      </c>
      <c r="F264" s="4" t="s">
        <v>408</v>
      </c>
      <c r="G264" s="14" t="s">
        <v>354</v>
      </c>
      <c r="H264" s="6"/>
      <c r="I264" s="4" t="s">
        <v>450</v>
      </c>
      <c r="J264" s="4" t="s">
        <v>706</v>
      </c>
      <c r="K264" s="4" t="s">
        <v>707</v>
      </c>
      <c r="L264" s="4"/>
      <c r="M264" s="4"/>
      <c r="N264" s="4" t="s">
        <v>705</v>
      </c>
      <c r="O264" s="4" t="s">
        <v>355</v>
      </c>
      <c r="P264" s="4"/>
      <c r="Q264" s="4"/>
      <c r="S264" s="1" t="str">
        <f t="shared" si="9"/>
        <v>*/Consignment/HouseConsignment[0]/ConsignmentItem[0]/Commodity/CommodityCode</v>
      </c>
    </row>
    <row r="265" spans="1:19" ht="12" customHeight="1" outlineLevel="6" x14ac:dyDescent="0.25">
      <c r="A265" s="1" t="str">
        <f t="shared" si="8"/>
        <v>CC013C
CC015C
CC170C</v>
      </c>
      <c r="B265" s="1">
        <v>6</v>
      </c>
      <c r="C265" s="1" t="s">
        <v>17</v>
      </c>
      <c r="D265" s="1" t="s">
        <v>18</v>
      </c>
      <c r="E265" s="1" t="s">
        <v>18</v>
      </c>
      <c r="F265" s="1" t="s">
        <v>408</v>
      </c>
      <c r="G265" s="15" t="s">
        <v>356</v>
      </c>
      <c r="H265" s="3" t="s">
        <v>357</v>
      </c>
      <c r="I265" s="1" t="s">
        <v>21</v>
      </c>
      <c r="L265" s="1" t="s">
        <v>712</v>
      </c>
      <c r="N265" s="1" t="s">
        <v>711</v>
      </c>
      <c r="O265" s="1" t="s">
        <v>358</v>
      </c>
      <c r="R265" s="1" t="s">
        <v>359</v>
      </c>
      <c r="S265" s="1" t="str">
        <f t="shared" si="9"/>
        <v>*/Consignment/HouseConsignment[0]/ConsignmentItem[0]/Commodity/CommodityCode/harmonizedSystemSubHeadingCode</v>
      </c>
    </row>
    <row r="266" spans="1:19" ht="12" customHeight="1" outlineLevel="6" x14ac:dyDescent="0.25">
      <c r="A266" s="1" t="str">
        <f t="shared" si="8"/>
        <v>CC013C
CC015C
CC170C</v>
      </c>
      <c r="B266" s="1">
        <v>6</v>
      </c>
      <c r="C266" s="1" t="s">
        <v>17</v>
      </c>
      <c r="D266" s="1" t="s">
        <v>36</v>
      </c>
      <c r="E266" s="1" t="s">
        <v>36</v>
      </c>
      <c r="F266" s="1" t="s">
        <v>408</v>
      </c>
      <c r="G266" s="15" t="s">
        <v>360</v>
      </c>
      <c r="H266" s="3" t="s">
        <v>361</v>
      </c>
      <c r="I266" s="1" t="s">
        <v>450</v>
      </c>
      <c r="J266" s="1" t="s">
        <v>714</v>
      </c>
      <c r="K266" s="1" t="s">
        <v>715</v>
      </c>
      <c r="N266" s="1" t="s">
        <v>713</v>
      </c>
      <c r="O266" s="1" t="s">
        <v>362</v>
      </c>
      <c r="R266" s="1" t="s">
        <v>363</v>
      </c>
      <c r="S266" s="1" t="str">
        <f t="shared" si="9"/>
        <v>*/Consignment/HouseConsignment[0]/ConsignmentItem[0]/Commodity/CommodityCode/combinedNomenclatureCode</v>
      </c>
    </row>
    <row r="267" spans="1:19" ht="12" customHeight="1" outlineLevel="5" x14ac:dyDescent="0.25">
      <c r="A267" s="4" t="str">
        <f t="shared" si="8"/>
        <v>CC013C
CC015C
CC170C</v>
      </c>
      <c r="B267" s="4">
        <v>5</v>
      </c>
      <c r="C267" s="4" t="s">
        <v>41</v>
      </c>
      <c r="D267" s="4" t="s">
        <v>164</v>
      </c>
      <c r="E267" s="4" t="s">
        <v>164</v>
      </c>
      <c r="F267" s="4" t="s">
        <v>408</v>
      </c>
      <c r="G267" s="14" t="s">
        <v>364</v>
      </c>
      <c r="H267" s="6"/>
      <c r="I267" s="4" t="s">
        <v>38</v>
      </c>
      <c r="J267" s="4"/>
      <c r="K267" s="4"/>
      <c r="L267" s="4"/>
      <c r="M267" s="4"/>
      <c r="N267" s="4" t="s">
        <v>703</v>
      </c>
      <c r="O267" s="4" t="s">
        <v>365</v>
      </c>
      <c r="P267" s="4"/>
      <c r="Q267" s="4"/>
      <c r="S267" s="1" t="str">
        <f t="shared" si="9"/>
        <v>*/Consignment/HouseConsignment[0]/ConsignmentItem[0]/Commodity/DangerousGoods[0]</v>
      </c>
    </row>
    <row r="268" spans="1:19" ht="12" customHeight="1" outlineLevel="6" x14ac:dyDescent="0.25">
      <c r="A268" s="1" t="str">
        <f t="shared" si="8"/>
        <v>CC013C
CC015C
CC170C</v>
      </c>
      <c r="B268" s="1">
        <v>6</v>
      </c>
      <c r="C268" s="1" t="s">
        <v>17</v>
      </c>
      <c r="D268" s="1" t="s">
        <v>18</v>
      </c>
      <c r="E268" s="1" t="s">
        <v>18</v>
      </c>
      <c r="F268" s="1" t="s">
        <v>408</v>
      </c>
      <c r="G268" s="15" t="s">
        <v>93</v>
      </c>
      <c r="H268" s="3" t="s">
        <v>483</v>
      </c>
      <c r="I268" s="1" t="s">
        <v>21</v>
      </c>
      <c r="O268" s="1" t="s">
        <v>95</v>
      </c>
      <c r="R268" s="1" t="s">
        <v>96</v>
      </c>
      <c r="S268" s="1" t="str">
        <f t="shared" si="9"/>
        <v>*/Consignment/HouseConsignment[0]/ConsignmentItem[0]/Commodity/DangerousGoods[0]/sequenceNumber</v>
      </c>
    </row>
    <row r="269" spans="1:19" ht="12" customHeight="1" outlineLevel="6" x14ac:dyDescent="0.25">
      <c r="A269" s="1" t="str">
        <f t="shared" si="8"/>
        <v>CC013C
CC015C
CC170C</v>
      </c>
      <c r="B269" s="1">
        <v>6</v>
      </c>
      <c r="C269" s="1" t="s">
        <v>17</v>
      </c>
      <c r="D269" s="1" t="s">
        <v>18</v>
      </c>
      <c r="E269" s="1" t="s">
        <v>18</v>
      </c>
      <c r="F269" s="1" t="s">
        <v>408</v>
      </c>
      <c r="G269" s="15" t="s">
        <v>366</v>
      </c>
      <c r="H269" s="3" t="s">
        <v>306</v>
      </c>
      <c r="I269" s="1" t="s">
        <v>21</v>
      </c>
      <c r="N269" s="1" t="s">
        <v>704</v>
      </c>
      <c r="O269" s="1" t="s">
        <v>367</v>
      </c>
      <c r="R269" s="1" t="s">
        <v>368</v>
      </c>
      <c r="S269" s="1" t="str">
        <f t="shared" si="9"/>
        <v>*/Consignment/HouseConsignment[0]/ConsignmentItem[0]/Commodity/DangerousGoods[0]/UNNumber</v>
      </c>
    </row>
    <row r="270" spans="1:19" ht="12" customHeight="1" outlineLevel="5" x14ac:dyDescent="0.25">
      <c r="A270" s="4" t="str">
        <f t="shared" si="8"/>
        <v>CC013C
CC015C
CC170C</v>
      </c>
      <c r="B270" s="4">
        <v>5</v>
      </c>
      <c r="C270" s="4" t="s">
        <v>41</v>
      </c>
      <c r="D270" s="4" t="s">
        <v>18</v>
      </c>
      <c r="E270" s="4" t="s">
        <v>18</v>
      </c>
      <c r="F270" s="4" t="s">
        <v>408</v>
      </c>
      <c r="G270" s="14" t="s">
        <v>369</v>
      </c>
      <c r="H270" s="6"/>
      <c r="I270" s="4" t="s">
        <v>21</v>
      </c>
      <c r="J270" s="4"/>
      <c r="K270" s="4"/>
      <c r="L270" s="4"/>
      <c r="M270" s="4"/>
      <c r="N270" s="6" t="s">
        <v>691</v>
      </c>
      <c r="O270" s="4" t="s">
        <v>370</v>
      </c>
      <c r="P270" s="4"/>
      <c r="Q270" s="4"/>
      <c r="S270" s="1" t="str">
        <f t="shared" si="9"/>
        <v>*/Consignment/HouseConsignment[0]/ConsignmentItem[0]/Commodity/GoodsMeasure</v>
      </c>
    </row>
    <row r="271" spans="1:19" ht="12" customHeight="1" outlineLevel="6" x14ac:dyDescent="0.25">
      <c r="A271" s="1" t="str">
        <f t="shared" si="8"/>
        <v>CC013C
CC015C
CC170C</v>
      </c>
      <c r="B271" s="1">
        <v>6</v>
      </c>
      <c r="C271" s="1" t="s">
        <v>17</v>
      </c>
      <c r="D271" s="1" t="s">
        <v>18</v>
      </c>
      <c r="E271" s="1" t="s">
        <v>18</v>
      </c>
      <c r="F271" s="1" t="s">
        <v>408</v>
      </c>
      <c r="G271" s="15" t="s">
        <v>198</v>
      </c>
      <c r="H271" s="3" t="s">
        <v>371</v>
      </c>
      <c r="I271" s="1" t="s">
        <v>21</v>
      </c>
      <c r="J271" s="3" t="s">
        <v>693</v>
      </c>
      <c r="N271" s="1" t="s">
        <v>692</v>
      </c>
      <c r="O271" s="1" t="s">
        <v>200</v>
      </c>
      <c r="R271" s="1" t="s">
        <v>372</v>
      </c>
      <c r="S271" s="1" t="str">
        <f t="shared" si="9"/>
        <v>*/Consignment/HouseConsignment[0]/ConsignmentItem[0]/Commodity/GoodsMeasure/grossMass</v>
      </c>
    </row>
    <row r="272" spans="1:19" ht="12" customHeight="1" outlineLevel="6" x14ac:dyDescent="0.25">
      <c r="A272" s="1" t="str">
        <f t="shared" si="8"/>
        <v>CC013C
CC015C
CC170C</v>
      </c>
      <c r="B272" s="1">
        <v>6</v>
      </c>
      <c r="C272" s="1" t="s">
        <v>17</v>
      </c>
      <c r="D272" s="1" t="s">
        <v>36</v>
      </c>
      <c r="E272" s="1" t="s">
        <v>36</v>
      </c>
      <c r="F272" s="1" t="s">
        <v>408</v>
      </c>
      <c r="G272" s="15" t="s">
        <v>373</v>
      </c>
      <c r="H272" s="3" t="s">
        <v>199</v>
      </c>
      <c r="I272" s="1" t="s">
        <v>38</v>
      </c>
      <c r="J272" s="3" t="s">
        <v>689</v>
      </c>
      <c r="K272" s="1" t="s">
        <v>687</v>
      </c>
      <c r="N272" s="1" t="s">
        <v>688</v>
      </c>
      <c r="O272" s="1" t="s">
        <v>374</v>
      </c>
      <c r="R272" s="1" t="s">
        <v>375</v>
      </c>
      <c r="S272" s="1" t="str">
        <f t="shared" si="9"/>
        <v>*/Consignment/HouseConsignment[0]/ConsignmentItem[0]/Commodity/GoodsMeasure/netMass</v>
      </c>
    </row>
    <row r="273" spans="1:19" ht="12" customHeight="1" outlineLevel="6" x14ac:dyDescent="0.25">
      <c r="A273" s="1" t="str">
        <f t="shared" si="8"/>
        <v>CC013C
CC015C
CC170C</v>
      </c>
      <c r="B273" s="1">
        <v>6</v>
      </c>
      <c r="C273" s="1" t="s">
        <v>17</v>
      </c>
      <c r="D273" s="1" t="s">
        <v>36</v>
      </c>
      <c r="E273" s="1" t="s">
        <v>36</v>
      </c>
      <c r="F273" s="1" t="s">
        <v>408</v>
      </c>
      <c r="G273" s="15" t="s">
        <v>376</v>
      </c>
      <c r="H273" s="3" t="s">
        <v>199</v>
      </c>
      <c r="I273" s="1" t="s">
        <v>38</v>
      </c>
      <c r="N273" s="1" t="s">
        <v>690</v>
      </c>
      <c r="O273" s="1" t="s">
        <v>377</v>
      </c>
      <c r="R273" s="1" t="s">
        <v>378</v>
      </c>
      <c r="S273" s="1" t="str">
        <f t="shared" si="9"/>
        <v>*/Consignment/HouseConsignment[0]/ConsignmentItem[0]/Commodity/GoodsMeasure/supplementaryUnits</v>
      </c>
    </row>
    <row r="274" spans="1:19" ht="12" customHeight="1" outlineLevel="4" x14ac:dyDescent="0.25">
      <c r="A274" s="4" t="str">
        <f t="shared" si="8"/>
        <v>CC013C
CC015C
CC170C</v>
      </c>
      <c r="B274" s="4">
        <v>4</v>
      </c>
      <c r="C274" s="4" t="s">
        <v>41</v>
      </c>
      <c r="D274" s="4" t="s">
        <v>379</v>
      </c>
      <c r="E274" s="4" t="s">
        <v>379</v>
      </c>
      <c r="F274" s="4" t="s">
        <v>408</v>
      </c>
      <c r="G274" s="12" t="s">
        <v>380</v>
      </c>
      <c r="H274" s="6"/>
      <c r="I274" s="4" t="s">
        <v>21</v>
      </c>
      <c r="J274" s="4"/>
      <c r="K274" s="4"/>
      <c r="L274" s="4"/>
      <c r="M274" s="4"/>
      <c r="N274" s="4" t="s">
        <v>696</v>
      </c>
      <c r="O274" s="4" t="s">
        <v>380</v>
      </c>
      <c r="P274" s="4"/>
      <c r="Q274" s="4"/>
      <c r="S274" s="1" t="str">
        <f t="shared" si="9"/>
        <v>*/Consignment/HouseConsignment[0]/ConsignmentItem[0]/Packaging[0]</v>
      </c>
    </row>
    <row r="275" spans="1:19" ht="12" customHeight="1" outlineLevel="5" x14ac:dyDescent="0.25">
      <c r="A275" s="1" t="str">
        <f t="shared" si="8"/>
        <v>CC013C
CC015C
CC170C</v>
      </c>
      <c r="B275" s="1">
        <v>5</v>
      </c>
      <c r="C275" s="1" t="s">
        <v>17</v>
      </c>
      <c r="D275" s="1" t="s">
        <v>18</v>
      </c>
      <c r="E275" s="1" t="s">
        <v>18</v>
      </c>
      <c r="F275" s="1" t="s">
        <v>408</v>
      </c>
      <c r="G275" s="13" t="s">
        <v>93</v>
      </c>
      <c r="H275" s="3" t="s">
        <v>483</v>
      </c>
      <c r="I275" s="1" t="s">
        <v>21</v>
      </c>
      <c r="J275" s="1" t="s">
        <v>475</v>
      </c>
      <c r="O275" s="1" t="s">
        <v>95</v>
      </c>
      <c r="R275" s="1" t="s">
        <v>96</v>
      </c>
      <c r="S275" s="1" t="str">
        <f t="shared" si="9"/>
        <v>*/Consignment/HouseConsignment[0]/ConsignmentItem[0]/Packaging[0]/sequenceNumber</v>
      </c>
    </row>
    <row r="276" spans="1:19" ht="12" customHeight="1" outlineLevel="5" x14ac:dyDescent="0.25">
      <c r="A276" s="1" t="str">
        <f t="shared" si="8"/>
        <v>CC013C
CC015C
CC170C</v>
      </c>
      <c r="B276" s="1">
        <v>5</v>
      </c>
      <c r="C276" s="1" t="s">
        <v>17</v>
      </c>
      <c r="D276" s="1" t="s">
        <v>18</v>
      </c>
      <c r="E276" s="1" t="s">
        <v>18</v>
      </c>
      <c r="F276" s="1" t="s">
        <v>408</v>
      </c>
      <c r="G276" s="13" t="s">
        <v>381</v>
      </c>
      <c r="H276" s="3" t="s">
        <v>382</v>
      </c>
      <c r="I276" s="1" t="s">
        <v>21</v>
      </c>
      <c r="L276" s="1" t="s">
        <v>487</v>
      </c>
      <c r="N276" s="1" t="s">
        <v>697</v>
      </c>
      <c r="O276" s="1" t="s">
        <v>383</v>
      </c>
      <c r="R276" s="1" t="s">
        <v>384</v>
      </c>
      <c r="S276" s="1" t="str">
        <f t="shared" si="9"/>
        <v>*/Consignment/HouseConsignment[0]/ConsignmentItem[0]/Packaging[0]/typeOfPackages</v>
      </c>
    </row>
    <row r="277" spans="1:19" ht="12" customHeight="1" outlineLevel="5" x14ac:dyDescent="0.25">
      <c r="A277" s="1" t="str">
        <f t="shared" si="8"/>
        <v>CC013C
CC015C
CC170C</v>
      </c>
      <c r="B277" s="1">
        <v>5</v>
      </c>
      <c r="C277" s="1" t="s">
        <v>17</v>
      </c>
      <c r="D277" s="1" t="s">
        <v>36</v>
      </c>
      <c r="E277" s="1" t="s">
        <v>36</v>
      </c>
      <c r="F277" s="1" t="s">
        <v>408</v>
      </c>
      <c r="G277" s="13" t="s">
        <v>385</v>
      </c>
      <c r="H277" s="3" t="s">
        <v>386</v>
      </c>
      <c r="I277" s="1" t="s">
        <v>450</v>
      </c>
      <c r="J277" s="3" t="s">
        <v>700</v>
      </c>
      <c r="K277" s="1" t="s">
        <v>701</v>
      </c>
      <c r="N277" s="1" t="s">
        <v>698</v>
      </c>
      <c r="O277" s="1" t="s">
        <v>387</v>
      </c>
      <c r="R277" s="1" t="s">
        <v>388</v>
      </c>
      <c r="S277" s="1" t="str">
        <f t="shared" si="9"/>
        <v>*/Consignment/HouseConsignment[0]/ConsignmentItem[0]/Packaging[0]/numberOfPackages</v>
      </c>
    </row>
    <row r="278" spans="1:19" ht="12" customHeight="1" outlineLevel="5" x14ac:dyDescent="0.25">
      <c r="A278" s="1" t="str">
        <f t="shared" si="8"/>
        <v>CC013C
CC015C
CC170C</v>
      </c>
      <c r="B278" s="1">
        <v>5</v>
      </c>
      <c r="C278" s="1" t="s">
        <v>17</v>
      </c>
      <c r="D278" s="1" t="s">
        <v>36</v>
      </c>
      <c r="E278" s="1" t="s">
        <v>36</v>
      </c>
      <c r="F278" s="1" t="s">
        <v>408</v>
      </c>
      <c r="G278" s="13" t="s">
        <v>389</v>
      </c>
      <c r="H278" s="3" t="s">
        <v>328</v>
      </c>
      <c r="I278" s="1" t="s">
        <v>450</v>
      </c>
      <c r="J278" s="1" t="s">
        <v>702</v>
      </c>
      <c r="K278" s="1" t="s">
        <v>701</v>
      </c>
      <c r="N278" s="1" t="s">
        <v>699</v>
      </c>
      <c r="O278" s="1" t="s">
        <v>390</v>
      </c>
      <c r="R278" s="1" t="s">
        <v>391</v>
      </c>
      <c r="S278" s="1" t="str">
        <f t="shared" si="9"/>
        <v>*/Consignment/HouseConsignment[0]/ConsignmentItem[0]/Packaging[0]/shippingMarks</v>
      </c>
    </row>
    <row r="279" spans="1:19" ht="12" customHeight="1" outlineLevel="4" x14ac:dyDescent="0.25">
      <c r="A279" s="4" t="str">
        <f t="shared" si="8"/>
        <v>CC013C
CC015C
CC170C</v>
      </c>
      <c r="B279" s="4">
        <v>4</v>
      </c>
      <c r="C279" s="4" t="s">
        <v>41</v>
      </c>
      <c r="D279" s="4" t="s">
        <v>164</v>
      </c>
      <c r="E279" s="4" t="s">
        <v>164</v>
      </c>
      <c r="F279" s="4" t="s">
        <v>408</v>
      </c>
      <c r="G279" s="12" t="s">
        <v>304</v>
      </c>
      <c r="H279" s="6"/>
      <c r="I279" s="4" t="s">
        <v>38</v>
      </c>
      <c r="J279" s="4"/>
      <c r="K279" s="4"/>
      <c r="L279" s="4"/>
      <c r="M279" s="4"/>
      <c r="N279" s="4" t="s">
        <v>477</v>
      </c>
      <c r="O279" s="4" t="s">
        <v>305</v>
      </c>
      <c r="P279" s="4"/>
      <c r="Q279" s="4"/>
      <c r="S279" s="1" t="str">
        <f t="shared" si="9"/>
        <v>*/Consignment/HouseConsignment[0]/ConsignmentItem[0]/PreviousDocument[0]</v>
      </c>
    </row>
    <row r="280" spans="1:19" ht="12" customHeight="1" outlineLevel="5" x14ac:dyDescent="0.25">
      <c r="A280" s="1" t="str">
        <f t="shared" si="8"/>
        <v>CC013C
CC015C
CC170C</v>
      </c>
      <c r="B280" s="1">
        <v>5</v>
      </c>
      <c r="C280" s="1" t="s">
        <v>17</v>
      </c>
      <c r="D280" s="1" t="s">
        <v>18</v>
      </c>
      <c r="E280" s="1" t="s">
        <v>18</v>
      </c>
      <c r="F280" s="1" t="s">
        <v>408</v>
      </c>
      <c r="G280" s="13" t="s">
        <v>93</v>
      </c>
      <c r="H280" s="3" t="s">
        <v>483</v>
      </c>
      <c r="I280" s="1" t="s">
        <v>21</v>
      </c>
      <c r="J280" s="1" t="s">
        <v>475</v>
      </c>
      <c r="O280" s="1" t="s">
        <v>95</v>
      </c>
      <c r="R280" s="1" t="s">
        <v>96</v>
      </c>
      <c r="S280" s="1" t="str">
        <f t="shared" si="9"/>
        <v>*/Consignment/HouseConsignment[0]/ConsignmentItem[0]/PreviousDocument[0]/sequenceNumber</v>
      </c>
    </row>
    <row r="281" spans="1:19" ht="12" customHeight="1" outlineLevel="5" x14ac:dyDescent="0.25">
      <c r="A281" s="1" t="str">
        <f t="shared" si="8"/>
        <v>CC013C
CC015C
CC170C</v>
      </c>
      <c r="B281" s="1">
        <v>5</v>
      </c>
      <c r="C281" s="1" t="s">
        <v>17</v>
      </c>
      <c r="D281" s="1" t="s">
        <v>18</v>
      </c>
      <c r="E281" s="1" t="s">
        <v>18</v>
      </c>
      <c r="F281" s="1" t="s">
        <v>408</v>
      </c>
      <c r="G281" s="13" t="s">
        <v>2</v>
      </c>
      <c r="H281" s="3" t="s">
        <v>306</v>
      </c>
      <c r="I281" s="1" t="s">
        <v>21</v>
      </c>
      <c r="J281" s="3" t="s">
        <v>479</v>
      </c>
      <c r="L281" s="1" t="s">
        <v>478</v>
      </c>
      <c r="N281" s="1" t="s">
        <v>476</v>
      </c>
      <c r="O281" s="1" t="s">
        <v>98</v>
      </c>
      <c r="R281" s="1" t="s">
        <v>307</v>
      </c>
      <c r="S281" s="1" t="str">
        <f t="shared" si="9"/>
        <v>*/Consignment/HouseConsignment[0]/ConsignmentItem[0]/PreviousDocument[0]/type</v>
      </c>
    </row>
    <row r="282" spans="1:19" ht="12" customHeight="1" outlineLevel="5" x14ac:dyDescent="0.25">
      <c r="A282" s="1" t="str">
        <f t="shared" si="8"/>
        <v>CC013C
CC015C
CC170C</v>
      </c>
      <c r="B282" s="1">
        <v>5</v>
      </c>
      <c r="C282" s="1" t="s">
        <v>17</v>
      </c>
      <c r="D282" s="1" t="s">
        <v>18</v>
      </c>
      <c r="E282" s="1" t="s">
        <v>18</v>
      </c>
      <c r="F282" s="1" t="s">
        <v>408</v>
      </c>
      <c r="G282" s="13" t="s">
        <v>100</v>
      </c>
      <c r="H282" s="3" t="s">
        <v>126</v>
      </c>
      <c r="I282" s="1" t="s">
        <v>21</v>
      </c>
      <c r="J282" s="1" t="s">
        <v>481</v>
      </c>
      <c r="N282" s="1" t="s">
        <v>480</v>
      </c>
      <c r="O282" s="1" t="s">
        <v>102</v>
      </c>
      <c r="R282" s="1" t="s">
        <v>308</v>
      </c>
      <c r="S282" s="1" t="str">
        <f t="shared" si="9"/>
        <v>*/Consignment/HouseConsignment[0]/ConsignmentItem[0]/PreviousDocument[0]/referenceNumber</v>
      </c>
    </row>
    <row r="283" spans="1:19" ht="12" customHeight="1" outlineLevel="5" x14ac:dyDescent="0.25">
      <c r="A283" s="1" t="str">
        <f t="shared" si="8"/>
        <v>CC013C
CC015C
CC170C</v>
      </c>
      <c r="B283" s="1">
        <v>5</v>
      </c>
      <c r="C283" s="1" t="s">
        <v>17</v>
      </c>
      <c r="D283" s="1" t="s">
        <v>36</v>
      </c>
      <c r="E283" s="1" t="s">
        <v>36</v>
      </c>
      <c r="F283" s="1" t="s">
        <v>408</v>
      </c>
      <c r="G283" s="13" t="s">
        <v>343</v>
      </c>
      <c r="H283" s="3" t="s">
        <v>94</v>
      </c>
      <c r="I283" s="1" t="s">
        <v>38</v>
      </c>
      <c r="J283" s="1" t="s">
        <v>485</v>
      </c>
      <c r="N283" s="1" t="s">
        <v>484</v>
      </c>
      <c r="O283" s="1" t="s">
        <v>344</v>
      </c>
      <c r="R283" s="1" t="s">
        <v>345</v>
      </c>
      <c r="S283" s="1" t="str">
        <f t="shared" si="9"/>
        <v>*/Consignment/HouseConsignment[0]/ConsignmentItem[0]/PreviousDocument[0]/goodsItemNumber</v>
      </c>
    </row>
    <row r="284" spans="1:19" ht="12" customHeight="1" outlineLevel="5" x14ac:dyDescent="0.25">
      <c r="A284" s="1" t="str">
        <f t="shared" si="8"/>
        <v>CC013C
CC015C
CC170C</v>
      </c>
      <c r="B284" s="1">
        <v>5</v>
      </c>
      <c r="C284" s="1" t="s">
        <v>17</v>
      </c>
      <c r="D284" s="1" t="s">
        <v>36</v>
      </c>
      <c r="E284" s="1" t="s">
        <v>36</v>
      </c>
      <c r="F284" s="1" t="s">
        <v>408</v>
      </c>
      <c r="G284" s="13" t="s">
        <v>381</v>
      </c>
      <c r="H284" s="3" t="s">
        <v>382</v>
      </c>
      <c r="I284" s="1" t="s">
        <v>38</v>
      </c>
      <c r="L284" s="1" t="s">
        <v>487</v>
      </c>
      <c r="N284" s="1" t="s">
        <v>486</v>
      </c>
      <c r="O284" s="1" t="s">
        <v>383</v>
      </c>
      <c r="R284" s="1" t="s">
        <v>384</v>
      </c>
      <c r="S284" s="1" t="str">
        <f t="shared" si="9"/>
        <v>*/Consignment/HouseConsignment[0]/ConsignmentItem[0]/PreviousDocument[0]/typeOfPackages</v>
      </c>
    </row>
    <row r="285" spans="1:19" ht="12" customHeight="1" outlineLevel="5" x14ac:dyDescent="0.25">
      <c r="A285" s="1" t="str">
        <f t="shared" si="8"/>
        <v>CC013C
CC015C
CC170C</v>
      </c>
      <c r="B285" s="1">
        <v>5</v>
      </c>
      <c r="C285" s="1" t="s">
        <v>17</v>
      </c>
      <c r="D285" s="1" t="s">
        <v>36</v>
      </c>
      <c r="E285" s="1" t="s">
        <v>36</v>
      </c>
      <c r="F285" s="1" t="s">
        <v>408</v>
      </c>
      <c r="G285" s="13" t="s">
        <v>385</v>
      </c>
      <c r="H285" s="3" t="s">
        <v>392</v>
      </c>
      <c r="I285" s="1" t="s">
        <v>38</v>
      </c>
      <c r="N285" s="1" t="s">
        <v>488</v>
      </c>
      <c r="O285" s="1" t="s">
        <v>387</v>
      </c>
      <c r="R285" s="1" t="s">
        <v>393</v>
      </c>
      <c r="S285" s="1" t="str">
        <f t="shared" si="9"/>
        <v>*/Consignment/HouseConsignment[0]/ConsignmentItem[0]/PreviousDocument[0]/numberOfPackages</v>
      </c>
    </row>
    <row r="286" spans="1:19" ht="12" customHeight="1" outlineLevel="5" x14ac:dyDescent="0.25">
      <c r="A286" s="1" t="str">
        <f t="shared" si="8"/>
        <v>CC013C
CC015C
CC170C</v>
      </c>
      <c r="B286" s="1">
        <v>5</v>
      </c>
      <c r="C286" s="1" t="s">
        <v>17</v>
      </c>
      <c r="D286" s="1" t="s">
        <v>36</v>
      </c>
      <c r="E286" s="1" t="s">
        <v>36</v>
      </c>
      <c r="F286" s="1" t="s">
        <v>408</v>
      </c>
      <c r="G286" s="13" t="s">
        <v>394</v>
      </c>
      <c r="H286" s="3" t="s">
        <v>97</v>
      </c>
      <c r="I286" s="1" t="s">
        <v>450</v>
      </c>
      <c r="K286" s="1" t="s">
        <v>490</v>
      </c>
      <c r="L286" s="1" t="s">
        <v>491</v>
      </c>
      <c r="N286" s="1" t="s">
        <v>489</v>
      </c>
      <c r="O286" s="1" t="s">
        <v>395</v>
      </c>
      <c r="R286" s="1" t="s">
        <v>396</v>
      </c>
      <c r="S286" s="1" t="str">
        <f t="shared" si="9"/>
        <v>*/Consignment/HouseConsignment[0]/ConsignmentItem[0]/PreviousDocument[0]/measurementUnitAndQualifier</v>
      </c>
    </row>
    <row r="287" spans="1:19" ht="12" customHeight="1" outlineLevel="5" x14ac:dyDescent="0.25">
      <c r="A287" s="1" t="str">
        <f t="shared" si="8"/>
        <v>CC013C
CC015C
CC170C</v>
      </c>
      <c r="B287" s="1">
        <v>5</v>
      </c>
      <c r="C287" s="1" t="s">
        <v>17</v>
      </c>
      <c r="D287" s="1" t="s">
        <v>36</v>
      </c>
      <c r="E287" s="1" t="s">
        <v>36</v>
      </c>
      <c r="F287" s="1" t="s">
        <v>408</v>
      </c>
      <c r="G287" s="13" t="s">
        <v>397</v>
      </c>
      <c r="H287" s="3" t="s">
        <v>199</v>
      </c>
      <c r="I287" s="1" t="s">
        <v>38</v>
      </c>
      <c r="N287" s="1" t="s">
        <v>492</v>
      </c>
      <c r="O287" s="1" t="s">
        <v>398</v>
      </c>
      <c r="R287" s="1" t="s">
        <v>399</v>
      </c>
      <c r="S287" s="1" t="str">
        <f t="shared" si="9"/>
        <v>*/Consignment/HouseConsignment[0]/ConsignmentItem[0]/PreviousDocument[0]/quantity</v>
      </c>
    </row>
    <row r="288" spans="1:19" ht="12" customHeight="1" outlineLevel="5" x14ac:dyDescent="0.25">
      <c r="A288" s="1" t="str">
        <f t="shared" si="8"/>
        <v>CC013C
CC015C
CC170C</v>
      </c>
      <c r="B288" s="1">
        <v>5</v>
      </c>
      <c r="C288" s="1" t="s">
        <v>17</v>
      </c>
      <c r="D288" s="1" t="s">
        <v>36</v>
      </c>
      <c r="E288" s="1" t="s">
        <v>36</v>
      </c>
      <c r="F288" s="1" t="s">
        <v>408</v>
      </c>
      <c r="G288" s="13" t="s">
        <v>309</v>
      </c>
      <c r="H288" s="3" t="s">
        <v>101</v>
      </c>
      <c r="I288" s="1" t="s">
        <v>38</v>
      </c>
      <c r="N288" s="1" t="s">
        <v>482</v>
      </c>
      <c r="O288" s="1" t="s">
        <v>310</v>
      </c>
      <c r="R288" s="1" t="s">
        <v>311</v>
      </c>
      <c r="S288" s="1" t="str">
        <f t="shared" si="9"/>
        <v>*/Consignment/HouseConsignment[0]/ConsignmentItem[0]/PreviousDocument[0]/complementOfInformation</v>
      </c>
    </row>
    <row r="289" spans="1:19" ht="12" customHeight="1" outlineLevel="4" x14ac:dyDescent="0.25">
      <c r="A289" s="4" t="str">
        <f t="shared" si="8"/>
        <v>CC013C
CC015C
CC170C</v>
      </c>
      <c r="B289" s="4">
        <v>4</v>
      </c>
      <c r="C289" s="4" t="s">
        <v>41</v>
      </c>
      <c r="D289" s="4" t="s">
        <v>164</v>
      </c>
      <c r="E289" s="4" t="s">
        <v>164</v>
      </c>
      <c r="F289" s="4" t="s">
        <v>408</v>
      </c>
      <c r="G289" s="12" t="s">
        <v>312</v>
      </c>
      <c r="H289" s="6"/>
      <c r="I289" s="4" t="s">
        <v>38</v>
      </c>
      <c r="J289" s="6" t="s">
        <v>506</v>
      </c>
      <c r="K289" s="4"/>
      <c r="L289" s="4"/>
      <c r="M289" s="4"/>
      <c r="N289" s="4" t="s">
        <v>498</v>
      </c>
      <c r="O289" s="4" t="s">
        <v>313</v>
      </c>
      <c r="P289" s="4"/>
      <c r="Q289" s="4"/>
      <c r="S289" s="1" t="str">
        <f t="shared" si="9"/>
        <v>*/Consignment/HouseConsignment[0]/ConsignmentItem[0]/SupportingDocument[0]</v>
      </c>
    </row>
    <row r="290" spans="1:19" ht="12" customHeight="1" outlineLevel="5" x14ac:dyDescent="0.25">
      <c r="A290" s="1" t="str">
        <f t="shared" si="8"/>
        <v>CC013C
CC015C
CC170C</v>
      </c>
      <c r="B290" s="1">
        <v>5</v>
      </c>
      <c r="C290" s="1" t="s">
        <v>17</v>
      </c>
      <c r="D290" s="1" t="s">
        <v>18</v>
      </c>
      <c r="E290" s="1" t="s">
        <v>18</v>
      </c>
      <c r="F290" s="1" t="s">
        <v>408</v>
      </c>
      <c r="G290" s="13" t="s">
        <v>93</v>
      </c>
      <c r="H290" s="3" t="s">
        <v>483</v>
      </c>
      <c r="I290" s="1" t="s">
        <v>21</v>
      </c>
      <c r="J290" s="1" t="s">
        <v>475</v>
      </c>
      <c r="O290" s="1" t="s">
        <v>95</v>
      </c>
      <c r="R290" s="1" t="s">
        <v>96</v>
      </c>
      <c r="S290" s="1" t="str">
        <f t="shared" si="9"/>
        <v>*/Consignment/HouseConsignment[0]/ConsignmentItem[0]/SupportingDocument[0]/sequenceNumber</v>
      </c>
    </row>
    <row r="291" spans="1:19" ht="12" customHeight="1" outlineLevel="5" x14ac:dyDescent="0.25">
      <c r="A291" s="1" t="str">
        <f t="shared" si="8"/>
        <v>CC013C
CC015C
CC170C</v>
      </c>
      <c r="B291" s="1">
        <v>5</v>
      </c>
      <c r="C291" s="1" t="s">
        <v>17</v>
      </c>
      <c r="D291" s="1" t="s">
        <v>18</v>
      </c>
      <c r="E291" s="1" t="s">
        <v>18</v>
      </c>
      <c r="F291" s="1" t="s">
        <v>408</v>
      </c>
      <c r="G291" s="13" t="s">
        <v>2</v>
      </c>
      <c r="H291" s="3" t="s">
        <v>306</v>
      </c>
      <c r="I291" s="1" t="s">
        <v>21</v>
      </c>
      <c r="J291" s="1" t="s">
        <v>505</v>
      </c>
      <c r="L291" s="1" t="s">
        <v>507</v>
      </c>
      <c r="N291" s="1" t="s">
        <v>500</v>
      </c>
      <c r="O291" s="1" t="s">
        <v>98</v>
      </c>
      <c r="R291" s="1" t="s">
        <v>307</v>
      </c>
      <c r="S291" s="1" t="str">
        <f t="shared" si="9"/>
        <v>*/Consignment/HouseConsignment[0]/ConsignmentItem[0]/SupportingDocument[0]/type</v>
      </c>
    </row>
    <row r="292" spans="1:19" ht="12" customHeight="1" outlineLevel="5" x14ac:dyDescent="0.25">
      <c r="A292" s="1" t="str">
        <f t="shared" si="8"/>
        <v>CC013C
CC015C
CC170C</v>
      </c>
      <c r="B292" s="1">
        <v>5</v>
      </c>
      <c r="C292" s="1" t="s">
        <v>17</v>
      </c>
      <c r="D292" s="1" t="s">
        <v>18</v>
      </c>
      <c r="E292" s="1" t="s">
        <v>18</v>
      </c>
      <c r="F292" s="1" t="s">
        <v>408</v>
      </c>
      <c r="G292" s="13" t="s">
        <v>100</v>
      </c>
      <c r="H292" s="3" t="s">
        <v>126</v>
      </c>
      <c r="I292" s="1" t="s">
        <v>21</v>
      </c>
      <c r="J292" s="1" t="s">
        <v>481</v>
      </c>
      <c r="N292" s="1" t="s">
        <v>499</v>
      </c>
      <c r="O292" s="1" t="s">
        <v>102</v>
      </c>
      <c r="R292" s="1" t="s">
        <v>308</v>
      </c>
      <c r="S292" s="1" t="str">
        <f t="shared" si="9"/>
        <v>*/Consignment/HouseConsignment[0]/ConsignmentItem[0]/SupportingDocument[0]/referenceNumber</v>
      </c>
    </row>
    <row r="293" spans="1:19" ht="12" customHeight="1" outlineLevel="5" x14ac:dyDescent="0.25">
      <c r="A293" s="1" t="str">
        <f t="shared" si="8"/>
        <v>CC013C
CC015C
CC170C</v>
      </c>
      <c r="B293" s="1">
        <v>5</v>
      </c>
      <c r="C293" s="1" t="s">
        <v>17</v>
      </c>
      <c r="D293" s="1" t="s">
        <v>36</v>
      </c>
      <c r="E293" s="1" t="s">
        <v>36</v>
      </c>
      <c r="F293" s="1" t="s">
        <v>408</v>
      </c>
      <c r="G293" s="13" t="s">
        <v>314</v>
      </c>
      <c r="H293" s="3" t="s">
        <v>94</v>
      </c>
      <c r="I293" s="1" t="s">
        <v>38</v>
      </c>
      <c r="N293" s="1" t="s">
        <v>501</v>
      </c>
      <c r="O293" s="1" t="s">
        <v>315</v>
      </c>
      <c r="R293" s="1" t="s">
        <v>316</v>
      </c>
      <c r="S293" s="1" t="str">
        <f t="shared" si="9"/>
        <v>*/Consignment/HouseConsignment[0]/ConsignmentItem[0]/SupportingDocument[0]/documentLineItemNumber</v>
      </c>
    </row>
    <row r="294" spans="1:19" ht="12" customHeight="1" outlineLevel="5" x14ac:dyDescent="0.25">
      <c r="A294" s="1" t="str">
        <f t="shared" si="8"/>
        <v>CC013C
CC015C
CC170C</v>
      </c>
      <c r="B294" s="1">
        <v>5</v>
      </c>
      <c r="C294" s="1" t="s">
        <v>17</v>
      </c>
      <c r="D294" s="1" t="s">
        <v>36</v>
      </c>
      <c r="E294" s="1" t="s">
        <v>36</v>
      </c>
      <c r="F294" s="1" t="s">
        <v>408</v>
      </c>
      <c r="G294" s="13" t="s">
        <v>309</v>
      </c>
      <c r="H294" s="3" t="s">
        <v>101</v>
      </c>
      <c r="I294" s="1" t="s">
        <v>38</v>
      </c>
      <c r="N294" s="1" t="s">
        <v>502</v>
      </c>
      <c r="O294" s="1" t="s">
        <v>310</v>
      </c>
      <c r="R294" s="1" t="s">
        <v>311</v>
      </c>
      <c r="S294" s="1" t="str">
        <f t="shared" si="9"/>
        <v>*/Consignment/HouseConsignment[0]/ConsignmentItem[0]/SupportingDocument[0]/complementOfInformation</v>
      </c>
    </row>
    <row r="295" spans="1:19" ht="12" customHeight="1" outlineLevel="4" x14ac:dyDescent="0.25">
      <c r="A295" s="4" t="str">
        <f t="shared" ref="A295:A302" si="10">$G$2</f>
        <v>CC013C
CC015C
CC170C</v>
      </c>
      <c r="B295" s="4">
        <v>4</v>
      </c>
      <c r="C295" s="4" t="s">
        <v>41</v>
      </c>
      <c r="D295" s="4" t="s">
        <v>164</v>
      </c>
      <c r="E295" s="4" t="s">
        <v>164</v>
      </c>
      <c r="F295" s="4" t="s">
        <v>408</v>
      </c>
      <c r="G295" s="12" t="s">
        <v>319</v>
      </c>
      <c r="H295" s="6"/>
      <c r="I295" s="4" t="s">
        <v>38</v>
      </c>
      <c r="J295" s="6" t="s">
        <v>511</v>
      </c>
      <c r="K295" s="4"/>
      <c r="L295" s="4"/>
      <c r="M295" s="4"/>
      <c r="N295" s="4" t="s">
        <v>508</v>
      </c>
      <c r="O295" s="4" t="s">
        <v>320</v>
      </c>
      <c r="P295" s="4"/>
      <c r="Q295" s="4"/>
      <c r="S295" s="1" t="str">
        <f>IF($B295=0,$O295,_xlfn.TEXTBEFORE(S294,"/",$B295,,,S294)&amp;"/"&amp;$O295)&amp;IF(_xlfn.TEXTAFTER($D295,"..",,,,1)&lt;&gt;"1","[0]","")</f>
        <v>*/Consignment/HouseConsignment[0]/ConsignmentItem[0]/AdditionalReference[0]</v>
      </c>
    </row>
    <row r="296" spans="1:19" ht="12" customHeight="1" outlineLevel="5" x14ac:dyDescent="0.25">
      <c r="A296" s="1" t="str">
        <f t="shared" si="10"/>
        <v>CC013C
CC015C
CC170C</v>
      </c>
      <c r="B296" s="1">
        <v>5</v>
      </c>
      <c r="C296" s="1" t="s">
        <v>17</v>
      </c>
      <c r="D296" s="1" t="s">
        <v>18</v>
      </c>
      <c r="E296" s="1" t="s">
        <v>18</v>
      </c>
      <c r="F296" s="1" t="s">
        <v>408</v>
      </c>
      <c r="G296" s="13" t="s">
        <v>93</v>
      </c>
      <c r="H296" s="3" t="s">
        <v>483</v>
      </c>
      <c r="I296" s="1" t="s">
        <v>21</v>
      </c>
      <c r="J296" s="1" t="s">
        <v>475</v>
      </c>
      <c r="O296" s="1" t="s">
        <v>95</v>
      </c>
      <c r="R296" s="1" t="s">
        <v>96</v>
      </c>
      <c r="S296" s="1" t="str">
        <f t="shared" si="9"/>
        <v>*/Consignment/HouseConsignment[0]/ConsignmentItem[0]/AdditionalReference[0]/sequenceNumber</v>
      </c>
    </row>
    <row r="297" spans="1:19" ht="12" customHeight="1" outlineLevel="5" x14ac:dyDescent="0.25">
      <c r="A297" s="1" t="str">
        <f t="shared" si="10"/>
        <v>CC013C
CC015C
CC170C</v>
      </c>
      <c r="B297" s="1">
        <v>5</v>
      </c>
      <c r="C297" s="1" t="s">
        <v>17</v>
      </c>
      <c r="D297" s="1" t="s">
        <v>18</v>
      </c>
      <c r="E297" s="1" t="s">
        <v>18</v>
      </c>
      <c r="F297" s="1" t="s">
        <v>408</v>
      </c>
      <c r="G297" s="13" t="s">
        <v>2</v>
      </c>
      <c r="H297" s="3" t="s">
        <v>306</v>
      </c>
      <c r="I297" s="1" t="s">
        <v>21</v>
      </c>
      <c r="J297" s="1" t="s">
        <v>505</v>
      </c>
      <c r="L297" s="1" t="s">
        <v>512</v>
      </c>
      <c r="N297" s="1" t="s">
        <v>509</v>
      </c>
      <c r="O297" s="1" t="s">
        <v>98</v>
      </c>
      <c r="R297" s="1" t="s">
        <v>307</v>
      </c>
      <c r="S297" s="1" t="str">
        <f t="shared" si="9"/>
        <v>*/Consignment/HouseConsignment[0]/ConsignmentItem[0]/AdditionalReference[0]/type</v>
      </c>
    </row>
    <row r="298" spans="1:19" ht="12" customHeight="1" outlineLevel="5" x14ac:dyDescent="0.25">
      <c r="A298" s="1" t="str">
        <f t="shared" si="10"/>
        <v>CC013C
CC015C
CC170C</v>
      </c>
      <c r="B298" s="1">
        <v>5</v>
      </c>
      <c r="C298" s="1" t="s">
        <v>17</v>
      </c>
      <c r="D298" s="1" t="s">
        <v>36</v>
      </c>
      <c r="E298" s="1" t="s">
        <v>36</v>
      </c>
      <c r="F298" s="1" t="s">
        <v>408</v>
      </c>
      <c r="G298" s="13" t="s">
        <v>100</v>
      </c>
      <c r="H298" s="3" t="s">
        <v>126</v>
      </c>
      <c r="I298" s="1" t="s">
        <v>38</v>
      </c>
      <c r="J298" s="1" t="s">
        <v>481</v>
      </c>
      <c r="N298" s="1" t="s">
        <v>510</v>
      </c>
      <c r="O298" s="1" t="s">
        <v>102</v>
      </c>
      <c r="R298" s="1" t="s">
        <v>308</v>
      </c>
      <c r="S298" s="1" t="str">
        <f t="shared" si="9"/>
        <v>*/Consignment/HouseConsignment[0]/ConsignmentItem[0]/AdditionalReference[0]/referenceNumber</v>
      </c>
    </row>
    <row r="299" spans="1:19" ht="12" customHeight="1" outlineLevel="4" x14ac:dyDescent="0.25">
      <c r="A299" s="4" t="str">
        <f t="shared" si="10"/>
        <v>CC013C
CC015C
CC170C</v>
      </c>
      <c r="B299" s="4">
        <v>4</v>
      </c>
      <c r="C299" s="4" t="s">
        <v>41</v>
      </c>
      <c r="D299" s="4" t="s">
        <v>164</v>
      </c>
      <c r="E299" s="4" t="s">
        <v>164</v>
      </c>
      <c r="F299" s="4" t="s">
        <v>408</v>
      </c>
      <c r="G299" s="12" t="s">
        <v>321</v>
      </c>
      <c r="H299" s="6"/>
      <c r="I299" s="4" t="s">
        <v>38</v>
      </c>
      <c r="J299" s="4" t="s">
        <v>467</v>
      </c>
      <c r="K299" s="4"/>
      <c r="L299" s="4"/>
      <c r="M299" s="4"/>
      <c r="N299" s="4" t="s">
        <v>493</v>
      </c>
      <c r="O299" s="4" t="s">
        <v>322</v>
      </c>
      <c r="P299" s="4"/>
      <c r="Q299" s="4"/>
      <c r="S299" s="1" t="str">
        <f t="shared" si="9"/>
        <v>*/Consignment/HouseConsignment[0]/ConsignmentItem[0]/AdditionalInformation[0]</v>
      </c>
    </row>
    <row r="300" spans="1:19" ht="12" customHeight="1" outlineLevel="5" x14ac:dyDescent="0.25">
      <c r="A300" s="1" t="str">
        <f t="shared" si="10"/>
        <v>CC013C
CC015C
CC170C</v>
      </c>
      <c r="B300" s="1">
        <v>5</v>
      </c>
      <c r="C300" s="1" t="s">
        <v>17</v>
      </c>
      <c r="D300" s="1" t="s">
        <v>18</v>
      </c>
      <c r="E300" s="1" t="s">
        <v>18</v>
      </c>
      <c r="F300" s="1" t="s">
        <v>408</v>
      </c>
      <c r="G300" s="13" t="s">
        <v>93</v>
      </c>
      <c r="H300" s="3" t="s">
        <v>483</v>
      </c>
      <c r="I300" s="1" t="s">
        <v>21</v>
      </c>
      <c r="J300" s="1" t="s">
        <v>475</v>
      </c>
      <c r="O300" s="1" t="s">
        <v>95</v>
      </c>
      <c r="R300" s="1" t="s">
        <v>96</v>
      </c>
      <c r="S300" s="1" t="str">
        <f t="shared" si="9"/>
        <v>*/Consignment/HouseConsignment[0]/ConsignmentItem[0]/AdditionalInformation[0]/sequenceNumber</v>
      </c>
    </row>
    <row r="301" spans="1:19" ht="12" customHeight="1" outlineLevel="5" x14ac:dyDescent="0.25">
      <c r="A301" s="1" t="str">
        <f t="shared" si="10"/>
        <v>CC013C
CC015C
CC170C</v>
      </c>
      <c r="B301" s="1">
        <v>5</v>
      </c>
      <c r="C301" s="1" t="s">
        <v>17</v>
      </c>
      <c r="D301" s="1" t="s">
        <v>18</v>
      </c>
      <c r="E301" s="1" t="s">
        <v>18</v>
      </c>
      <c r="F301" s="1" t="s">
        <v>408</v>
      </c>
      <c r="G301" s="13" t="s">
        <v>323</v>
      </c>
      <c r="H301" s="3" t="s">
        <v>324</v>
      </c>
      <c r="I301" s="1" t="s">
        <v>21</v>
      </c>
      <c r="J301" s="3" t="s">
        <v>497</v>
      </c>
      <c r="N301" s="1" t="s">
        <v>495</v>
      </c>
      <c r="O301" s="1" t="s">
        <v>325</v>
      </c>
      <c r="R301" s="1" t="s">
        <v>326</v>
      </c>
      <c r="S301" s="1" t="str">
        <f t="shared" si="9"/>
        <v>*/Consignment/HouseConsignment[0]/ConsignmentItem[0]/AdditionalInformation[0]/code</v>
      </c>
    </row>
    <row r="302" spans="1:19" ht="12" customHeight="1" outlineLevel="5" x14ac:dyDescent="0.25">
      <c r="A302" s="1" t="str">
        <f t="shared" si="10"/>
        <v>CC013C
CC015C
CC170C</v>
      </c>
      <c r="B302" s="1">
        <v>5</v>
      </c>
      <c r="C302" s="1" t="s">
        <v>17</v>
      </c>
      <c r="D302" s="1" t="s">
        <v>36</v>
      </c>
      <c r="E302" s="1" t="s">
        <v>36</v>
      </c>
      <c r="F302" s="1" t="s">
        <v>408</v>
      </c>
      <c r="G302" s="13" t="s">
        <v>327</v>
      </c>
      <c r="H302" s="3" t="s">
        <v>328</v>
      </c>
      <c r="I302" s="1" t="s">
        <v>38</v>
      </c>
      <c r="N302" s="1" t="s">
        <v>496</v>
      </c>
      <c r="O302" s="1" t="s">
        <v>329</v>
      </c>
      <c r="R302" s="1" t="s">
        <v>330</v>
      </c>
      <c r="S302" s="1" t="str">
        <f t="shared" si="9"/>
        <v>*/Consignment/HouseConsignment[0]/ConsignmentItem[0]/AdditionalInformation[0]/text</v>
      </c>
    </row>
    <row r="303" spans="1:19" ht="12" customHeight="1" x14ac:dyDescent="0.25">
      <c r="S303" s="1" t="str">
        <f t="shared" si="9"/>
        <v/>
      </c>
    </row>
  </sheetData>
  <autoFilter ref="A1:P302" xr:uid="{40BA401C-6CB5-4C10-B4FC-756D0EF18C27}"/>
  <conditionalFormatting sqref="A1:R303">
    <cfRule type="cellIs" dxfId="13" priority="4" stopIfTrue="1" operator="equal">
      <formula>""</formula>
    </cfRule>
    <cfRule type="cellIs" dxfId="12" priority="8" stopIfTrue="1" operator="notEqual">
      <formula>""</formula>
    </cfRule>
  </conditionalFormatting>
  <conditionalFormatting sqref="A1:C303">
    <cfRule type="cellIs" priority="1" stopIfTrue="1" operator="equal">
      <formula>INDIRECT(ADDRESS(ROW(),COLUMN(),1,1,"compare"))</formula>
    </cfRule>
    <cfRule type="expression" dxfId="11" priority="5" stopIfTrue="1">
      <formula>INDIRECT(ADDRESS(ROW(),COLUMN(),1,1,"compare"))=""</formula>
    </cfRule>
  </conditionalFormatting>
  <conditionalFormatting sqref="D1:F303">
    <cfRule type="cellIs" priority="2" stopIfTrue="1" operator="equal">
      <formula>INDIRECT(ADDRESS(ROW(),4,1,1,"compare"))</formula>
    </cfRule>
    <cfRule type="expression" dxfId="10" priority="6" stopIfTrue="1">
      <formula>INDIRECT(ADDRESS(ROW(),4,1,1,"compare"))=""</formula>
    </cfRule>
  </conditionalFormatting>
  <conditionalFormatting sqref="G1:R303">
    <cfRule type="cellIs" priority="3" stopIfTrue="1" operator="equal">
      <formula>INDIRECT(ADDRESS(ROW(),COLUMN()-2,1,1,"compare"))</formula>
    </cfRule>
    <cfRule type="expression" dxfId="9" priority="7" stopIfTrue="1">
      <formula>INDIRECT(ADDRESS(ROW(),COLUMN()-2,1,1,"compare"))=""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040AF-2E84-4E48-8258-6F9160560333}">
  <sheetPr codeName="Ark3">
    <tabColor rgb="FF00B0F0"/>
    <outlinePr summaryBelow="0" summaryRight="0"/>
  </sheetPr>
  <dimension ref="A1:R303"/>
  <sheetViews>
    <sheetView workbookViewId="0">
      <pane xSplit="1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E2" sqref="E2"/>
    </sheetView>
  </sheetViews>
  <sheetFormatPr defaultColWidth="11.5703125" defaultRowHeight="12" outlineLevelRow="6" x14ac:dyDescent="0.25"/>
  <cols>
    <col min="1" max="3" width="0" style="1" hidden="1" customWidth="1"/>
    <col min="4" max="4" width="6.5703125" style="1" customWidth="1"/>
    <col min="5" max="5" width="70.5703125" style="1" customWidth="1"/>
    <col min="6" max="11" width="8.7109375" style="1" customWidth="1"/>
    <col min="12" max="14" width="24.7109375" style="1" customWidth="1"/>
    <col min="15" max="15" width="0" style="1" hidden="1" customWidth="1"/>
    <col min="16" max="17" width="24.7109375" style="1" customWidth="1"/>
    <col min="18" max="16384" width="11.5703125" style="1"/>
  </cols>
  <sheetData>
    <row r="1" spans="1:18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409</v>
      </c>
      <c r="K1" s="3" t="s">
        <v>9</v>
      </c>
      <c r="L1" s="3" t="s">
        <v>410</v>
      </c>
      <c r="M1" s="1" t="s">
        <v>10</v>
      </c>
      <c r="N1" s="1" t="s">
        <v>411</v>
      </c>
      <c r="P1" s="1" t="s">
        <v>11</v>
      </c>
      <c r="Q1" s="1" t="s">
        <v>12</v>
      </c>
      <c r="R1" s="1" t="s">
        <v>412</v>
      </c>
    </row>
    <row r="2" spans="1:18" ht="12" customHeight="1" x14ac:dyDescent="0.25">
      <c r="A2" s="1" t="str">
        <f t="shared" ref="A2:A65" si="0">$E$2</f>
        <v>CC013C
CC015C</v>
      </c>
      <c r="B2" s="1">
        <v>0</v>
      </c>
      <c r="C2" s="1" t="s">
        <v>13</v>
      </c>
      <c r="E2" s="3" t="s">
        <v>787</v>
      </c>
      <c r="F2" s="3"/>
      <c r="G2" s="3"/>
      <c r="H2" s="3"/>
      <c r="I2" s="3"/>
      <c r="J2" s="3"/>
      <c r="K2" s="3"/>
      <c r="L2" s="3"/>
      <c r="M2" s="1" t="s">
        <v>15</v>
      </c>
      <c r="P2" s="1" t="s">
        <v>16</v>
      </c>
      <c r="Q2" s="1" t="str">
        <f t="shared" ref="Q2:Q65" si="1">IF($B2=0,$M2,_xlfn.TEXTBEFORE(Q1,"/",$B2,,,Q1)&amp;"/"&amp;$M2)&amp;IF(_xlfn.TEXTAFTER($D2,"..",,,,1)&lt;&gt;"1","[0]","")</f>
        <v>*</v>
      </c>
    </row>
    <row r="3" spans="1:18" ht="12" customHeight="1" outlineLevel="1" x14ac:dyDescent="0.25">
      <c r="A3" s="1" t="str">
        <f t="shared" si="0"/>
        <v>CC013C
CC015C</v>
      </c>
      <c r="B3" s="1">
        <v>1</v>
      </c>
      <c r="C3" s="1" t="s">
        <v>17</v>
      </c>
      <c r="D3" s="1" t="s">
        <v>18</v>
      </c>
      <c r="E3" s="2" t="s">
        <v>19</v>
      </c>
      <c r="F3" s="3" t="s">
        <v>20</v>
      </c>
      <c r="G3" s="3" t="s">
        <v>21</v>
      </c>
      <c r="H3" s="3"/>
      <c r="I3" s="3"/>
      <c r="J3" s="3"/>
      <c r="K3" s="3"/>
      <c r="L3" s="3"/>
      <c r="M3" s="1" t="s">
        <v>22</v>
      </c>
      <c r="P3" s="1" t="s">
        <v>23</v>
      </c>
      <c r="Q3" s="1" t="str">
        <f t="shared" si="1"/>
        <v>*/messageSender</v>
      </c>
    </row>
    <row r="4" spans="1:18" ht="12" customHeight="1" outlineLevel="1" x14ac:dyDescent="0.25">
      <c r="A4" s="1" t="str">
        <f t="shared" si="0"/>
        <v>CC013C
CC015C</v>
      </c>
      <c r="B4" s="1">
        <v>1</v>
      </c>
      <c r="C4" s="1" t="s">
        <v>17</v>
      </c>
      <c r="D4" s="1" t="s">
        <v>18</v>
      </c>
      <c r="E4" s="2" t="s">
        <v>24</v>
      </c>
      <c r="F4" s="3" t="s">
        <v>20</v>
      </c>
      <c r="G4" s="3" t="s">
        <v>21</v>
      </c>
      <c r="H4" s="3"/>
      <c r="I4" s="3"/>
      <c r="J4" s="3"/>
      <c r="K4" s="3"/>
      <c r="L4" s="3"/>
      <c r="M4" s="1" t="s">
        <v>25</v>
      </c>
      <c r="P4" s="1" t="s">
        <v>26</v>
      </c>
      <c r="Q4" s="1" t="str">
        <f t="shared" si="1"/>
        <v>*/messageRecipient</v>
      </c>
    </row>
    <row r="5" spans="1:18" ht="12" customHeight="1" outlineLevel="1" x14ac:dyDescent="0.25">
      <c r="A5" s="1" t="str">
        <f t="shared" si="0"/>
        <v>CC013C
CC015C</v>
      </c>
      <c r="B5" s="1">
        <v>1</v>
      </c>
      <c r="C5" s="1" t="s">
        <v>17</v>
      </c>
      <c r="D5" s="1" t="s">
        <v>18</v>
      </c>
      <c r="E5" s="2" t="s">
        <v>27</v>
      </c>
      <c r="F5" s="3" t="s">
        <v>65</v>
      </c>
      <c r="G5" s="3" t="s">
        <v>21</v>
      </c>
      <c r="H5" s="3"/>
      <c r="I5" s="3"/>
      <c r="J5" s="3"/>
      <c r="K5" s="3"/>
      <c r="L5" s="3"/>
      <c r="M5" s="1" t="s">
        <v>28</v>
      </c>
      <c r="P5" s="1" t="s">
        <v>29</v>
      </c>
      <c r="Q5" s="1" t="str">
        <f t="shared" si="1"/>
        <v>*/preparationDateAndTime</v>
      </c>
    </row>
    <row r="6" spans="1:18" ht="12" customHeight="1" outlineLevel="1" x14ac:dyDescent="0.25">
      <c r="A6" s="1" t="str">
        <f t="shared" si="0"/>
        <v>CC013C
CC015C</v>
      </c>
      <c r="B6" s="1">
        <v>1</v>
      </c>
      <c r="C6" s="1" t="s">
        <v>17</v>
      </c>
      <c r="D6" s="1" t="s">
        <v>18</v>
      </c>
      <c r="E6" s="2" t="s">
        <v>30</v>
      </c>
      <c r="F6" s="3" t="s">
        <v>20</v>
      </c>
      <c r="G6" s="3" t="s">
        <v>21</v>
      </c>
      <c r="H6" s="3"/>
      <c r="I6" s="3"/>
      <c r="J6" s="3"/>
      <c r="K6" s="3"/>
      <c r="L6" s="3"/>
      <c r="M6" s="1" t="s">
        <v>31</v>
      </c>
      <c r="P6" s="1" t="s">
        <v>32</v>
      </c>
      <c r="Q6" s="1" t="str">
        <f t="shared" si="1"/>
        <v>*/messageIdentification</v>
      </c>
    </row>
    <row r="7" spans="1:18" ht="12" customHeight="1" outlineLevel="1" x14ac:dyDescent="0.25">
      <c r="A7" s="1" t="str">
        <f t="shared" si="0"/>
        <v>CC013C
CC015C</v>
      </c>
      <c r="B7" s="1">
        <v>1</v>
      </c>
      <c r="C7" s="1" t="s">
        <v>17</v>
      </c>
      <c r="D7" s="1" t="s">
        <v>18</v>
      </c>
      <c r="E7" s="2" t="s">
        <v>33</v>
      </c>
      <c r="F7" s="3" t="s">
        <v>452</v>
      </c>
      <c r="G7" s="3" t="s">
        <v>21</v>
      </c>
      <c r="H7" s="3"/>
      <c r="I7" s="3"/>
      <c r="J7" s="3" t="s">
        <v>451</v>
      </c>
      <c r="K7" s="3"/>
      <c r="L7" s="3"/>
      <c r="M7" s="1" t="s">
        <v>34</v>
      </c>
      <c r="P7" s="1" t="s">
        <v>35</v>
      </c>
      <c r="Q7" s="1" t="str">
        <f t="shared" si="1"/>
        <v>*/messageType</v>
      </c>
    </row>
    <row r="8" spans="1:18" ht="12" customHeight="1" outlineLevel="1" x14ac:dyDescent="0.25">
      <c r="A8" s="1" t="str">
        <f t="shared" si="0"/>
        <v>CC013C
CC015C</v>
      </c>
      <c r="B8" s="1">
        <v>1</v>
      </c>
      <c r="C8" s="1" t="s">
        <v>17</v>
      </c>
      <c r="D8" s="1" t="s">
        <v>36</v>
      </c>
      <c r="E8" s="2" t="s">
        <v>37</v>
      </c>
      <c r="F8" s="3" t="s">
        <v>20</v>
      </c>
      <c r="G8" s="3" t="s">
        <v>450</v>
      </c>
      <c r="H8" s="3" t="s">
        <v>454</v>
      </c>
      <c r="I8" s="3" t="s">
        <v>453</v>
      </c>
      <c r="J8" s="3"/>
      <c r="K8" s="3"/>
      <c r="L8" s="3"/>
      <c r="M8" s="1" t="s">
        <v>39</v>
      </c>
      <c r="P8" s="1" t="s">
        <v>40</v>
      </c>
      <c r="Q8" s="1" t="str">
        <f t="shared" si="1"/>
        <v>*/correlationIdentifier</v>
      </c>
    </row>
    <row r="9" spans="1:18" ht="12" customHeight="1" outlineLevel="1" x14ac:dyDescent="0.25">
      <c r="A9" s="4" t="str">
        <f t="shared" si="0"/>
        <v>CC013C
CC015C</v>
      </c>
      <c r="B9" s="4">
        <v>1</v>
      </c>
      <c r="C9" s="4" t="s">
        <v>41</v>
      </c>
      <c r="D9" s="4" t="s">
        <v>18</v>
      </c>
      <c r="E9" s="5" t="s">
        <v>42</v>
      </c>
      <c r="F9" s="6"/>
      <c r="G9" s="6" t="s">
        <v>21</v>
      </c>
      <c r="H9" s="6"/>
      <c r="I9" s="6"/>
      <c r="J9" s="6"/>
      <c r="K9" s="6"/>
      <c r="L9" s="6"/>
      <c r="M9" s="4" t="s">
        <v>43</v>
      </c>
      <c r="N9" s="4"/>
      <c r="O9" s="4"/>
      <c r="Q9" s="1" t="str">
        <f t="shared" si="1"/>
        <v>*/TransitOperation</v>
      </c>
    </row>
    <row r="10" spans="1:18" ht="12" customHeight="1" outlineLevel="2" x14ac:dyDescent="0.25">
      <c r="A10" s="1" t="str">
        <f t="shared" si="0"/>
        <v>CC013C
CC015C</v>
      </c>
      <c r="B10" s="1">
        <v>2</v>
      </c>
      <c r="C10" s="1" t="s">
        <v>17</v>
      </c>
      <c r="D10" s="1" t="s">
        <v>36</v>
      </c>
      <c r="E10" s="7" t="s">
        <v>44</v>
      </c>
      <c r="F10" s="3" t="s">
        <v>45</v>
      </c>
      <c r="G10" s="3" t="s">
        <v>450</v>
      </c>
      <c r="H10" s="3"/>
      <c r="I10" s="3"/>
      <c r="J10" s="3"/>
      <c r="K10" s="3"/>
      <c r="L10" s="3" t="s">
        <v>524</v>
      </c>
      <c r="M10" s="1" t="s">
        <v>46</v>
      </c>
      <c r="P10" s="1" t="s">
        <v>47</v>
      </c>
      <c r="Q10" s="1" t="str">
        <f t="shared" si="1"/>
        <v>*/TransitOperation/LRN</v>
      </c>
    </row>
    <row r="11" spans="1:18" ht="12" customHeight="1" outlineLevel="2" x14ac:dyDescent="0.25">
      <c r="A11" s="1" t="str">
        <f t="shared" si="0"/>
        <v>CC013C
CC015C</v>
      </c>
      <c r="B11" s="1">
        <v>2</v>
      </c>
      <c r="C11" s="1" t="s">
        <v>17</v>
      </c>
      <c r="D11" s="1" t="s">
        <v>36</v>
      </c>
      <c r="E11" s="7" t="s">
        <v>48</v>
      </c>
      <c r="F11" s="3" t="s">
        <v>49</v>
      </c>
      <c r="G11" s="3" t="s">
        <v>38</v>
      </c>
      <c r="H11" s="3" t="s">
        <v>459</v>
      </c>
      <c r="I11" s="3"/>
      <c r="J11" s="3"/>
      <c r="K11" s="3"/>
      <c r="L11" s="3"/>
      <c r="M11" s="1" t="s">
        <v>50</v>
      </c>
      <c r="P11" s="1" t="s">
        <v>51</v>
      </c>
      <c r="Q11" s="1" t="str">
        <f t="shared" si="1"/>
        <v>*/TransitOperation/MRN</v>
      </c>
    </row>
    <row r="12" spans="1:18" ht="12" customHeight="1" outlineLevel="2" x14ac:dyDescent="0.25">
      <c r="A12" s="1" t="str">
        <f t="shared" si="0"/>
        <v>CC013C
CC015C</v>
      </c>
      <c r="B12" s="1">
        <v>2</v>
      </c>
      <c r="C12" s="1" t="s">
        <v>17</v>
      </c>
      <c r="D12" s="1" t="s">
        <v>18</v>
      </c>
      <c r="E12" s="7" t="s">
        <v>52</v>
      </c>
      <c r="F12" s="3" t="s">
        <v>53</v>
      </c>
      <c r="G12" s="3" t="s">
        <v>21</v>
      </c>
      <c r="H12" s="3"/>
      <c r="I12" s="3"/>
      <c r="J12" s="3" t="s">
        <v>461</v>
      </c>
      <c r="K12" s="3"/>
      <c r="L12" s="3" t="s">
        <v>460</v>
      </c>
      <c r="M12" s="1" t="s">
        <v>54</v>
      </c>
      <c r="P12" s="1" t="s">
        <v>55</v>
      </c>
      <c r="Q12" s="1" t="str">
        <f t="shared" si="1"/>
        <v>*/TransitOperation/declarationType</v>
      </c>
    </row>
    <row r="13" spans="1:18" ht="12" customHeight="1" outlineLevel="2" x14ac:dyDescent="0.25">
      <c r="A13" s="1" t="str">
        <f t="shared" si="0"/>
        <v>CC013C
CC015C</v>
      </c>
      <c r="B13" s="1">
        <v>2</v>
      </c>
      <c r="C13" s="1" t="s">
        <v>17</v>
      </c>
      <c r="D13" s="1" t="s">
        <v>18</v>
      </c>
      <c r="E13" s="7" t="s">
        <v>56</v>
      </c>
      <c r="F13" s="3" t="s">
        <v>57</v>
      </c>
      <c r="G13" s="3" t="s">
        <v>21</v>
      </c>
      <c r="H13" s="3"/>
      <c r="I13" s="3"/>
      <c r="J13" s="3" t="s">
        <v>462</v>
      </c>
      <c r="K13" s="3"/>
      <c r="L13" s="3" t="s">
        <v>463</v>
      </c>
      <c r="M13" s="1" t="s">
        <v>58</v>
      </c>
      <c r="P13" s="1" t="s">
        <v>59</v>
      </c>
      <c r="Q13" s="1" t="str">
        <f t="shared" si="1"/>
        <v>*/TransitOperation/additionalDeclarationType</v>
      </c>
    </row>
    <row r="14" spans="1:18" ht="12" customHeight="1" outlineLevel="2" x14ac:dyDescent="0.25">
      <c r="A14" s="1" t="str">
        <f t="shared" si="0"/>
        <v>CC013C
CC015C</v>
      </c>
      <c r="B14" s="1">
        <v>2</v>
      </c>
      <c r="C14" s="1" t="s">
        <v>17</v>
      </c>
      <c r="D14" s="1" t="s">
        <v>36</v>
      </c>
      <c r="E14" s="7" t="s">
        <v>60</v>
      </c>
      <c r="F14" s="3" t="s">
        <v>61</v>
      </c>
      <c r="G14" s="3" t="s">
        <v>450</v>
      </c>
      <c r="H14" s="3" t="s">
        <v>520</v>
      </c>
      <c r="I14" s="3" t="s">
        <v>519</v>
      </c>
      <c r="J14" s="3"/>
      <c r="K14" s="3"/>
      <c r="L14" s="3" t="s">
        <v>518</v>
      </c>
      <c r="M14" s="1" t="s">
        <v>62</v>
      </c>
      <c r="P14" s="1" t="s">
        <v>63</v>
      </c>
      <c r="Q14" s="1" t="str">
        <f t="shared" si="1"/>
        <v>*/TransitOperation/TIRCarnetNumber</v>
      </c>
    </row>
    <row r="15" spans="1:18" ht="12" customHeight="1" outlineLevel="2" x14ac:dyDescent="0.25">
      <c r="A15" s="1" t="str">
        <f t="shared" si="0"/>
        <v>CC013C
CC015C</v>
      </c>
      <c r="B15" s="1">
        <v>2</v>
      </c>
      <c r="C15" s="1" t="s">
        <v>17</v>
      </c>
      <c r="D15" s="1" t="s">
        <v>36</v>
      </c>
      <c r="E15" s="7" t="s">
        <v>64</v>
      </c>
      <c r="F15" s="3" t="s">
        <v>65</v>
      </c>
      <c r="G15" s="3" t="s">
        <v>38</v>
      </c>
      <c r="H15" s="3"/>
      <c r="I15" s="3"/>
      <c r="J15" s="3"/>
      <c r="K15" s="3"/>
      <c r="L15" s="3" t="s">
        <v>786</v>
      </c>
      <c r="M15" s="1" t="s">
        <v>66</v>
      </c>
      <c r="P15" s="1" t="s">
        <v>67</v>
      </c>
      <c r="Q15" s="1" t="str">
        <f t="shared" si="1"/>
        <v>*/TransitOperation/presentationOfTheGoodsDateAndTime</v>
      </c>
    </row>
    <row r="16" spans="1:18" ht="12" customHeight="1" outlineLevel="2" x14ac:dyDescent="0.25">
      <c r="A16" s="1" t="str">
        <f t="shared" si="0"/>
        <v>CC013C
CC015C</v>
      </c>
      <c r="B16" s="1">
        <v>2</v>
      </c>
      <c r="C16" s="1" t="s">
        <v>17</v>
      </c>
      <c r="D16" s="1" t="s">
        <v>18</v>
      </c>
      <c r="E16" s="7" t="s">
        <v>68</v>
      </c>
      <c r="F16" s="3" t="s">
        <v>69</v>
      </c>
      <c r="G16" s="3" t="s">
        <v>21</v>
      </c>
      <c r="H16" s="3"/>
      <c r="I16" s="3"/>
      <c r="J16" s="3" t="s">
        <v>471</v>
      </c>
      <c r="K16" s="3"/>
      <c r="L16" s="3" t="s">
        <v>470</v>
      </c>
      <c r="M16" s="1" t="s">
        <v>70</v>
      </c>
      <c r="P16" s="1" t="s">
        <v>71</v>
      </c>
      <c r="Q16" s="1" t="str">
        <f t="shared" si="1"/>
        <v>*/TransitOperation/security</v>
      </c>
    </row>
    <row r="17" spans="1:17" ht="12" customHeight="1" outlineLevel="2" x14ac:dyDescent="0.25">
      <c r="A17" s="1" t="str">
        <f t="shared" si="0"/>
        <v>CC013C
CC015C</v>
      </c>
      <c r="B17" s="1">
        <v>2</v>
      </c>
      <c r="C17" s="1" t="s">
        <v>17</v>
      </c>
      <c r="D17" s="1" t="s">
        <v>18</v>
      </c>
      <c r="E17" s="7" t="s">
        <v>72</v>
      </c>
      <c r="F17" s="3" t="s">
        <v>400</v>
      </c>
      <c r="G17" s="3" t="s">
        <v>21</v>
      </c>
      <c r="H17" s="3" t="s">
        <v>474</v>
      </c>
      <c r="I17" s="3"/>
      <c r="J17" s="3" t="s">
        <v>473</v>
      </c>
      <c r="K17" s="3"/>
      <c r="L17" s="3" t="s">
        <v>472</v>
      </c>
      <c r="M17" s="1" t="s">
        <v>73</v>
      </c>
      <c r="P17" s="1" t="s">
        <v>74</v>
      </c>
      <c r="Q17" s="1" t="str">
        <f t="shared" si="1"/>
        <v>*/TransitOperation/reducedDatasetIndicator</v>
      </c>
    </row>
    <row r="18" spans="1:17" ht="12" customHeight="1" outlineLevel="2" x14ac:dyDescent="0.25">
      <c r="A18" s="1" t="str">
        <f t="shared" si="0"/>
        <v>CC013C
CC015C</v>
      </c>
      <c r="B18" s="1">
        <v>2</v>
      </c>
      <c r="C18" s="1" t="s">
        <v>17</v>
      </c>
      <c r="D18" s="1" t="s">
        <v>36</v>
      </c>
      <c r="E18" s="7" t="s">
        <v>75</v>
      </c>
      <c r="F18" s="3" t="s">
        <v>76</v>
      </c>
      <c r="G18" s="3" t="s">
        <v>38</v>
      </c>
      <c r="H18" s="3"/>
      <c r="I18" s="3"/>
      <c r="J18" s="3" t="s">
        <v>469</v>
      </c>
      <c r="K18" s="3"/>
      <c r="L18" s="3" t="s">
        <v>468</v>
      </c>
      <c r="M18" s="1" t="s">
        <v>77</v>
      </c>
      <c r="P18" s="1" t="s">
        <v>78</v>
      </c>
      <c r="Q18" s="1" t="str">
        <f t="shared" si="1"/>
        <v>*/TransitOperation/specificCircumstanceIndicator</v>
      </c>
    </row>
    <row r="19" spans="1:17" ht="12" customHeight="1" outlineLevel="2" x14ac:dyDescent="0.25">
      <c r="A19" s="1" t="str">
        <f t="shared" si="0"/>
        <v>CC013C
CC015C</v>
      </c>
      <c r="B19" s="1">
        <v>2</v>
      </c>
      <c r="C19" s="1" t="s">
        <v>17</v>
      </c>
      <c r="D19" s="1" t="s">
        <v>36</v>
      </c>
      <c r="E19" s="7" t="s">
        <v>79</v>
      </c>
      <c r="F19" s="3" t="s">
        <v>80</v>
      </c>
      <c r="G19" s="3" t="s">
        <v>38</v>
      </c>
      <c r="H19" s="3" t="s">
        <v>456</v>
      </c>
      <c r="I19" s="3"/>
      <c r="J19" s="3" t="s">
        <v>455</v>
      </c>
      <c r="K19" s="3"/>
      <c r="L19" s="3"/>
      <c r="M19" s="1" t="s">
        <v>81</v>
      </c>
      <c r="P19" s="1" t="s">
        <v>82</v>
      </c>
      <c r="Q19" s="1" t="str">
        <f t="shared" si="1"/>
        <v>*/TransitOperation/communicationLanguageAtDeparture</v>
      </c>
    </row>
    <row r="20" spans="1:17" ht="12" customHeight="1" outlineLevel="2" x14ac:dyDescent="0.25">
      <c r="A20" s="1" t="str">
        <f t="shared" si="0"/>
        <v>CC013C
CC015C</v>
      </c>
      <c r="B20" s="1">
        <v>2</v>
      </c>
      <c r="C20" s="1" t="s">
        <v>17</v>
      </c>
      <c r="D20" s="1" t="s">
        <v>18</v>
      </c>
      <c r="E20" s="7" t="s">
        <v>83</v>
      </c>
      <c r="F20" s="3" t="s">
        <v>400</v>
      </c>
      <c r="G20" s="3" t="s">
        <v>21</v>
      </c>
      <c r="H20" s="3"/>
      <c r="I20" s="3"/>
      <c r="J20" s="3" t="s">
        <v>473</v>
      </c>
      <c r="K20" s="3"/>
      <c r="L20" s="3" t="s">
        <v>668</v>
      </c>
      <c r="M20" s="1" t="s">
        <v>84</v>
      </c>
      <c r="P20" s="1" t="s">
        <v>74</v>
      </c>
      <c r="Q20" s="1" t="str">
        <f t="shared" si="1"/>
        <v>*/TransitOperation/bindingItinerary</v>
      </c>
    </row>
    <row r="21" spans="1:17" ht="12" customHeight="1" outlineLevel="2" x14ac:dyDescent="0.25">
      <c r="A21" s="1" t="str">
        <f t="shared" si="0"/>
        <v>CC013C
CC015C</v>
      </c>
      <c r="B21" s="1">
        <v>2</v>
      </c>
      <c r="C21" s="1" t="s">
        <v>17</v>
      </c>
      <c r="D21" s="1" t="s">
        <v>18</v>
      </c>
      <c r="E21" s="7" t="s">
        <v>85</v>
      </c>
      <c r="F21" s="3"/>
      <c r="G21" s="3" t="s">
        <v>21</v>
      </c>
      <c r="H21" s="3"/>
      <c r="I21" s="3"/>
      <c r="J21" s="3"/>
      <c r="K21" s="3"/>
      <c r="L21" s="3"/>
      <c r="M21" s="1" t="s">
        <v>86</v>
      </c>
      <c r="P21" s="1" t="s">
        <v>74</v>
      </c>
      <c r="Q21" s="1" t="str">
        <f t="shared" si="1"/>
        <v>*/TransitOperation/amendmentTypeFlag</v>
      </c>
    </row>
    <row r="22" spans="1:17" ht="12" customHeight="1" outlineLevel="2" x14ac:dyDescent="0.25">
      <c r="A22" s="1" t="str">
        <f t="shared" si="0"/>
        <v>CC013C
CC015C</v>
      </c>
      <c r="B22" s="1">
        <v>2</v>
      </c>
      <c r="C22" s="1" t="s">
        <v>17</v>
      </c>
      <c r="D22" s="1" t="s">
        <v>36</v>
      </c>
      <c r="E22" s="7" t="s">
        <v>87</v>
      </c>
      <c r="F22" s="3" t="s">
        <v>88</v>
      </c>
      <c r="G22" s="3" t="s">
        <v>450</v>
      </c>
      <c r="H22" s="3" t="s">
        <v>458</v>
      </c>
      <c r="I22" s="3" t="s">
        <v>457</v>
      </c>
      <c r="J22" s="3"/>
      <c r="K22" s="3"/>
      <c r="L22" s="3"/>
      <c r="M22" s="1" t="s">
        <v>89</v>
      </c>
      <c r="P22" s="1" t="s">
        <v>90</v>
      </c>
      <c r="Q22" s="1" t="str">
        <f t="shared" si="1"/>
        <v>*/TransitOperation/limitDate</v>
      </c>
    </row>
    <row r="23" spans="1:17" ht="12" customHeight="1" outlineLevel="1" x14ac:dyDescent="0.25">
      <c r="A23" s="4" t="str">
        <f t="shared" si="0"/>
        <v>CC013C
CC015C</v>
      </c>
      <c r="B23" s="4">
        <v>1</v>
      </c>
      <c r="C23" s="4" t="s">
        <v>41</v>
      </c>
      <c r="D23" s="4" t="s">
        <v>91</v>
      </c>
      <c r="E23" s="5" t="s">
        <v>92</v>
      </c>
      <c r="F23" s="6"/>
      <c r="G23" s="6" t="s">
        <v>450</v>
      </c>
      <c r="H23" s="6" t="s">
        <v>529</v>
      </c>
      <c r="I23" s="6" t="s">
        <v>528</v>
      </c>
      <c r="J23" s="6"/>
      <c r="K23" s="6"/>
      <c r="L23" s="6" t="s">
        <v>525</v>
      </c>
      <c r="M23" s="4" t="s">
        <v>92</v>
      </c>
      <c r="N23" s="4"/>
      <c r="O23" s="4"/>
      <c r="Q23" s="1" t="str">
        <f t="shared" si="1"/>
        <v>*/Authorisation[0]</v>
      </c>
    </row>
    <row r="24" spans="1:17" ht="12" customHeight="1" outlineLevel="2" x14ac:dyDescent="0.25">
      <c r="A24" s="1" t="str">
        <f t="shared" si="0"/>
        <v>CC013C
CC015C</v>
      </c>
      <c r="B24" s="1">
        <v>2</v>
      </c>
      <c r="C24" s="1" t="s">
        <v>17</v>
      </c>
      <c r="D24" s="1" t="s">
        <v>18</v>
      </c>
      <c r="E24" s="7" t="s">
        <v>93</v>
      </c>
      <c r="F24" s="3" t="s">
        <v>530</v>
      </c>
      <c r="G24" s="3" t="s">
        <v>21</v>
      </c>
      <c r="H24" s="3" t="s">
        <v>475</v>
      </c>
      <c r="I24" s="3"/>
      <c r="J24" s="3"/>
      <c r="K24" s="3"/>
      <c r="L24" s="3"/>
      <c r="M24" s="1" t="s">
        <v>95</v>
      </c>
      <c r="P24" s="1" t="s">
        <v>96</v>
      </c>
      <c r="Q24" s="1" t="str">
        <f t="shared" si="1"/>
        <v>*/Authorisation[0]/sequenceNumber</v>
      </c>
    </row>
    <row r="25" spans="1:17" ht="12" customHeight="1" outlineLevel="2" x14ac:dyDescent="0.25">
      <c r="A25" s="1" t="str">
        <f t="shared" si="0"/>
        <v>CC013C
CC015C</v>
      </c>
      <c r="B25" s="1">
        <v>2</v>
      </c>
      <c r="C25" s="1" t="s">
        <v>17</v>
      </c>
      <c r="D25" s="1" t="s">
        <v>18</v>
      </c>
      <c r="E25" s="7" t="s">
        <v>2</v>
      </c>
      <c r="F25" s="3" t="s">
        <v>97</v>
      </c>
      <c r="G25" s="3" t="s">
        <v>21</v>
      </c>
      <c r="H25" s="3" t="s">
        <v>533</v>
      </c>
      <c r="I25" s="3"/>
      <c r="J25" s="3" t="s">
        <v>531</v>
      </c>
      <c r="K25" s="3"/>
      <c r="L25" s="3" t="s">
        <v>526</v>
      </c>
      <c r="M25" s="1" t="s">
        <v>98</v>
      </c>
      <c r="P25" s="1" t="s">
        <v>99</v>
      </c>
      <c r="Q25" s="1" t="str">
        <f t="shared" si="1"/>
        <v>*/Authorisation[0]/type</v>
      </c>
    </row>
    <row r="26" spans="1:17" ht="12" customHeight="1" outlineLevel="2" x14ac:dyDescent="0.25">
      <c r="A26" s="1" t="str">
        <f t="shared" si="0"/>
        <v>CC013C
CC015C</v>
      </c>
      <c r="B26" s="1">
        <v>2</v>
      </c>
      <c r="C26" s="1" t="s">
        <v>17</v>
      </c>
      <c r="D26" s="1" t="s">
        <v>18</v>
      </c>
      <c r="E26" s="7" t="s">
        <v>100</v>
      </c>
      <c r="F26" s="3" t="s">
        <v>101</v>
      </c>
      <c r="G26" s="3" t="s">
        <v>21</v>
      </c>
      <c r="H26" s="3" t="s">
        <v>532</v>
      </c>
      <c r="I26" s="3"/>
      <c r="J26" s="3"/>
      <c r="K26" s="3"/>
      <c r="L26" s="3" t="s">
        <v>527</v>
      </c>
      <c r="M26" s="1" t="s">
        <v>102</v>
      </c>
      <c r="P26" s="1" t="s">
        <v>103</v>
      </c>
      <c r="Q26" s="1" t="str">
        <f t="shared" si="1"/>
        <v>*/Authorisation[0]/referenceNumber</v>
      </c>
    </row>
    <row r="27" spans="1:17" ht="12" customHeight="1" outlineLevel="1" x14ac:dyDescent="0.25">
      <c r="A27" s="4" t="str">
        <f t="shared" si="0"/>
        <v>CC013C
CC015C</v>
      </c>
      <c r="B27" s="4">
        <v>1</v>
      </c>
      <c r="C27" s="4" t="s">
        <v>41</v>
      </c>
      <c r="D27" s="4" t="s">
        <v>18</v>
      </c>
      <c r="E27" s="5" t="s">
        <v>104</v>
      </c>
      <c r="F27" s="6"/>
      <c r="G27" s="6" t="s">
        <v>21</v>
      </c>
      <c r="H27" s="6"/>
      <c r="I27" s="6"/>
      <c r="J27" s="6"/>
      <c r="K27" s="6"/>
      <c r="L27" s="6" t="s">
        <v>669</v>
      </c>
      <c r="M27" s="4" t="s">
        <v>105</v>
      </c>
      <c r="N27" s="4"/>
      <c r="O27" s="4"/>
      <c r="Q27" s="1" t="str">
        <f t="shared" si="1"/>
        <v>*/CustomsOfficeOfDeparture</v>
      </c>
    </row>
    <row r="28" spans="1:17" ht="12" customHeight="1" outlineLevel="2" x14ac:dyDescent="0.25">
      <c r="A28" s="1" t="str">
        <f t="shared" si="0"/>
        <v>CC013C
CC015C</v>
      </c>
      <c r="B28" s="1">
        <v>2</v>
      </c>
      <c r="C28" s="1" t="s">
        <v>17</v>
      </c>
      <c r="D28" s="1" t="s">
        <v>18</v>
      </c>
      <c r="E28" s="7" t="s">
        <v>100</v>
      </c>
      <c r="F28" s="3" t="s">
        <v>106</v>
      </c>
      <c r="G28" s="3" t="s">
        <v>21</v>
      </c>
      <c r="H28" s="3" t="s">
        <v>671</v>
      </c>
      <c r="I28" s="3"/>
      <c r="J28" s="3" t="s">
        <v>645</v>
      </c>
      <c r="K28" s="3"/>
      <c r="L28" s="3" t="s">
        <v>670</v>
      </c>
      <c r="M28" s="1" t="s">
        <v>102</v>
      </c>
      <c r="P28" s="1" t="s">
        <v>107</v>
      </c>
      <c r="Q28" s="1" t="str">
        <f t="shared" si="1"/>
        <v>*/CustomsOfficeOfDeparture/referenceNumber</v>
      </c>
    </row>
    <row r="29" spans="1:17" ht="12" customHeight="1" outlineLevel="1" x14ac:dyDescent="0.25">
      <c r="A29" s="4" t="str">
        <f t="shared" si="0"/>
        <v>CC013C
CC015C</v>
      </c>
      <c r="B29" s="4">
        <v>1</v>
      </c>
      <c r="C29" s="4" t="s">
        <v>41</v>
      </c>
      <c r="D29" s="4" t="s">
        <v>18</v>
      </c>
      <c r="E29" s="5" t="s">
        <v>108</v>
      </c>
      <c r="F29" s="6"/>
      <c r="G29" s="6" t="s">
        <v>21</v>
      </c>
      <c r="H29" s="6"/>
      <c r="I29" s="6"/>
      <c r="J29" s="6"/>
      <c r="K29" s="6"/>
      <c r="L29" s="6" t="s">
        <v>677</v>
      </c>
      <c r="M29" s="4" t="s">
        <v>109</v>
      </c>
      <c r="N29" s="4"/>
      <c r="O29" s="4"/>
      <c r="Q29" s="1" t="str">
        <f t="shared" si="1"/>
        <v>*/CustomsOfficeOfDestinationDeclared</v>
      </c>
    </row>
    <row r="30" spans="1:17" ht="12" customHeight="1" outlineLevel="2" x14ac:dyDescent="0.25">
      <c r="A30" s="1" t="str">
        <f t="shared" si="0"/>
        <v>CC013C
CC015C</v>
      </c>
      <c r="B30" s="1">
        <v>2</v>
      </c>
      <c r="C30" s="1" t="s">
        <v>17</v>
      </c>
      <c r="D30" s="1" t="s">
        <v>18</v>
      </c>
      <c r="E30" s="7" t="s">
        <v>100</v>
      </c>
      <c r="F30" s="3" t="s">
        <v>106</v>
      </c>
      <c r="G30" s="3" t="s">
        <v>21</v>
      </c>
      <c r="H30" s="3" t="s">
        <v>680</v>
      </c>
      <c r="I30" s="3"/>
      <c r="J30" s="3" t="s">
        <v>679</v>
      </c>
      <c r="K30" s="3"/>
      <c r="L30" s="3" t="s">
        <v>678</v>
      </c>
      <c r="M30" s="1" t="s">
        <v>102</v>
      </c>
      <c r="P30" s="1" t="s">
        <v>107</v>
      </c>
      <c r="Q30" s="1" t="str">
        <f t="shared" si="1"/>
        <v>*/CustomsOfficeOfDestinationDeclared/referenceNumber</v>
      </c>
    </row>
    <row r="31" spans="1:17" ht="12" customHeight="1" outlineLevel="1" x14ac:dyDescent="0.25">
      <c r="A31" s="4" t="str">
        <f t="shared" si="0"/>
        <v>CC013C
CC015C</v>
      </c>
      <c r="B31" s="4">
        <v>1</v>
      </c>
      <c r="C31" s="4" t="s">
        <v>41</v>
      </c>
      <c r="D31" s="4" t="s">
        <v>91</v>
      </c>
      <c r="E31" s="5" t="s">
        <v>110</v>
      </c>
      <c r="F31" s="6"/>
      <c r="G31" s="6" t="s">
        <v>450</v>
      </c>
      <c r="H31" s="6"/>
      <c r="I31" s="6" t="s">
        <v>673</v>
      </c>
      <c r="J31" s="6"/>
      <c r="K31" s="6"/>
      <c r="L31" s="6" t="s">
        <v>672</v>
      </c>
      <c r="M31" s="4" t="s">
        <v>111</v>
      </c>
      <c r="N31" s="4"/>
      <c r="O31" s="4"/>
      <c r="Q31" s="1" t="str">
        <f t="shared" si="1"/>
        <v>*/CustomsOfficeOfTransitDeclared[0]</v>
      </c>
    </row>
    <row r="32" spans="1:17" ht="12" customHeight="1" outlineLevel="2" x14ac:dyDescent="0.25">
      <c r="A32" s="1" t="str">
        <f t="shared" si="0"/>
        <v>CC013C
CC015C</v>
      </c>
      <c r="B32" s="1">
        <v>2</v>
      </c>
      <c r="C32" s="1" t="s">
        <v>17</v>
      </c>
      <c r="D32" s="1" t="s">
        <v>18</v>
      </c>
      <c r="E32" s="7" t="s">
        <v>93</v>
      </c>
      <c r="F32" s="3" t="s">
        <v>530</v>
      </c>
      <c r="G32" s="3" t="s">
        <v>21</v>
      </c>
      <c r="H32" s="3" t="s">
        <v>475</v>
      </c>
      <c r="I32" s="3"/>
      <c r="J32" s="3"/>
      <c r="K32" s="3"/>
      <c r="L32" s="3"/>
      <c r="M32" s="1" t="s">
        <v>95</v>
      </c>
      <c r="P32" s="1" t="s">
        <v>96</v>
      </c>
      <c r="Q32" s="1" t="str">
        <f t="shared" si="1"/>
        <v>*/CustomsOfficeOfTransitDeclared[0]/sequenceNumber</v>
      </c>
    </row>
    <row r="33" spans="1:17" ht="12" customHeight="1" outlineLevel="2" x14ac:dyDescent="0.25">
      <c r="A33" s="1" t="str">
        <f t="shared" si="0"/>
        <v>CC013C
CC015C</v>
      </c>
      <c r="B33" s="1">
        <v>2</v>
      </c>
      <c r="C33" s="1" t="s">
        <v>17</v>
      </c>
      <c r="D33" s="1" t="s">
        <v>18</v>
      </c>
      <c r="E33" s="7" t="s">
        <v>100</v>
      </c>
      <c r="F33" s="3" t="s">
        <v>106</v>
      </c>
      <c r="G33" s="3" t="s">
        <v>21</v>
      </c>
      <c r="H33" s="3" t="s">
        <v>676</v>
      </c>
      <c r="I33" s="3"/>
      <c r="J33" s="3" t="s">
        <v>674</v>
      </c>
      <c r="K33" s="3"/>
      <c r="L33" s="3" t="s">
        <v>675</v>
      </c>
      <c r="M33" s="1" t="s">
        <v>102</v>
      </c>
      <c r="P33" s="1" t="s">
        <v>107</v>
      </c>
      <c r="Q33" s="1" t="str">
        <f t="shared" si="1"/>
        <v>*/CustomsOfficeOfTransitDeclared[0]/referenceNumber</v>
      </c>
    </row>
    <row r="34" spans="1:17" ht="12" customHeight="1" outlineLevel="2" x14ac:dyDescent="0.25">
      <c r="A34" s="1" t="str">
        <f t="shared" si="0"/>
        <v>CC013C
CC015C</v>
      </c>
      <c r="B34" s="1">
        <v>2</v>
      </c>
      <c r="C34" s="1" t="s">
        <v>17</v>
      </c>
      <c r="D34" s="1" t="s">
        <v>36</v>
      </c>
      <c r="E34" s="7" t="s">
        <v>112</v>
      </c>
      <c r="F34" s="3" t="s">
        <v>65</v>
      </c>
      <c r="G34" s="3" t="s">
        <v>38</v>
      </c>
      <c r="H34" s="3"/>
      <c r="I34" s="3"/>
      <c r="J34" s="3"/>
      <c r="K34" s="3"/>
      <c r="L34" s="3"/>
      <c r="M34" s="1" t="s">
        <v>113</v>
      </c>
      <c r="P34" s="1" t="s">
        <v>114</v>
      </c>
      <c r="Q34" s="1" t="str">
        <f t="shared" si="1"/>
        <v>*/CustomsOfficeOfTransitDeclared[0]/arrivalDateAndTimeEstimated</v>
      </c>
    </row>
    <row r="35" spans="1:17" ht="12" customHeight="1" outlineLevel="1" x14ac:dyDescent="0.25">
      <c r="A35" s="4" t="str">
        <f t="shared" si="0"/>
        <v>CC013C
CC015C</v>
      </c>
      <c r="B35" s="4">
        <v>1</v>
      </c>
      <c r="C35" s="4" t="s">
        <v>41</v>
      </c>
      <c r="D35" s="4" t="s">
        <v>91</v>
      </c>
      <c r="E35" s="5" t="s">
        <v>115</v>
      </c>
      <c r="F35" s="6"/>
      <c r="G35" s="6" t="s">
        <v>450</v>
      </c>
      <c r="H35" s="6" t="s">
        <v>686</v>
      </c>
      <c r="I35" s="6" t="s">
        <v>685</v>
      </c>
      <c r="J35" s="6"/>
      <c r="K35" s="6"/>
      <c r="L35" s="6" t="s">
        <v>681</v>
      </c>
      <c r="M35" s="4" t="s">
        <v>116</v>
      </c>
      <c r="N35" s="4"/>
      <c r="O35" s="4"/>
      <c r="Q35" s="1" t="str">
        <f t="shared" si="1"/>
        <v>*/CustomsOfficeOfExitForTransitDeclared[0]</v>
      </c>
    </row>
    <row r="36" spans="1:17" ht="12" customHeight="1" outlineLevel="2" x14ac:dyDescent="0.25">
      <c r="A36" s="1" t="str">
        <f t="shared" si="0"/>
        <v>CC013C
CC015C</v>
      </c>
      <c r="B36" s="1">
        <v>2</v>
      </c>
      <c r="C36" s="1" t="s">
        <v>17</v>
      </c>
      <c r="D36" s="1" t="s">
        <v>18</v>
      </c>
      <c r="E36" s="7" t="s">
        <v>93</v>
      </c>
      <c r="F36" s="3" t="s">
        <v>530</v>
      </c>
      <c r="G36" s="3" t="s">
        <v>21</v>
      </c>
      <c r="H36" s="3" t="s">
        <v>475</v>
      </c>
      <c r="I36" s="3"/>
      <c r="J36" s="3"/>
      <c r="K36" s="3"/>
      <c r="L36" s="3"/>
      <c r="M36" s="1" t="s">
        <v>95</v>
      </c>
      <c r="P36" s="1" t="s">
        <v>96</v>
      </c>
      <c r="Q36" s="1" t="str">
        <f t="shared" si="1"/>
        <v>*/CustomsOfficeOfExitForTransitDeclared[0]/sequenceNumber</v>
      </c>
    </row>
    <row r="37" spans="1:17" ht="12" customHeight="1" outlineLevel="2" x14ac:dyDescent="0.25">
      <c r="A37" s="1" t="str">
        <f t="shared" si="0"/>
        <v>CC013C
CC015C</v>
      </c>
      <c r="B37" s="1">
        <v>2</v>
      </c>
      <c r="C37" s="1" t="s">
        <v>17</v>
      </c>
      <c r="D37" s="1" t="s">
        <v>18</v>
      </c>
      <c r="E37" s="7" t="s">
        <v>100</v>
      </c>
      <c r="F37" s="3" t="s">
        <v>106</v>
      </c>
      <c r="G37" s="3" t="s">
        <v>21</v>
      </c>
      <c r="H37" s="3" t="s">
        <v>684</v>
      </c>
      <c r="I37" s="3"/>
      <c r="J37" s="3" t="s">
        <v>683</v>
      </c>
      <c r="K37" s="3"/>
      <c r="L37" s="3" t="s">
        <v>682</v>
      </c>
      <c r="M37" s="1" t="s">
        <v>102</v>
      </c>
      <c r="P37" s="1" t="s">
        <v>107</v>
      </c>
      <c r="Q37" s="1" t="str">
        <f t="shared" si="1"/>
        <v>*/CustomsOfficeOfExitForTransitDeclared[0]/referenceNumber</v>
      </c>
    </row>
    <row r="38" spans="1:17" ht="12" customHeight="1" outlineLevel="1" x14ac:dyDescent="0.25">
      <c r="A38" s="4" t="str">
        <f t="shared" si="0"/>
        <v>CC013C
CC015C</v>
      </c>
      <c r="B38" s="4">
        <v>1</v>
      </c>
      <c r="C38" s="4" t="s">
        <v>41</v>
      </c>
      <c r="D38" s="4" t="s">
        <v>18</v>
      </c>
      <c r="E38" s="5" t="s">
        <v>117</v>
      </c>
      <c r="F38" s="6"/>
      <c r="G38" s="6" t="s">
        <v>21</v>
      </c>
      <c r="H38" s="6"/>
      <c r="I38" s="6"/>
      <c r="J38" s="6"/>
      <c r="K38" s="6"/>
      <c r="L38" s="6" t="s">
        <v>573</v>
      </c>
      <c r="M38" s="4" t="s">
        <v>118</v>
      </c>
      <c r="N38" s="4"/>
      <c r="O38" s="4"/>
      <c r="Q38" s="1" t="str">
        <f t="shared" si="1"/>
        <v>*/HolderOfTheTransitProcedure</v>
      </c>
    </row>
    <row r="39" spans="1:17" ht="12" customHeight="1" outlineLevel="2" x14ac:dyDescent="0.25">
      <c r="A39" s="1" t="str">
        <f t="shared" si="0"/>
        <v>CC013C
CC015C</v>
      </c>
      <c r="B39" s="1">
        <v>2</v>
      </c>
      <c r="C39" s="1" t="s">
        <v>17</v>
      </c>
      <c r="D39" s="1" t="s">
        <v>36</v>
      </c>
      <c r="E39" s="7" t="s">
        <v>119</v>
      </c>
      <c r="F39" s="3" t="s">
        <v>120</v>
      </c>
      <c r="G39" s="3" t="s">
        <v>38</v>
      </c>
      <c r="H39" s="3" t="s">
        <v>575</v>
      </c>
      <c r="I39" s="3"/>
      <c r="J39" s="3"/>
      <c r="K39" s="3"/>
      <c r="L39" s="3" t="s">
        <v>574</v>
      </c>
      <c r="M39" s="1" t="s">
        <v>121</v>
      </c>
      <c r="P39" s="1" t="s">
        <v>122</v>
      </c>
      <c r="Q39" s="1" t="str">
        <f t="shared" si="1"/>
        <v>*/HolderOfTheTransitProcedure/identificationNumber</v>
      </c>
    </row>
    <row r="40" spans="1:17" ht="12" customHeight="1" outlineLevel="2" x14ac:dyDescent="0.25">
      <c r="A40" s="1" t="str">
        <f t="shared" si="0"/>
        <v>CC013C
CC015C</v>
      </c>
      <c r="B40" s="1">
        <v>2</v>
      </c>
      <c r="C40" s="1" t="s">
        <v>17</v>
      </c>
      <c r="D40" s="1" t="s">
        <v>36</v>
      </c>
      <c r="E40" s="7" t="s">
        <v>123</v>
      </c>
      <c r="F40" s="3" t="s">
        <v>120</v>
      </c>
      <c r="G40" s="3" t="s">
        <v>450</v>
      </c>
      <c r="H40" s="3" t="s">
        <v>458</v>
      </c>
      <c r="I40" s="3" t="s">
        <v>578</v>
      </c>
      <c r="J40" s="3"/>
      <c r="K40" s="3"/>
      <c r="L40" s="3" t="s">
        <v>576</v>
      </c>
      <c r="M40" s="1" t="s">
        <v>124</v>
      </c>
      <c r="P40" s="1" t="s">
        <v>125</v>
      </c>
      <c r="Q40" s="1" t="str">
        <f t="shared" si="1"/>
        <v>*/HolderOfTheTransitProcedure/TIRHolderIdentificationNumber</v>
      </c>
    </row>
    <row r="41" spans="1:17" ht="12" customHeight="1" outlineLevel="2" x14ac:dyDescent="0.25">
      <c r="A41" s="1" t="str">
        <f t="shared" si="0"/>
        <v>CC013C
CC015C</v>
      </c>
      <c r="B41" s="1">
        <v>2</v>
      </c>
      <c r="C41" s="1" t="s">
        <v>17</v>
      </c>
      <c r="D41" s="1" t="s">
        <v>36</v>
      </c>
      <c r="E41" s="7" t="s">
        <v>4</v>
      </c>
      <c r="F41" s="3" t="s">
        <v>126</v>
      </c>
      <c r="G41" s="3" t="s">
        <v>450</v>
      </c>
      <c r="H41" s="3"/>
      <c r="I41" s="3" t="s">
        <v>541</v>
      </c>
      <c r="J41" s="3"/>
      <c r="K41" s="3"/>
      <c r="L41" s="3" t="s">
        <v>577</v>
      </c>
      <c r="M41" s="1" t="s">
        <v>127</v>
      </c>
      <c r="P41" s="1" t="s">
        <v>128</v>
      </c>
      <c r="Q41" s="1" t="str">
        <f t="shared" si="1"/>
        <v>*/HolderOfTheTransitProcedure/name</v>
      </c>
    </row>
    <row r="42" spans="1:17" ht="12" customHeight="1" outlineLevel="2" x14ac:dyDescent="0.25">
      <c r="A42" s="4" t="str">
        <f t="shared" si="0"/>
        <v>CC013C
CC015C</v>
      </c>
      <c r="B42" s="4">
        <v>2</v>
      </c>
      <c r="C42" s="4" t="s">
        <v>41</v>
      </c>
      <c r="D42" s="4" t="s">
        <v>36</v>
      </c>
      <c r="E42" s="8" t="s">
        <v>129</v>
      </c>
      <c r="F42" s="6"/>
      <c r="G42" s="6" t="s">
        <v>450</v>
      </c>
      <c r="H42" s="6"/>
      <c r="I42" s="6" t="s">
        <v>541</v>
      </c>
      <c r="J42" s="6"/>
      <c r="K42" s="6"/>
      <c r="L42" s="6" t="s">
        <v>579</v>
      </c>
      <c r="M42" s="4" t="s">
        <v>129</v>
      </c>
      <c r="N42" s="4"/>
      <c r="O42" s="4"/>
      <c r="Q42" s="1" t="str">
        <f t="shared" si="1"/>
        <v>*/HolderOfTheTransitProcedure/Address</v>
      </c>
    </row>
    <row r="43" spans="1:17" ht="12" customHeight="1" outlineLevel="3" x14ac:dyDescent="0.25">
      <c r="A43" s="1" t="str">
        <f t="shared" si="0"/>
        <v>CC013C
CC015C</v>
      </c>
      <c r="B43" s="1">
        <v>3</v>
      </c>
      <c r="C43" s="1" t="s">
        <v>17</v>
      </c>
      <c r="D43" s="1" t="s">
        <v>18</v>
      </c>
      <c r="E43" s="9" t="s">
        <v>130</v>
      </c>
      <c r="F43" s="3" t="s">
        <v>126</v>
      </c>
      <c r="G43" s="3" t="s">
        <v>21</v>
      </c>
      <c r="H43" s="3"/>
      <c r="I43" s="3"/>
      <c r="J43" s="3"/>
      <c r="K43" s="3"/>
      <c r="L43" s="3" t="s">
        <v>580</v>
      </c>
      <c r="M43" s="1" t="s">
        <v>131</v>
      </c>
      <c r="P43" s="1" t="s">
        <v>132</v>
      </c>
      <c r="Q43" s="1" t="str">
        <f t="shared" si="1"/>
        <v>*/HolderOfTheTransitProcedure/Address/streetAndNumber</v>
      </c>
    </row>
    <row r="44" spans="1:17" ht="12" customHeight="1" outlineLevel="3" x14ac:dyDescent="0.25">
      <c r="A44" s="1" t="str">
        <f t="shared" si="0"/>
        <v>CC013C
CC015C</v>
      </c>
      <c r="B44" s="1">
        <v>3</v>
      </c>
      <c r="C44" s="1" t="s">
        <v>17</v>
      </c>
      <c r="D44" s="1" t="s">
        <v>36</v>
      </c>
      <c r="E44" s="9" t="s">
        <v>133</v>
      </c>
      <c r="F44" s="3" t="s">
        <v>120</v>
      </c>
      <c r="G44" s="3" t="s">
        <v>450</v>
      </c>
      <c r="H44" s="3"/>
      <c r="I44" s="3" t="s">
        <v>544</v>
      </c>
      <c r="J44" s="3"/>
      <c r="K44" s="3"/>
      <c r="L44" s="3" t="s">
        <v>581</v>
      </c>
      <c r="M44" s="1" t="s">
        <v>134</v>
      </c>
      <c r="P44" s="1" t="s">
        <v>135</v>
      </c>
      <c r="Q44" s="1" t="str">
        <f t="shared" si="1"/>
        <v>*/HolderOfTheTransitProcedure/Address/postcode</v>
      </c>
    </row>
    <row r="45" spans="1:17" ht="12" customHeight="1" outlineLevel="3" x14ac:dyDescent="0.25">
      <c r="A45" s="1" t="str">
        <f t="shared" si="0"/>
        <v>CC013C
CC015C</v>
      </c>
      <c r="B45" s="1">
        <v>3</v>
      </c>
      <c r="C45" s="1" t="s">
        <v>17</v>
      </c>
      <c r="D45" s="1" t="s">
        <v>18</v>
      </c>
      <c r="E45" s="9" t="s">
        <v>136</v>
      </c>
      <c r="F45" s="3" t="s">
        <v>101</v>
      </c>
      <c r="G45" s="3" t="s">
        <v>21</v>
      </c>
      <c r="H45" s="3"/>
      <c r="I45" s="3"/>
      <c r="J45" s="3"/>
      <c r="K45" s="3"/>
      <c r="L45" s="3" t="s">
        <v>582</v>
      </c>
      <c r="M45" s="1" t="s">
        <v>137</v>
      </c>
      <c r="P45" s="1" t="s">
        <v>138</v>
      </c>
      <c r="Q45" s="1" t="str">
        <f t="shared" si="1"/>
        <v>*/HolderOfTheTransitProcedure/Address/city</v>
      </c>
    </row>
    <row r="46" spans="1:17" ht="12" customHeight="1" outlineLevel="3" x14ac:dyDescent="0.25">
      <c r="A46" s="1" t="str">
        <f t="shared" si="0"/>
        <v>CC013C
CC015C</v>
      </c>
      <c r="B46" s="1">
        <v>3</v>
      </c>
      <c r="C46" s="1" t="s">
        <v>17</v>
      </c>
      <c r="D46" s="1" t="s">
        <v>18</v>
      </c>
      <c r="E46" s="9" t="s">
        <v>139</v>
      </c>
      <c r="F46" s="3" t="s">
        <v>140</v>
      </c>
      <c r="G46" s="3" t="s">
        <v>21</v>
      </c>
      <c r="H46" s="3"/>
      <c r="I46" s="3"/>
      <c r="J46" s="3" t="s">
        <v>547</v>
      </c>
      <c r="K46" s="3"/>
      <c r="L46" s="3" t="s">
        <v>583</v>
      </c>
      <c r="M46" s="1" t="s">
        <v>141</v>
      </c>
      <c r="P46" s="1" t="s">
        <v>142</v>
      </c>
      <c r="Q46" s="1" t="str">
        <f t="shared" si="1"/>
        <v>*/HolderOfTheTransitProcedure/Address/country</v>
      </c>
    </row>
    <row r="47" spans="1:17" ht="12" customHeight="1" outlineLevel="2" x14ac:dyDescent="0.25">
      <c r="A47" s="4" t="str">
        <f t="shared" si="0"/>
        <v>CC013C
CC015C</v>
      </c>
      <c r="B47" s="4">
        <v>2</v>
      </c>
      <c r="C47" s="4" t="s">
        <v>41</v>
      </c>
      <c r="D47" s="4" t="s">
        <v>36</v>
      </c>
      <c r="E47" s="8" t="s">
        <v>143</v>
      </c>
      <c r="F47" s="6"/>
      <c r="G47" s="6" t="s">
        <v>38</v>
      </c>
      <c r="H47" s="6" t="s">
        <v>549</v>
      </c>
      <c r="I47" s="6"/>
      <c r="J47" s="6"/>
      <c r="K47" s="6"/>
      <c r="L47" s="6" t="s">
        <v>584</v>
      </c>
      <c r="M47" s="4" t="s">
        <v>144</v>
      </c>
      <c r="N47" s="4"/>
      <c r="O47" s="4"/>
      <c r="Q47" s="1" t="str">
        <f t="shared" si="1"/>
        <v>*/HolderOfTheTransitProcedure/ContactPerson</v>
      </c>
    </row>
    <row r="48" spans="1:17" ht="12" customHeight="1" outlineLevel="3" x14ac:dyDescent="0.25">
      <c r="A48" s="1" t="str">
        <f t="shared" si="0"/>
        <v>CC013C
CC015C</v>
      </c>
      <c r="B48" s="1">
        <v>3</v>
      </c>
      <c r="C48" s="1" t="s">
        <v>17</v>
      </c>
      <c r="D48" s="1" t="s">
        <v>18</v>
      </c>
      <c r="E48" s="9" t="s">
        <v>4</v>
      </c>
      <c r="F48" s="3" t="s">
        <v>126</v>
      </c>
      <c r="G48" s="3" t="s">
        <v>21</v>
      </c>
      <c r="H48" s="3"/>
      <c r="I48" s="3"/>
      <c r="J48" s="3"/>
      <c r="K48" s="3"/>
      <c r="L48" s="3" t="s">
        <v>585</v>
      </c>
      <c r="M48" s="1" t="s">
        <v>127</v>
      </c>
      <c r="P48" s="1" t="s">
        <v>128</v>
      </c>
      <c r="Q48" s="1" t="str">
        <f t="shared" si="1"/>
        <v>*/HolderOfTheTransitProcedure/ContactPerson/name</v>
      </c>
    </row>
    <row r="49" spans="1:17" ht="12" customHeight="1" outlineLevel="3" x14ac:dyDescent="0.25">
      <c r="A49" s="1" t="str">
        <f t="shared" si="0"/>
        <v>CC013C
CC015C</v>
      </c>
      <c r="B49" s="1">
        <v>3</v>
      </c>
      <c r="C49" s="1" t="s">
        <v>17</v>
      </c>
      <c r="D49" s="1" t="s">
        <v>18</v>
      </c>
      <c r="E49" s="9" t="s">
        <v>145</v>
      </c>
      <c r="F49" s="3" t="s">
        <v>20</v>
      </c>
      <c r="G49" s="3" t="s">
        <v>21</v>
      </c>
      <c r="H49" s="3"/>
      <c r="I49" s="3"/>
      <c r="J49" s="3"/>
      <c r="K49" s="3"/>
      <c r="L49" s="3" t="s">
        <v>586</v>
      </c>
      <c r="M49" s="1" t="s">
        <v>146</v>
      </c>
      <c r="P49" s="1" t="s">
        <v>147</v>
      </c>
      <c r="Q49" s="1" t="str">
        <f t="shared" si="1"/>
        <v>*/HolderOfTheTransitProcedure/ContactPerson/phoneNumber</v>
      </c>
    </row>
    <row r="50" spans="1:17" ht="12" customHeight="1" outlineLevel="3" x14ac:dyDescent="0.25">
      <c r="A50" s="1" t="str">
        <f t="shared" si="0"/>
        <v>CC013C
CC015C</v>
      </c>
      <c r="B50" s="1">
        <v>3</v>
      </c>
      <c r="C50" s="1" t="s">
        <v>17</v>
      </c>
      <c r="D50" s="1" t="s">
        <v>36</v>
      </c>
      <c r="E50" s="9" t="s">
        <v>148</v>
      </c>
      <c r="F50" s="3" t="s">
        <v>149</v>
      </c>
      <c r="G50" s="3" t="s">
        <v>38</v>
      </c>
      <c r="H50" s="3" t="s">
        <v>458</v>
      </c>
      <c r="I50" s="3"/>
      <c r="J50" s="3"/>
      <c r="K50" s="3"/>
      <c r="L50" s="3" t="s">
        <v>587</v>
      </c>
      <c r="M50" s="1" t="s">
        <v>150</v>
      </c>
      <c r="P50" s="1" t="s">
        <v>151</v>
      </c>
      <c r="Q50" s="1" t="str">
        <f t="shared" si="1"/>
        <v>*/HolderOfTheTransitProcedure/ContactPerson/eMailAddress</v>
      </c>
    </row>
    <row r="51" spans="1:17" ht="12" customHeight="1" outlineLevel="1" x14ac:dyDescent="0.25">
      <c r="A51" s="4" t="str">
        <f t="shared" si="0"/>
        <v>CC013C
CC015C</v>
      </c>
      <c r="B51" s="4">
        <v>1</v>
      </c>
      <c r="C51" s="4" t="s">
        <v>41</v>
      </c>
      <c r="D51" s="4" t="s">
        <v>36</v>
      </c>
      <c r="E51" s="5" t="s">
        <v>152</v>
      </c>
      <c r="F51" s="6"/>
      <c r="G51" s="6" t="s">
        <v>38</v>
      </c>
      <c r="H51" s="6" t="s">
        <v>572</v>
      </c>
      <c r="I51" s="6"/>
      <c r="J51" s="6"/>
      <c r="K51" s="6"/>
      <c r="L51" s="6" t="s">
        <v>565</v>
      </c>
      <c r="M51" s="4" t="s">
        <v>152</v>
      </c>
      <c r="N51" s="4"/>
      <c r="O51" s="4"/>
      <c r="Q51" s="1" t="str">
        <f t="shared" si="1"/>
        <v>*/Representative</v>
      </c>
    </row>
    <row r="52" spans="1:17" ht="12" customHeight="1" outlineLevel="2" x14ac:dyDescent="0.25">
      <c r="A52" s="1" t="str">
        <f t="shared" si="0"/>
        <v>CC013C
CC015C</v>
      </c>
      <c r="B52" s="1">
        <v>2</v>
      </c>
      <c r="C52" s="1" t="s">
        <v>17</v>
      </c>
      <c r="D52" s="1" t="s">
        <v>18</v>
      </c>
      <c r="E52" s="7" t="s">
        <v>119</v>
      </c>
      <c r="F52" s="3" t="s">
        <v>120</v>
      </c>
      <c r="G52" s="3" t="s">
        <v>21</v>
      </c>
      <c r="H52" s="3" t="s">
        <v>537</v>
      </c>
      <c r="I52" s="3"/>
      <c r="J52" s="3"/>
      <c r="K52" s="3"/>
      <c r="L52" s="3" t="s">
        <v>564</v>
      </c>
      <c r="M52" s="1" t="s">
        <v>121</v>
      </c>
      <c r="P52" s="1" t="s">
        <v>122</v>
      </c>
      <c r="Q52" s="1" t="str">
        <f t="shared" si="1"/>
        <v>*/Representative/identificationNumber</v>
      </c>
    </row>
    <row r="53" spans="1:17" ht="12" customHeight="1" outlineLevel="2" x14ac:dyDescent="0.25">
      <c r="A53" s="1" t="str">
        <f t="shared" si="0"/>
        <v>CC013C
CC015C</v>
      </c>
      <c r="B53" s="1">
        <v>2</v>
      </c>
      <c r="C53" s="1" t="s">
        <v>17</v>
      </c>
      <c r="D53" s="1" t="s">
        <v>18</v>
      </c>
      <c r="E53" s="7" t="s">
        <v>6</v>
      </c>
      <c r="F53" s="3" t="s">
        <v>69</v>
      </c>
      <c r="G53" s="3" t="s">
        <v>21</v>
      </c>
      <c r="H53" s="3"/>
      <c r="I53" s="3"/>
      <c r="J53" s="3" t="s">
        <v>571</v>
      </c>
      <c r="K53" s="3"/>
      <c r="L53" s="3" t="s">
        <v>566</v>
      </c>
      <c r="M53" s="1" t="s">
        <v>153</v>
      </c>
      <c r="P53" s="1" t="s">
        <v>154</v>
      </c>
      <c r="Q53" s="1" t="str">
        <f t="shared" si="1"/>
        <v>*/Representative/status</v>
      </c>
    </row>
    <row r="54" spans="1:17" ht="12" customHeight="1" outlineLevel="2" x14ac:dyDescent="0.25">
      <c r="A54" s="4" t="str">
        <f t="shared" si="0"/>
        <v>CC013C
CC015C</v>
      </c>
      <c r="B54" s="4">
        <v>2</v>
      </c>
      <c r="C54" s="4" t="s">
        <v>41</v>
      </c>
      <c r="D54" s="4" t="s">
        <v>36</v>
      </c>
      <c r="E54" s="8" t="s">
        <v>143</v>
      </c>
      <c r="F54" s="6"/>
      <c r="G54" s="6" t="s">
        <v>38</v>
      </c>
      <c r="H54" s="6" t="s">
        <v>549</v>
      </c>
      <c r="I54" s="6"/>
      <c r="J54" s="6"/>
      <c r="K54" s="6"/>
      <c r="L54" s="6" t="s">
        <v>567</v>
      </c>
      <c r="M54" s="4" t="s">
        <v>144</v>
      </c>
      <c r="N54" s="4"/>
      <c r="O54" s="4"/>
      <c r="Q54" s="1" t="str">
        <f t="shared" si="1"/>
        <v>*/Representative/ContactPerson</v>
      </c>
    </row>
    <row r="55" spans="1:17" ht="12" customHeight="1" outlineLevel="3" x14ac:dyDescent="0.25">
      <c r="A55" s="1" t="str">
        <f t="shared" si="0"/>
        <v>CC013C
CC015C</v>
      </c>
      <c r="B55" s="1">
        <v>3</v>
      </c>
      <c r="C55" s="1" t="s">
        <v>17</v>
      </c>
      <c r="D55" s="1" t="s">
        <v>18</v>
      </c>
      <c r="E55" s="9" t="s">
        <v>4</v>
      </c>
      <c r="F55" s="3" t="s">
        <v>126</v>
      </c>
      <c r="G55" s="3" t="s">
        <v>21</v>
      </c>
      <c r="H55" s="3"/>
      <c r="I55" s="3"/>
      <c r="J55" s="3"/>
      <c r="K55" s="3"/>
      <c r="L55" s="3" t="s">
        <v>568</v>
      </c>
      <c r="M55" s="1" t="s">
        <v>127</v>
      </c>
      <c r="P55" s="1" t="s">
        <v>128</v>
      </c>
      <c r="Q55" s="1" t="str">
        <f t="shared" si="1"/>
        <v>*/Representative/ContactPerson/name</v>
      </c>
    </row>
    <row r="56" spans="1:17" ht="12" customHeight="1" outlineLevel="3" x14ac:dyDescent="0.25">
      <c r="A56" s="1" t="str">
        <f t="shared" si="0"/>
        <v>CC013C
CC015C</v>
      </c>
      <c r="B56" s="1">
        <v>3</v>
      </c>
      <c r="C56" s="1" t="s">
        <v>17</v>
      </c>
      <c r="D56" s="1" t="s">
        <v>18</v>
      </c>
      <c r="E56" s="9" t="s">
        <v>145</v>
      </c>
      <c r="F56" s="3" t="s">
        <v>20</v>
      </c>
      <c r="G56" s="3" t="s">
        <v>21</v>
      </c>
      <c r="H56" s="3"/>
      <c r="I56" s="3"/>
      <c r="J56" s="3"/>
      <c r="K56" s="3"/>
      <c r="L56" s="3" t="s">
        <v>569</v>
      </c>
      <c r="M56" s="1" t="s">
        <v>146</v>
      </c>
      <c r="P56" s="1" t="s">
        <v>147</v>
      </c>
      <c r="Q56" s="1" t="str">
        <f t="shared" si="1"/>
        <v>*/Representative/ContactPerson/phoneNumber</v>
      </c>
    </row>
    <row r="57" spans="1:17" ht="12" customHeight="1" outlineLevel="3" x14ac:dyDescent="0.25">
      <c r="A57" s="1" t="str">
        <f t="shared" si="0"/>
        <v>CC013C
CC015C</v>
      </c>
      <c r="B57" s="1">
        <v>3</v>
      </c>
      <c r="C57" s="1" t="s">
        <v>17</v>
      </c>
      <c r="D57" s="1" t="s">
        <v>36</v>
      </c>
      <c r="E57" s="9" t="s">
        <v>148</v>
      </c>
      <c r="F57" s="3" t="s">
        <v>149</v>
      </c>
      <c r="G57" s="3" t="s">
        <v>38</v>
      </c>
      <c r="H57" s="3" t="s">
        <v>458</v>
      </c>
      <c r="I57" s="3"/>
      <c r="J57" s="3"/>
      <c r="K57" s="3"/>
      <c r="L57" s="3" t="s">
        <v>570</v>
      </c>
      <c r="M57" s="1" t="s">
        <v>150</v>
      </c>
      <c r="P57" s="1" t="s">
        <v>151</v>
      </c>
      <c r="Q57" s="1" t="str">
        <f t="shared" si="1"/>
        <v>*/Representative/ContactPerson/eMailAddress</v>
      </c>
    </row>
    <row r="58" spans="1:17" ht="12" customHeight="1" outlineLevel="1" x14ac:dyDescent="0.25">
      <c r="A58" s="4" t="str">
        <f t="shared" si="0"/>
        <v>CC013C
CC015C</v>
      </c>
      <c r="B58" s="4">
        <v>1</v>
      </c>
      <c r="C58" s="4" t="s">
        <v>41</v>
      </c>
      <c r="D58" s="4" t="s">
        <v>155</v>
      </c>
      <c r="E58" s="5" t="s">
        <v>156</v>
      </c>
      <c r="F58" s="6"/>
      <c r="G58" s="6" t="s">
        <v>21</v>
      </c>
      <c r="H58" s="6"/>
      <c r="I58" s="6"/>
      <c r="J58" s="6"/>
      <c r="K58" s="6"/>
      <c r="L58" s="6" t="s">
        <v>768</v>
      </c>
      <c r="M58" s="4" t="s">
        <v>156</v>
      </c>
      <c r="N58" s="4"/>
      <c r="O58" s="4"/>
      <c r="Q58" s="1" t="str">
        <f t="shared" si="1"/>
        <v>*/Guarantee[0]</v>
      </c>
    </row>
    <row r="59" spans="1:17" ht="12" customHeight="1" outlineLevel="2" x14ac:dyDescent="0.25">
      <c r="A59" s="1" t="str">
        <f t="shared" si="0"/>
        <v>CC013C
CC015C</v>
      </c>
      <c r="B59" s="1">
        <v>2</v>
      </c>
      <c r="C59" s="1" t="s">
        <v>17</v>
      </c>
      <c r="D59" s="1" t="s">
        <v>18</v>
      </c>
      <c r="E59" s="7" t="s">
        <v>93</v>
      </c>
      <c r="F59" s="3" t="s">
        <v>530</v>
      </c>
      <c r="G59" s="3" t="s">
        <v>21</v>
      </c>
      <c r="H59" s="3" t="s">
        <v>475</v>
      </c>
      <c r="I59" s="3"/>
      <c r="J59" s="3"/>
      <c r="K59" s="3"/>
      <c r="L59" s="3"/>
      <c r="M59" s="1" t="s">
        <v>95</v>
      </c>
      <c r="P59" s="1" t="s">
        <v>96</v>
      </c>
      <c r="Q59" s="1" t="str">
        <f t="shared" si="1"/>
        <v>*/Guarantee[0]/sequenceNumber</v>
      </c>
    </row>
    <row r="60" spans="1:17" ht="12" customHeight="1" outlineLevel="2" x14ac:dyDescent="0.25">
      <c r="A60" s="1" t="str">
        <f t="shared" si="0"/>
        <v>CC013C
CC015C</v>
      </c>
      <c r="B60" s="1">
        <v>2</v>
      </c>
      <c r="C60" s="1" t="s">
        <v>17</v>
      </c>
      <c r="D60" s="1" t="s">
        <v>18</v>
      </c>
      <c r="E60" s="7" t="s">
        <v>157</v>
      </c>
      <c r="F60" s="3" t="s">
        <v>158</v>
      </c>
      <c r="G60" s="3" t="s">
        <v>21</v>
      </c>
      <c r="H60" s="3" t="s">
        <v>771</v>
      </c>
      <c r="I60" s="3"/>
      <c r="J60" s="3" t="s">
        <v>770</v>
      </c>
      <c r="K60" s="3"/>
      <c r="L60" s="3" t="s">
        <v>769</v>
      </c>
      <c r="M60" s="1" t="s">
        <v>159</v>
      </c>
      <c r="P60" s="1" t="s">
        <v>160</v>
      </c>
      <c r="Q60" s="1" t="str">
        <f t="shared" si="1"/>
        <v>*/Guarantee[0]/guaranteeType</v>
      </c>
    </row>
    <row r="61" spans="1:17" ht="12" customHeight="1" outlineLevel="2" x14ac:dyDescent="0.25">
      <c r="A61" s="1" t="str">
        <f t="shared" si="0"/>
        <v>CC013C
CC015C</v>
      </c>
      <c r="B61" s="1">
        <v>2</v>
      </c>
      <c r="C61" s="1" t="s">
        <v>17</v>
      </c>
      <c r="D61" s="1" t="s">
        <v>36</v>
      </c>
      <c r="E61" s="7" t="s">
        <v>161</v>
      </c>
      <c r="F61" s="3" t="s">
        <v>101</v>
      </c>
      <c r="G61" s="3" t="s">
        <v>450</v>
      </c>
      <c r="H61" s="3"/>
      <c r="I61" s="3" t="s">
        <v>773</v>
      </c>
      <c r="J61" s="3"/>
      <c r="K61" s="3"/>
      <c r="L61" s="3" t="s">
        <v>772</v>
      </c>
      <c r="M61" s="1" t="s">
        <v>162</v>
      </c>
      <c r="P61" s="1" t="s">
        <v>163</v>
      </c>
      <c r="Q61" s="1" t="str">
        <f t="shared" si="1"/>
        <v>*/Guarantee[0]/otherGuaranteeReference</v>
      </c>
    </row>
    <row r="62" spans="1:17" ht="12" customHeight="1" outlineLevel="2" x14ac:dyDescent="0.25">
      <c r="A62" s="4" t="str">
        <f t="shared" si="0"/>
        <v>CC013C
CC015C</v>
      </c>
      <c r="B62" s="4">
        <v>2</v>
      </c>
      <c r="C62" s="4" t="s">
        <v>41</v>
      </c>
      <c r="D62" s="4" t="s">
        <v>164</v>
      </c>
      <c r="E62" s="8" t="s">
        <v>165</v>
      </c>
      <c r="F62" s="6"/>
      <c r="G62" s="6" t="s">
        <v>450</v>
      </c>
      <c r="H62" s="6"/>
      <c r="I62" s="6" t="s">
        <v>775</v>
      </c>
      <c r="J62" s="6"/>
      <c r="K62" s="6"/>
      <c r="L62" s="6" t="s">
        <v>774</v>
      </c>
      <c r="M62" s="4" t="s">
        <v>166</v>
      </c>
      <c r="N62" s="4"/>
      <c r="O62" s="4"/>
      <c r="Q62" s="1" t="str">
        <f t="shared" si="1"/>
        <v>*/Guarantee[0]/GuaranteeReference[0]</v>
      </c>
    </row>
    <row r="63" spans="1:17" ht="12" customHeight="1" outlineLevel="3" x14ac:dyDescent="0.25">
      <c r="A63" s="1" t="str">
        <f t="shared" si="0"/>
        <v>CC013C
CC015C</v>
      </c>
      <c r="B63" s="1">
        <v>3</v>
      </c>
      <c r="C63" s="1" t="s">
        <v>17</v>
      </c>
      <c r="D63" s="1" t="s">
        <v>18</v>
      </c>
      <c r="E63" s="9" t="s">
        <v>93</v>
      </c>
      <c r="F63" s="3" t="s">
        <v>483</v>
      </c>
      <c r="G63" s="3" t="s">
        <v>21</v>
      </c>
      <c r="H63" s="3" t="s">
        <v>475</v>
      </c>
      <c r="I63" s="3"/>
      <c r="J63" s="3"/>
      <c r="K63" s="3"/>
      <c r="L63" s="3"/>
      <c r="M63" s="1" t="s">
        <v>95</v>
      </c>
      <c r="P63" s="1" t="s">
        <v>96</v>
      </c>
      <c r="Q63" s="1" t="str">
        <f t="shared" si="1"/>
        <v>*/Guarantee[0]/GuaranteeReference[0]/sequenceNumber</v>
      </c>
    </row>
    <row r="64" spans="1:17" ht="12" customHeight="1" outlineLevel="3" x14ac:dyDescent="0.25">
      <c r="A64" s="1" t="str">
        <f t="shared" si="0"/>
        <v>CC013C
CC015C</v>
      </c>
      <c r="B64" s="1">
        <v>3</v>
      </c>
      <c r="C64" s="1" t="s">
        <v>17</v>
      </c>
      <c r="D64" s="1" t="s">
        <v>36</v>
      </c>
      <c r="E64" s="9" t="s">
        <v>167</v>
      </c>
      <c r="F64" s="3" t="s">
        <v>168</v>
      </c>
      <c r="G64" s="3" t="s">
        <v>450</v>
      </c>
      <c r="H64" s="3" t="s">
        <v>778</v>
      </c>
      <c r="I64" s="3" t="s">
        <v>777</v>
      </c>
      <c r="J64" s="3"/>
      <c r="K64" s="3"/>
      <c r="L64" s="3" t="s">
        <v>776</v>
      </c>
      <c r="M64" s="1" t="s">
        <v>169</v>
      </c>
      <c r="P64" s="1" t="s">
        <v>170</v>
      </c>
      <c r="Q64" s="1" t="str">
        <f t="shared" si="1"/>
        <v>*/Guarantee[0]/GuaranteeReference[0]/GRN</v>
      </c>
    </row>
    <row r="65" spans="1:17" ht="12" customHeight="1" outlineLevel="3" x14ac:dyDescent="0.25">
      <c r="A65" s="1" t="str">
        <f t="shared" si="0"/>
        <v>CC013C
CC015C</v>
      </c>
      <c r="B65" s="1">
        <v>3</v>
      </c>
      <c r="C65" s="1" t="s">
        <v>17</v>
      </c>
      <c r="D65" s="1" t="s">
        <v>36</v>
      </c>
      <c r="E65" s="9" t="s">
        <v>171</v>
      </c>
      <c r="F65" s="3" t="s">
        <v>172</v>
      </c>
      <c r="G65" s="3" t="s">
        <v>450</v>
      </c>
      <c r="H65" s="3"/>
      <c r="I65" s="3" t="s">
        <v>777</v>
      </c>
      <c r="J65" s="3"/>
      <c r="K65" s="3"/>
      <c r="L65" s="3" t="s">
        <v>779</v>
      </c>
      <c r="M65" s="1" t="s">
        <v>173</v>
      </c>
      <c r="P65" s="1" t="s">
        <v>174</v>
      </c>
      <c r="Q65" s="1" t="str">
        <f t="shared" si="1"/>
        <v>*/Guarantee[0]/GuaranteeReference[0]/accessCode</v>
      </c>
    </row>
    <row r="66" spans="1:17" ht="12" customHeight="1" outlineLevel="3" x14ac:dyDescent="0.25">
      <c r="A66" s="1" t="str">
        <f t="shared" ref="A66:A129" si="2">$E$2</f>
        <v>CC013C
CC015C</v>
      </c>
      <c r="B66" s="1">
        <v>3</v>
      </c>
      <c r="C66" s="1" t="s">
        <v>17</v>
      </c>
      <c r="D66" s="1" t="s">
        <v>18</v>
      </c>
      <c r="E66" s="9" t="s">
        <v>175</v>
      </c>
      <c r="F66" s="3" t="s">
        <v>176</v>
      </c>
      <c r="G66" s="3" t="s">
        <v>21</v>
      </c>
      <c r="H66" s="3" t="s">
        <v>781</v>
      </c>
      <c r="I66" s="3"/>
      <c r="J66" s="3"/>
      <c r="K66" s="3"/>
      <c r="L66" s="3" t="s">
        <v>780</v>
      </c>
      <c r="M66" s="1" t="s">
        <v>177</v>
      </c>
      <c r="P66" s="1" t="s">
        <v>178</v>
      </c>
      <c r="Q66" s="1" t="str">
        <f t="shared" ref="Q66:Q129" si="3">IF($B66=0,$M66,_xlfn.TEXTBEFORE(Q65,"/",$B66,,,Q65)&amp;"/"&amp;$M66)&amp;IF(_xlfn.TEXTAFTER($D66,"..",,,,1)&lt;&gt;"1","[0]","")</f>
        <v>*/Guarantee[0]/GuaranteeReference[0]/amountToBeCovered</v>
      </c>
    </row>
    <row r="67" spans="1:17" ht="12" customHeight="1" outlineLevel="3" x14ac:dyDescent="0.25">
      <c r="A67" s="1" t="str">
        <f t="shared" si="2"/>
        <v>CC013C
CC015C</v>
      </c>
      <c r="B67" s="1">
        <v>3</v>
      </c>
      <c r="C67" s="1" t="s">
        <v>17</v>
      </c>
      <c r="D67" s="1" t="s">
        <v>18</v>
      </c>
      <c r="E67" s="9" t="s">
        <v>179</v>
      </c>
      <c r="F67" s="3" t="s">
        <v>180</v>
      </c>
      <c r="G67" s="3" t="s">
        <v>21</v>
      </c>
      <c r="H67" s="3" t="s">
        <v>783</v>
      </c>
      <c r="I67" s="3"/>
      <c r="J67" s="3" t="s">
        <v>784</v>
      </c>
      <c r="K67" s="3"/>
      <c r="L67" s="3" t="s">
        <v>782</v>
      </c>
      <c r="M67" s="1" t="s">
        <v>181</v>
      </c>
      <c r="P67" s="1" t="s">
        <v>182</v>
      </c>
      <c r="Q67" s="1" t="str">
        <f t="shared" si="3"/>
        <v>*/Guarantee[0]/GuaranteeReference[0]/currency</v>
      </c>
    </row>
    <row r="68" spans="1:17" ht="12" customHeight="1" outlineLevel="1" x14ac:dyDescent="0.25">
      <c r="A68" s="4" t="str">
        <f t="shared" si="2"/>
        <v>CC013C
CC015C</v>
      </c>
      <c r="B68" s="4">
        <v>1</v>
      </c>
      <c r="C68" s="4" t="s">
        <v>41</v>
      </c>
      <c r="D68" s="4" t="s">
        <v>18</v>
      </c>
      <c r="E68" s="5" t="s">
        <v>183</v>
      </c>
      <c r="F68" s="6"/>
      <c r="G68" s="6" t="s">
        <v>21</v>
      </c>
      <c r="H68" s="6"/>
      <c r="I68" s="6"/>
      <c r="J68" s="6"/>
      <c r="K68" s="6"/>
      <c r="L68" s="6" t="s">
        <v>718</v>
      </c>
      <c r="M68" s="4" t="s">
        <v>183</v>
      </c>
      <c r="N68" s="4"/>
      <c r="O68" s="4"/>
      <c r="Q68" s="1" t="str">
        <f t="shared" si="3"/>
        <v>*/Consignment</v>
      </c>
    </row>
    <row r="69" spans="1:17" ht="12" customHeight="1" outlineLevel="2" x14ac:dyDescent="0.25">
      <c r="A69" s="1" t="str">
        <f t="shared" si="2"/>
        <v>CC013C
CC015C</v>
      </c>
      <c r="B69" s="1">
        <v>2</v>
      </c>
      <c r="C69" s="1" t="s">
        <v>17</v>
      </c>
      <c r="D69" s="1" t="s">
        <v>36</v>
      </c>
      <c r="E69" s="7" t="s">
        <v>184</v>
      </c>
      <c r="F69" s="3" t="s">
        <v>140</v>
      </c>
      <c r="G69" s="3" t="s">
        <v>450</v>
      </c>
      <c r="H69" s="3" t="s">
        <v>611</v>
      </c>
      <c r="I69" s="3" t="s">
        <v>610</v>
      </c>
      <c r="J69" s="3" t="s">
        <v>606</v>
      </c>
      <c r="K69" s="3"/>
      <c r="L69" s="3" t="s">
        <v>609</v>
      </c>
      <c r="M69" s="1" t="s">
        <v>185</v>
      </c>
      <c r="P69" s="1" t="s">
        <v>186</v>
      </c>
      <c r="Q69" s="1" t="str">
        <f t="shared" si="3"/>
        <v>*/Consignment/countryOfDispatch</v>
      </c>
    </row>
    <row r="70" spans="1:17" ht="12" customHeight="1" outlineLevel="2" x14ac:dyDescent="0.25">
      <c r="A70" s="1" t="str">
        <f t="shared" si="2"/>
        <v>CC013C
CC015C</v>
      </c>
      <c r="B70" s="1">
        <v>2</v>
      </c>
      <c r="C70" s="1" t="s">
        <v>17</v>
      </c>
      <c r="D70" s="1" t="s">
        <v>36</v>
      </c>
      <c r="E70" s="7" t="s">
        <v>187</v>
      </c>
      <c r="F70" s="3" t="s">
        <v>140</v>
      </c>
      <c r="G70" s="3" t="s">
        <v>450</v>
      </c>
      <c r="H70" s="3" t="s">
        <v>608</v>
      </c>
      <c r="I70" s="3" t="s">
        <v>607</v>
      </c>
      <c r="J70" s="3" t="s">
        <v>606</v>
      </c>
      <c r="K70" s="3"/>
      <c r="L70" s="3" t="s">
        <v>605</v>
      </c>
      <c r="M70" s="1" t="s">
        <v>188</v>
      </c>
      <c r="P70" s="1" t="s">
        <v>189</v>
      </c>
      <c r="Q70" s="1" t="str">
        <f t="shared" si="3"/>
        <v>*/Consignment/countryOfDestination</v>
      </c>
    </row>
    <row r="71" spans="1:17" ht="12" customHeight="1" outlineLevel="2" x14ac:dyDescent="0.25">
      <c r="A71" s="1" t="str">
        <f t="shared" si="2"/>
        <v>CC013C
CC015C</v>
      </c>
      <c r="B71" s="1">
        <v>2</v>
      </c>
      <c r="C71" s="1" t="s">
        <v>17</v>
      </c>
      <c r="D71" s="1" t="s">
        <v>36</v>
      </c>
      <c r="E71" s="7" t="s">
        <v>190</v>
      </c>
      <c r="F71" s="3" t="s">
        <v>400</v>
      </c>
      <c r="G71" s="3" t="s">
        <v>450</v>
      </c>
      <c r="H71" s="3" t="s">
        <v>721</v>
      </c>
      <c r="I71" s="3" t="s">
        <v>720</v>
      </c>
      <c r="J71" s="3" t="s">
        <v>473</v>
      </c>
      <c r="K71" s="3"/>
      <c r="L71" s="3" t="s">
        <v>719</v>
      </c>
      <c r="M71" s="1" t="s">
        <v>191</v>
      </c>
      <c r="P71" s="1" t="s">
        <v>74</v>
      </c>
      <c r="Q71" s="1" t="str">
        <f t="shared" si="3"/>
        <v>*/Consignment/containerIndicator</v>
      </c>
    </row>
    <row r="72" spans="1:17" ht="12" customHeight="1" outlineLevel="2" x14ac:dyDescent="0.25">
      <c r="A72" s="1" t="str">
        <f t="shared" si="2"/>
        <v>CC013C
CC015C</v>
      </c>
      <c r="B72" s="1">
        <v>2</v>
      </c>
      <c r="C72" s="1" t="s">
        <v>17</v>
      </c>
      <c r="D72" s="1" t="s">
        <v>36</v>
      </c>
      <c r="E72" s="7" t="s">
        <v>192</v>
      </c>
      <c r="F72" s="3" t="s">
        <v>69</v>
      </c>
      <c r="G72" s="3" t="s">
        <v>38</v>
      </c>
      <c r="H72" s="3"/>
      <c r="I72" s="3"/>
      <c r="J72" s="3" t="s">
        <v>723</v>
      </c>
      <c r="K72" s="3"/>
      <c r="L72" s="3" t="s">
        <v>726</v>
      </c>
      <c r="M72" s="1" t="s">
        <v>193</v>
      </c>
      <c r="P72" s="1" t="s">
        <v>194</v>
      </c>
      <c r="Q72" s="1" t="str">
        <f t="shared" si="3"/>
        <v>*/Consignment/inlandModeOfTransport</v>
      </c>
    </row>
    <row r="73" spans="1:17" ht="12" customHeight="1" outlineLevel="2" x14ac:dyDescent="0.25">
      <c r="A73" s="1" t="str">
        <f t="shared" si="2"/>
        <v>CC013C
CC015C</v>
      </c>
      <c r="B73" s="1">
        <v>2</v>
      </c>
      <c r="C73" s="1" t="s">
        <v>17</v>
      </c>
      <c r="D73" s="1" t="s">
        <v>36</v>
      </c>
      <c r="E73" s="7" t="s">
        <v>195</v>
      </c>
      <c r="F73" s="3" t="s">
        <v>69</v>
      </c>
      <c r="G73" s="3" t="s">
        <v>450</v>
      </c>
      <c r="H73" s="3" t="s">
        <v>725</v>
      </c>
      <c r="I73" s="3" t="s">
        <v>724</v>
      </c>
      <c r="J73" s="3" t="s">
        <v>723</v>
      </c>
      <c r="K73" s="3"/>
      <c r="L73" s="3" t="s">
        <v>722</v>
      </c>
      <c r="M73" s="1" t="s">
        <v>196</v>
      </c>
      <c r="P73" s="1" t="s">
        <v>197</v>
      </c>
      <c r="Q73" s="1" t="str">
        <f t="shared" si="3"/>
        <v>*/Consignment/modeOfTransportAtTheBorder</v>
      </c>
    </row>
    <row r="74" spans="1:17" ht="12" customHeight="1" outlineLevel="2" x14ac:dyDescent="0.25">
      <c r="A74" s="1" t="str">
        <f t="shared" si="2"/>
        <v>CC013C
CC015C</v>
      </c>
      <c r="B74" s="1">
        <v>2</v>
      </c>
      <c r="C74" s="1" t="s">
        <v>17</v>
      </c>
      <c r="D74" s="1" t="s">
        <v>18</v>
      </c>
      <c r="E74" s="7" t="s">
        <v>198</v>
      </c>
      <c r="F74" s="3" t="s">
        <v>199</v>
      </c>
      <c r="G74" s="3" t="s">
        <v>21</v>
      </c>
      <c r="H74" s="3" t="s">
        <v>693</v>
      </c>
      <c r="I74" s="3"/>
      <c r="J74" s="3"/>
      <c r="K74" s="3"/>
      <c r="L74" s="3" t="s">
        <v>692</v>
      </c>
      <c r="M74" s="1" t="s">
        <v>200</v>
      </c>
      <c r="P74" s="1" t="s">
        <v>201</v>
      </c>
      <c r="Q74" s="1" t="str">
        <f t="shared" si="3"/>
        <v>*/Consignment/grossMass</v>
      </c>
    </row>
    <row r="75" spans="1:17" ht="12" customHeight="1" outlineLevel="2" x14ac:dyDescent="0.25">
      <c r="A75" s="1" t="str">
        <f t="shared" si="2"/>
        <v>CC013C
CC015C</v>
      </c>
      <c r="B75" s="1">
        <v>2</v>
      </c>
      <c r="C75" s="1" t="s">
        <v>17</v>
      </c>
      <c r="D75" s="1" t="s">
        <v>36</v>
      </c>
      <c r="E75" s="7" t="s">
        <v>202</v>
      </c>
      <c r="F75" s="3" t="s">
        <v>203</v>
      </c>
      <c r="G75" s="3" t="s">
        <v>450</v>
      </c>
      <c r="H75" s="3" t="s">
        <v>523</v>
      </c>
      <c r="I75" s="3" t="s">
        <v>522</v>
      </c>
      <c r="J75" s="3"/>
      <c r="K75" s="3"/>
      <c r="L75" s="3" t="s">
        <v>521</v>
      </c>
      <c r="M75" s="1" t="s">
        <v>204</v>
      </c>
      <c r="P75" s="1" t="s">
        <v>205</v>
      </c>
      <c r="Q75" s="1" t="str">
        <f t="shared" si="3"/>
        <v>*/Consignment/referenceNumberUCR</v>
      </c>
    </row>
    <row r="76" spans="1:17" ht="12" customHeight="1" outlineLevel="2" collapsed="1" x14ac:dyDescent="0.25">
      <c r="A76" s="4" t="str">
        <f t="shared" si="2"/>
        <v>CC013C
CC015C</v>
      </c>
      <c r="B76" s="4">
        <v>2</v>
      </c>
      <c r="C76" s="4" t="s">
        <v>41</v>
      </c>
      <c r="D76" s="4" t="s">
        <v>36</v>
      </c>
      <c r="E76" s="8" t="s">
        <v>206</v>
      </c>
      <c r="F76" s="6"/>
      <c r="G76" s="6" t="s">
        <v>38</v>
      </c>
      <c r="H76" s="6" t="s">
        <v>594</v>
      </c>
      <c r="I76" s="6"/>
      <c r="J76" s="6"/>
      <c r="K76" s="6"/>
      <c r="L76" s="6" t="s">
        <v>588</v>
      </c>
      <c r="M76" s="4" t="s">
        <v>206</v>
      </c>
      <c r="N76" s="4"/>
      <c r="O76" s="4"/>
      <c r="Q76" s="1" t="str">
        <f t="shared" si="3"/>
        <v>*/Consignment/Carrier</v>
      </c>
    </row>
    <row r="77" spans="1:17" ht="12" hidden="1" customHeight="1" outlineLevel="3" x14ac:dyDescent="0.25">
      <c r="A77" s="1" t="str">
        <f t="shared" si="2"/>
        <v>CC013C
CC015C</v>
      </c>
      <c r="B77" s="1">
        <v>3</v>
      </c>
      <c r="C77" s="1" t="s">
        <v>17</v>
      </c>
      <c r="D77" s="1" t="s">
        <v>18</v>
      </c>
      <c r="E77" s="9" t="s">
        <v>119</v>
      </c>
      <c r="F77" s="3" t="s">
        <v>401</v>
      </c>
      <c r="G77" s="3" t="s">
        <v>21</v>
      </c>
      <c r="H77" s="3" t="s">
        <v>595</v>
      </c>
      <c r="I77" s="3"/>
      <c r="J77" s="3"/>
      <c r="K77" s="3"/>
      <c r="L77" s="3" t="s">
        <v>589</v>
      </c>
      <c r="M77" s="1" t="s">
        <v>121</v>
      </c>
      <c r="P77" s="1" t="s">
        <v>207</v>
      </c>
      <c r="Q77" s="1" t="str">
        <f t="shared" si="3"/>
        <v>*/Consignment/Carrier/identificationNumber</v>
      </c>
    </row>
    <row r="78" spans="1:17" ht="12" hidden="1" customHeight="1" outlineLevel="3" x14ac:dyDescent="0.25">
      <c r="A78" s="4" t="str">
        <f t="shared" si="2"/>
        <v>CC013C
CC015C</v>
      </c>
      <c r="B78" s="4">
        <v>3</v>
      </c>
      <c r="C78" s="4" t="s">
        <v>41</v>
      </c>
      <c r="D78" s="4" t="s">
        <v>36</v>
      </c>
      <c r="E78" s="10" t="s">
        <v>143</v>
      </c>
      <c r="F78" s="6"/>
      <c r="G78" s="6" t="s">
        <v>38</v>
      </c>
      <c r="H78" s="6" t="s">
        <v>549</v>
      </c>
      <c r="I78" s="6"/>
      <c r="J78" s="6"/>
      <c r="K78" s="6"/>
      <c r="L78" s="6" t="s">
        <v>590</v>
      </c>
      <c r="M78" s="4" t="s">
        <v>144</v>
      </c>
      <c r="N78" s="4"/>
      <c r="O78" s="4"/>
      <c r="Q78" s="1" t="str">
        <f t="shared" si="3"/>
        <v>*/Consignment/Carrier/ContactPerson</v>
      </c>
    </row>
    <row r="79" spans="1:17" ht="12" hidden="1" customHeight="1" outlineLevel="4" x14ac:dyDescent="0.25">
      <c r="A79" s="1" t="str">
        <f t="shared" si="2"/>
        <v>CC013C
CC015C</v>
      </c>
      <c r="B79" s="1">
        <v>4</v>
      </c>
      <c r="C79" s="1" t="s">
        <v>17</v>
      </c>
      <c r="D79" s="1" t="s">
        <v>18</v>
      </c>
      <c r="E79" s="11" t="s">
        <v>4</v>
      </c>
      <c r="F79" s="3" t="s">
        <v>126</v>
      </c>
      <c r="G79" s="3" t="s">
        <v>21</v>
      </c>
      <c r="H79" s="3"/>
      <c r="I79" s="3"/>
      <c r="J79" s="3"/>
      <c r="K79" s="3"/>
      <c r="L79" s="3" t="s">
        <v>591</v>
      </c>
      <c r="M79" s="1" t="s">
        <v>127</v>
      </c>
      <c r="P79" s="1" t="s">
        <v>128</v>
      </c>
      <c r="Q79" s="1" t="str">
        <f t="shared" si="3"/>
        <v>*/Consignment/Carrier/ContactPerson/name</v>
      </c>
    </row>
    <row r="80" spans="1:17" ht="12" hidden="1" customHeight="1" outlineLevel="4" x14ac:dyDescent="0.25">
      <c r="A80" s="1" t="str">
        <f t="shared" si="2"/>
        <v>CC013C
CC015C</v>
      </c>
      <c r="B80" s="1">
        <v>4</v>
      </c>
      <c r="C80" s="1" t="s">
        <v>17</v>
      </c>
      <c r="D80" s="1" t="s">
        <v>18</v>
      </c>
      <c r="E80" s="11" t="s">
        <v>145</v>
      </c>
      <c r="F80" s="3" t="s">
        <v>20</v>
      </c>
      <c r="G80" s="3" t="s">
        <v>21</v>
      </c>
      <c r="H80" s="3"/>
      <c r="I80" s="3"/>
      <c r="J80" s="3"/>
      <c r="K80" s="3"/>
      <c r="L80" s="3" t="s">
        <v>592</v>
      </c>
      <c r="M80" s="1" t="s">
        <v>146</v>
      </c>
      <c r="P80" s="1" t="s">
        <v>147</v>
      </c>
      <c r="Q80" s="1" t="str">
        <f t="shared" si="3"/>
        <v>*/Consignment/Carrier/ContactPerson/phoneNumber</v>
      </c>
    </row>
    <row r="81" spans="1:17" ht="12" hidden="1" customHeight="1" outlineLevel="4" x14ac:dyDescent="0.25">
      <c r="A81" s="1" t="str">
        <f t="shared" si="2"/>
        <v>CC013C
CC015C</v>
      </c>
      <c r="B81" s="1">
        <v>4</v>
      </c>
      <c r="C81" s="1" t="s">
        <v>17</v>
      </c>
      <c r="D81" s="1" t="s">
        <v>36</v>
      </c>
      <c r="E81" s="11" t="s">
        <v>148</v>
      </c>
      <c r="F81" s="3" t="s">
        <v>149</v>
      </c>
      <c r="G81" s="3" t="s">
        <v>38</v>
      </c>
      <c r="H81" s="3" t="s">
        <v>458</v>
      </c>
      <c r="I81" s="3"/>
      <c r="J81" s="3"/>
      <c r="K81" s="3"/>
      <c r="L81" s="3" t="s">
        <v>593</v>
      </c>
      <c r="M81" s="1" t="s">
        <v>150</v>
      </c>
      <c r="P81" s="1" t="s">
        <v>151</v>
      </c>
      <c r="Q81" s="1" t="str">
        <f t="shared" si="3"/>
        <v>*/Consignment/Carrier/ContactPerson/eMailAddress</v>
      </c>
    </row>
    <row r="82" spans="1:17" ht="12" customHeight="1" outlineLevel="2" collapsed="1" x14ac:dyDescent="0.25">
      <c r="A82" s="4" t="str">
        <f t="shared" si="2"/>
        <v>CC013C
CC015C</v>
      </c>
      <c r="B82" s="4">
        <v>2</v>
      </c>
      <c r="C82" s="4" t="s">
        <v>41</v>
      </c>
      <c r="D82" s="4" t="s">
        <v>36</v>
      </c>
      <c r="E82" s="8" t="s">
        <v>208</v>
      </c>
      <c r="F82" s="6"/>
      <c r="G82" s="6" t="s">
        <v>450</v>
      </c>
      <c r="H82" s="6" t="s">
        <v>539</v>
      </c>
      <c r="I82" s="6" t="s">
        <v>538</v>
      </c>
      <c r="J82" s="6"/>
      <c r="K82" s="6"/>
      <c r="L82" s="6" t="s">
        <v>534</v>
      </c>
      <c r="M82" s="4" t="s">
        <v>208</v>
      </c>
      <c r="N82" s="4"/>
      <c r="O82" s="4"/>
      <c r="Q82" s="1" t="str">
        <f t="shared" si="3"/>
        <v>*/Consignment/Consignor</v>
      </c>
    </row>
    <row r="83" spans="1:17" ht="12" hidden="1" customHeight="1" outlineLevel="3" x14ac:dyDescent="0.25">
      <c r="A83" s="1" t="str">
        <f t="shared" si="2"/>
        <v>CC013C
CC015C</v>
      </c>
      <c r="B83" s="1">
        <v>3</v>
      </c>
      <c r="C83" s="1" t="s">
        <v>17</v>
      </c>
      <c r="D83" s="1" t="s">
        <v>36</v>
      </c>
      <c r="E83" s="9" t="s">
        <v>119</v>
      </c>
      <c r="F83" s="3" t="s">
        <v>120</v>
      </c>
      <c r="G83" s="3" t="s">
        <v>38</v>
      </c>
      <c r="H83" s="3" t="s">
        <v>537</v>
      </c>
      <c r="I83" s="3"/>
      <c r="J83" s="3"/>
      <c r="K83" s="3"/>
      <c r="L83" s="3" t="s">
        <v>535</v>
      </c>
      <c r="M83" s="1" t="s">
        <v>121</v>
      </c>
      <c r="P83" s="1" t="s">
        <v>122</v>
      </c>
      <c r="Q83" s="1" t="str">
        <f t="shared" si="3"/>
        <v>*/Consignment/Consignor/identificationNumber</v>
      </c>
    </row>
    <row r="84" spans="1:17" ht="12" hidden="1" customHeight="1" outlineLevel="3" x14ac:dyDescent="0.25">
      <c r="A84" s="1" t="str">
        <f t="shared" si="2"/>
        <v>CC013C
CC015C</v>
      </c>
      <c r="B84" s="1">
        <v>3</v>
      </c>
      <c r="C84" s="1" t="s">
        <v>17</v>
      </c>
      <c r="D84" s="1" t="s">
        <v>36</v>
      </c>
      <c r="E84" s="9" t="s">
        <v>4</v>
      </c>
      <c r="F84" s="3" t="s">
        <v>126</v>
      </c>
      <c r="G84" s="3" t="s">
        <v>450</v>
      </c>
      <c r="H84" s="3"/>
      <c r="I84" s="3" t="s">
        <v>541</v>
      </c>
      <c r="J84" s="3"/>
      <c r="K84" s="3"/>
      <c r="L84" s="3" t="s">
        <v>536</v>
      </c>
      <c r="M84" s="1" t="s">
        <v>127</v>
      </c>
      <c r="P84" s="1" t="s">
        <v>128</v>
      </c>
      <c r="Q84" s="1" t="str">
        <f t="shared" si="3"/>
        <v>*/Consignment/Consignor/name</v>
      </c>
    </row>
    <row r="85" spans="1:17" ht="12" hidden="1" customHeight="1" outlineLevel="3" x14ac:dyDescent="0.25">
      <c r="A85" s="4" t="str">
        <f t="shared" si="2"/>
        <v>CC013C
CC015C</v>
      </c>
      <c r="B85" s="4">
        <v>3</v>
      </c>
      <c r="C85" s="4" t="s">
        <v>41</v>
      </c>
      <c r="D85" s="4" t="s">
        <v>36</v>
      </c>
      <c r="E85" s="10" t="s">
        <v>129</v>
      </c>
      <c r="F85" s="6"/>
      <c r="G85" s="6" t="s">
        <v>450</v>
      </c>
      <c r="H85" s="6"/>
      <c r="I85" s="6" t="s">
        <v>541</v>
      </c>
      <c r="J85" s="6"/>
      <c r="K85" s="6"/>
      <c r="L85" s="6" t="s">
        <v>540</v>
      </c>
      <c r="M85" s="4" t="s">
        <v>129</v>
      </c>
      <c r="N85" s="4"/>
      <c r="O85" s="4"/>
      <c r="Q85" s="1" t="str">
        <f t="shared" si="3"/>
        <v>*/Consignment/Consignor/Address</v>
      </c>
    </row>
    <row r="86" spans="1:17" ht="12" hidden="1" customHeight="1" outlineLevel="4" x14ac:dyDescent="0.25">
      <c r="A86" s="1" t="str">
        <f t="shared" si="2"/>
        <v>CC013C
CC015C</v>
      </c>
      <c r="B86" s="1">
        <v>4</v>
      </c>
      <c r="C86" s="1" t="s">
        <v>17</v>
      </c>
      <c r="D86" s="1" t="s">
        <v>18</v>
      </c>
      <c r="E86" s="11" t="s">
        <v>130</v>
      </c>
      <c r="F86" s="3" t="s">
        <v>126</v>
      </c>
      <c r="G86" s="3" t="s">
        <v>21</v>
      </c>
      <c r="H86" s="3"/>
      <c r="I86" s="3"/>
      <c r="J86" s="3"/>
      <c r="K86" s="3"/>
      <c r="L86" s="3" t="s">
        <v>542</v>
      </c>
      <c r="M86" s="1" t="s">
        <v>131</v>
      </c>
      <c r="P86" s="1" t="s">
        <v>132</v>
      </c>
      <c r="Q86" s="1" t="str">
        <f t="shared" si="3"/>
        <v>*/Consignment/Consignor/Address/streetAndNumber</v>
      </c>
    </row>
    <row r="87" spans="1:17" ht="12" hidden="1" customHeight="1" outlineLevel="4" x14ac:dyDescent="0.25">
      <c r="A87" s="1" t="str">
        <f t="shared" si="2"/>
        <v>CC013C
CC015C</v>
      </c>
      <c r="B87" s="1">
        <v>4</v>
      </c>
      <c r="C87" s="1" t="s">
        <v>17</v>
      </c>
      <c r="D87" s="1" t="s">
        <v>36</v>
      </c>
      <c r="E87" s="11" t="s">
        <v>133</v>
      </c>
      <c r="F87" s="3" t="s">
        <v>120</v>
      </c>
      <c r="G87" s="3" t="s">
        <v>450</v>
      </c>
      <c r="H87" s="3"/>
      <c r="I87" s="3" t="s">
        <v>544</v>
      </c>
      <c r="J87" s="3"/>
      <c r="K87" s="3"/>
      <c r="L87" s="3" t="s">
        <v>543</v>
      </c>
      <c r="M87" s="1" t="s">
        <v>134</v>
      </c>
      <c r="P87" s="1" t="s">
        <v>135</v>
      </c>
      <c r="Q87" s="1" t="str">
        <f t="shared" si="3"/>
        <v>*/Consignment/Consignor/Address/postcode</v>
      </c>
    </row>
    <row r="88" spans="1:17" ht="12" hidden="1" customHeight="1" outlineLevel="4" x14ac:dyDescent="0.25">
      <c r="A88" s="1" t="str">
        <f t="shared" si="2"/>
        <v>CC013C
CC015C</v>
      </c>
      <c r="B88" s="1">
        <v>4</v>
      </c>
      <c r="C88" s="1" t="s">
        <v>17</v>
      </c>
      <c r="D88" s="1" t="s">
        <v>18</v>
      </c>
      <c r="E88" s="11" t="s">
        <v>136</v>
      </c>
      <c r="F88" s="3" t="s">
        <v>101</v>
      </c>
      <c r="G88" s="3" t="s">
        <v>21</v>
      </c>
      <c r="H88" s="3"/>
      <c r="I88" s="3"/>
      <c r="J88" s="3"/>
      <c r="K88" s="3"/>
      <c r="L88" s="3" t="s">
        <v>545</v>
      </c>
      <c r="M88" s="1" t="s">
        <v>137</v>
      </c>
      <c r="P88" s="1" t="s">
        <v>138</v>
      </c>
      <c r="Q88" s="1" t="str">
        <f t="shared" si="3"/>
        <v>*/Consignment/Consignor/Address/city</v>
      </c>
    </row>
    <row r="89" spans="1:17" ht="12" hidden="1" customHeight="1" outlineLevel="4" x14ac:dyDescent="0.25">
      <c r="A89" s="1" t="str">
        <f t="shared" si="2"/>
        <v>CC013C
CC015C</v>
      </c>
      <c r="B89" s="1">
        <v>4</v>
      </c>
      <c r="C89" s="1" t="s">
        <v>17</v>
      </c>
      <c r="D89" s="1" t="s">
        <v>18</v>
      </c>
      <c r="E89" s="11" t="s">
        <v>139</v>
      </c>
      <c r="F89" s="3" t="s">
        <v>140</v>
      </c>
      <c r="G89" s="3" t="s">
        <v>21</v>
      </c>
      <c r="H89" s="3"/>
      <c r="I89" s="3"/>
      <c r="J89" s="3" t="s">
        <v>547</v>
      </c>
      <c r="K89" s="3"/>
      <c r="L89" s="3" t="s">
        <v>546</v>
      </c>
      <c r="M89" s="1" t="s">
        <v>141</v>
      </c>
      <c r="P89" s="1" t="s">
        <v>142</v>
      </c>
      <c r="Q89" s="1" t="str">
        <f t="shared" si="3"/>
        <v>*/Consignment/Consignor/Address/country</v>
      </c>
    </row>
    <row r="90" spans="1:17" ht="12" hidden="1" customHeight="1" outlineLevel="3" x14ac:dyDescent="0.25">
      <c r="A90" s="4" t="str">
        <f t="shared" si="2"/>
        <v>CC013C
CC015C</v>
      </c>
      <c r="B90" s="4">
        <v>3</v>
      </c>
      <c r="C90" s="4" t="s">
        <v>41</v>
      </c>
      <c r="D90" s="4" t="s">
        <v>36</v>
      </c>
      <c r="E90" s="10" t="s">
        <v>143</v>
      </c>
      <c r="F90" s="6"/>
      <c r="G90" s="6" t="s">
        <v>38</v>
      </c>
      <c r="H90" s="6" t="s">
        <v>549</v>
      </c>
      <c r="I90" s="6"/>
      <c r="J90" s="6"/>
      <c r="K90" s="6"/>
      <c r="L90" s="6" t="s">
        <v>548</v>
      </c>
      <c r="M90" s="4" t="s">
        <v>144</v>
      </c>
      <c r="N90" s="4"/>
      <c r="O90" s="4"/>
      <c r="Q90" s="1" t="str">
        <f t="shared" si="3"/>
        <v>*/Consignment/Consignor/ContactPerson</v>
      </c>
    </row>
    <row r="91" spans="1:17" ht="12" hidden="1" customHeight="1" outlineLevel="4" x14ac:dyDescent="0.25">
      <c r="A91" s="1" t="str">
        <f t="shared" si="2"/>
        <v>CC013C
CC015C</v>
      </c>
      <c r="B91" s="1">
        <v>4</v>
      </c>
      <c r="C91" s="1" t="s">
        <v>17</v>
      </c>
      <c r="D91" s="1" t="s">
        <v>18</v>
      </c>
      <c r="E91" s="11" t="s">
        <v>4</v>
      </c>
      <c r="F91" s="3" t="s">
        <v>126</v>
      </c>
      <c r="G91" s="3" t="s">
        <v>21</v>
      </c>
      <c r="H91" s="3"/>
      <c r="I91" s="3"/>
      <c r="J91" s="3"/>
      <c r="K91" s="3"/>
      <c r="L91" s="3" t="s">
        <v>550</v>
      </c>
      <c r="M91" s="1" t="s">
        <v>127</v>
      </c>
      <c r="P91" s="1" t="s">
        <v>128</v>
      </c>
      <c r="Q91" s="1" t="str">
        <f t="shared" si="3"/>
        <v>*/Consignment/Consignor/ContactPerson/name</v>
      </c>
    </row>
    <row r="92" spans="1:17" ht="12" hidden="1" customHeight="1" outlineLevel="4" x14ac:dyDescent="0.25">
      <c r="A92" s="1" t="str">
        <f t="shared" si="2"/>
        <v>CC013C
CC015C</v>
      </c>
      <c r="B92" s="1">
        <v>4</v>
      </c>
      <c r="C92" s="1" t="s">
        <v>17</v>
      </c>
      <c r="D92" s="1" t="s">
        <v>18</v>
      </c>
      <c r="E92" s="11" t="s">
        <v>145</v>
      </c>
      <c r="F92" s="3" t="s">
        <v>20</v>
      </c>
      <c r="G92" s="3" t="s">
        <v>21</v>
      </c>
      <c r="H92" s="3"/>
      <c r="I92" s="3"/>
      <c r="J92" s="3"/>
      <c r="K92" s="3"/>
      <c r="L92" s="3" t="s">
        <v>551</v>
      </c>
      <c r="M92" s="1" t="s">
        <v>146</v>
      </c>
      <c r="P92" s="1" t="s">
        <v>147</v>
      </c>
      <c r="Q92" s="1" t="str">
        <f t="shared" si="3"/>
        <v>*/Consignment/Consignor/ContactPerson/phoneNumber</v>
      </c>
    </row>
    <row r="93" spans="1:17" ht="12" hidden="1" customHeight="1" outlineLevel="4" x14ac:dyDescent="0.25">
      <c r="A93" s="1" t="str">
        <f t="shared" si="2"/>
        <v>CC013C
CC015C</v>
      </c>
      <c r="B93" s="1">
        <v>4</v>
      </c>
      <c r="C93" s="1" t="s">
        <v>17</v>
      </c>
      <c r="D93" s="1" t="s">
        <v>36</v>
      </c>
      <c r="E93" s="11" t="s">
        <v>148</v>
      </c>
      <c r="F93" s="3" t="s">
        <v>149</v>
      </c>
      <c r="G93" s="3" t="s">
        <v>38</v>
      </c>
      <c r="H93" s="3" t="s">
        <v>458</v>
      </c>
      <c r="I93" s="3"/>
      <c r="J93" s="3"/>
      <c r="K93" s="3"/>
      <c r="L93" s="3" t="s">
        <v>552</v>
      </c>
      <c r="M93" s="1" t="s">
        <v>150</v>
      </c>
      <c r="P93" s="1" t="s">
        <v>151</v>
      </c>
      <c r="Q93" s="1" t="str">
        <f t="shared" si="3"/>
        <v>*/Consignment/Consignor/ContactPerson/eMailAddress</v>
      </c>
    </row>
    <row r="94" spans="1:17" ht="12" customHeight="1" outlineLevel="2" collapsed="1" x14ac:dyDescent="0.25">
      <c r="A94" s="4" t="str">
        <f t="shared" si="2"/>
        <v>CC013C
CC015C</v>
      </c>
      <c r="B94" s="4">
        <v>2</v>
      </c>
      <c r="C94" s="4" t="s">
        <v>41</v>
      </c>
      <c r="D94" s="4" t="s">
        <v>36</v>
      </c>
      <c r="E94" s="8" t="s">
        <v>209</v>
      </c>
      <c r="F94" s="6"/>
      <c r="G94" s="6" t="s">
        <v>450</v>
      </c>
      <c r="H94" s="6" t="s">
        <v>557</v>
      </c>
      <c r="I94" s="6" t="s">
        <v>556</v>
      </c>
      <c r="J94" s="6"/>
      <c r="K94" s="6"/>
      <c r="L94" s="6" t="s">
        <v>553</v>
      </c>
      <c r="M94" s="4" t="s">
        <v>209</v>
      </c>
      <c r="N94" s="4"/>
      <c r="O94" s="4"/>
      <c r="Q94" s="1" t="str">
        <f t="shared" si="3"/>
        <v>*/Consignment/Consignee</v>
      </c>
    </row>
    <row r="95" spans="1:17" ht="12" hidden="1" customHeight="1" outlineLevel="3" x14ac:dyDescent="0.25">
      <c r="A95" s="1" t="str">
        <f t="shared" si="2"/>
        <v>CC013C
CC015C</v>
      </c>
      <c r="B95" s="1">
        <v>3</v>
      </c>
      <c r="C95" s="1" t="s">
        <v>17</v>
      </c>
      <c r="D95" s="1" t="s">
        <v>36</v>
      </c>
      <c r="E95" s="9" t="s">
        <v>119</v>
      </c>
      <c r="F95" s="3" t="s">
        <v>120</v>
      </c>
      <c r="G95" s="3" t="s">
        <v>38</v>
      </c>
      <c r="H95" s="3" t="s">
        <v>558</v>
      </c>
      <c r="I95" s="3"/>
      <c r="J95" s="3"/>
      <c r="K95" s="3"/>
      <c r="L95" s="3" t="s">
        <v>554</v>
      </c>
      <c r="M95" s="1" t="s">
        <v>121</v>
      </c>
      <c r="P95" s="1" t="s">
        <v>122</v>
      </c>
      <c r="Q95" s="1" t="str">
        <f t="shared" si="3"/>
        <v>*/Consignment/Consignee/identificationNumber</v>
      </c>
    </row>
    <row r="96" spans="1:17" ht="12" hidden="1" customHeight="1" outlineLevel="3" x14ac:dyDescent="0.25">
      <c r="A96" s="1" t="str">
        <f t="shared" si="2"/>
        <v>CC013C
CC015C</v>
      </c>
      <c r="B96" s="1">
        <v>3</v>
      </c>
      <c r="C96" s="1" t="s">
        <v>17</v>
      </c>
      <c r="D96" s="1" t="s">
        <v>36</v>
      </c>
      <c r="E96" s="9" t="s">
        <v>4</v>
      </c>
      <c r="F96" s="3" t="s">
        <v>126</v>
      </c>
      <c r="G96" s="3" t="s">
        <v>450</v>
      </c>
      <c r="H96" s="3"/>
      <c r="I96" s="3" t="s">
        <v>541</v>
      </c>
      <c r="J96" s="3"/>
      <c r="K96" s="3"/>
      <c r="L96" s="3" t="s">
        <v>555</v>
      </c>
      <c r="M96" s="1" t="s">
        <v>127</v>
      </c>
      <c r="P96" s="1" t="s">
        <v>128</v>
      </c>
      <c r="Q96" s="1" t="str">
        <f t="shared" si="3"/>
        <v>*/Consignment/Consignee/name</v>
      </c>
    </row>
    <row r="97" spans="1:17" ht="12" hidden="1" customHeight="1" outlineLevel="3" x14ac:dyDescent="0.25">
      <c r="A97" s="4" t="str">
        <f t="shared" si="2"/>
        <v>CC013C
CC015C</v>
      </c>
      <c r="B97" s="4">
        <v>3</v>
      </c>
      <c r="C97" s="4" t="s">
        <v>41</v>
      </c>
      <c r="D97" s="4" t="s">
        <v>36</v>
      </c>
      <c r="E97" s="10" t="s">
        <v>129</v>
      </c>
      <c r="F97" s="6"/>
      <c r="G97" s="6" t="s">
        <v>450</v>
      </c>
      <c r="H97" s="6"/>
      <c r="I97" s="6" t="s">
        <v>541</v>
      </c>
      <c r="J97" s="6"/>
      <c r="K97" s="6"/>
      <c r="L97" s="6" t="s">
        <v>559</v>
      </c>
      <c r="M97" s="4" t="s">
        <v>129</v>
      </c>
      <c r="N97" s="4"/>
      <c r="O97" s="4"/>
      <c r="Q97" s="1" t="str">
        <f t="shared" si="3"/>
        <v>*/Consignment/Consignee/Address</v>
      </c>
    </row>
    <row r="98" spans="1:17" ht="12" hidden="1" customHeight="1" outlineLevel="4" x14ac:dyDescent="0.25">
      <c r="A98" s="1" t="str">
        <f t="shared" si="2"/>
        <v>CC013C
CC015C</v>
      </c>
      <c r="B98" s="1">
        <v>4</v>
      </c>
      <c r="C98" s="1" t="s">
        <v>17</v>
      </c>
      <c r="D98" s="1" t="s">
        <v>18</v>
      </c>
      <c r="E98" s="11" t="s">
        <v>130</v>
      </c>
      <c r="F98" s="3" t="s">
        <v>126</v>
      </c>
      <c r="G98" s="3" t="s">
        <v>21</v>
      </c>
      <c r="H98" s="3"/>
      <c r="I98" s="3"/>
      <c r="J98" s="3"/>
      <c r="K98" s="3"/>
      <c r="L98" s="3" t="s">
        <v>560</v>
      </c>
      <c r="M98" s="1" t="s">
        <v>131</v>
      </c>
      <c r="P98" s="1" t="s">
        <v>132</v>
      </c>
      <c r="Q98" s="1" t="str">
        <f t="shared" si="3"/>
        <v>*/Consignment/Consignee/Address/streetAndNumber</v>
      </c>
    </row>
    <row r="99" spans="1:17" ht="12" hidden="1" customHeight="1" outlineLevel="4" x14ac:dyDescent="0.25">
      <c r="A99" s="1" t="str">
        <f t="shared" si="2"/>
        <v>CC013C
CC015C</v>
      </c>
      <c r="B99" s="1">
        <v>4</v>
      </c>
      <c r="C99" s="1" t="s">
        <v>17</v>
      </c>
      <c r="D99" s="1" t="s">
        <v>36</v>
      </c>
      <c r="E99" s="11" t="s">
        <v>133</v>
      </c>
      <c r="F99" s="3" t="s">
        <v>120</v>
      </c>
      <c r="G99" s="3" t="s">
        <v>450</v>
      </c>
      <c r="H99" s="3"/>
      <c r="I99" s="3" t="s">
        <v>544</v>
      </c>
      <c r="J99" s="3"/>
      <c r="K99" s="3"/>
      <c r="L99" s="3" t="s">
        <v>561</v>
      </c>
      <c r="M99" s="1" t="s">
        <v>134</v>
      </c>
      <c r="P99" s="1" t="s">
        <v>135</v>
      </c>
      <c r="Q99" s="1" t="str">
        <f t="shared" si="3"/>
        <v>*/Consignment/Consignee/Address/postcode</v>
      </c>
    </row>
    <row r="100" spans="1:17" ht="12" hidden="1" customHeight="1" outlineLevel="4" x14ac:dyDescent="0.25">
      <c r="A100" s="1" t="str">
        <f t="shared" si="2"/>
        <v>CC013C
CC015C</v>
      </c>
      <c r="B100" s="1">
        <v>4</v>
      </c>
      <c r="C100" s="1" t="s">
        <v>17</v>
      </c>
      <c r="D100" s="1" t="s">
        <v>18</v>
      </c>
      <c r="E100" s="11" t="s">
        <v>136</v>
      </c>
      <c r="F100" s="3" t="s">
        <v>101</v>
      </c>
      <c r="G100" s="3" t="s">
        <v>21</v>
      </c>
      <c r="H100" s="3"/>
      <c r="I100" s="3"/>
      <c r="J100" s="3"/>
      <c r="K100" s="3"/>
      <c r="L100" s="3" t="s">
        <v>562</v>
      </c>
      <c r="M100" s="1" t="s">
        <v>137</v>
      </c>
      <c r="P100" s="1" t="s">
        <v>138</v>
      </c>
      <c r="Q100" s="1" t="str">
        <f t="shared" si="3"/>
        <v>*/Consignment/Consignee/Address/city</v>
      </c>
    </row>
    <row r="101" spans="1:17" ht="12" hidden="1" customHeight="1" outlineLevel="4" x14ac:dyDescent="0.25">
      <c r="A101" s="1" t="str">
        <f t="shared" si="2"/>
        <v>CC013C
CC015C</v>
      </c>
      <c r="B101" s="1">
        <v>4</v>
      </c>
      <c r="C101" s="1" t="s">
        <v>17</v>
      </c>
      <c r="D101" s="1" t="s">
        <v>18</v>
      </c>
      <c r="E101" s="11" t="s">
        <v>139</v>
      </c>
      <c r="F101" s="3" t="s">
        <v>140</v>
      </c>
      <c r="G101" s="3" t="s">
        <v>21</v>
      </c>
      <c r="H101" s="3"/>
      <c r="I101" s="3"/>
      <c r="J101" s="3" t="s">
        <v>547</v>
      </c>
      <c r="K101" s="3"/>
      <c r="L101" s="3" t="s">
        <v>563</v>
      </c>
      <c r="M101" s="1" t="s">
        <v>141</v>
      </c>
      <c r="P101" s="1" t="s">
        <v>142</v>
      </c>
      <c r="Q101" s="1" t="str">
        <f t="shared" si="3"/>
        <v>*/Consignment/Consignee/Address/country</v>
      </c>
    </row>
    <row r="102" spans="1:17" ht="12" customHeight="1" outlineLevel="2" collapsed="1" x14ac:dyDescent="0.25">
      <c r="A102" s="4" t="str">
        <f t="shared" si="2"/>
        <v>CC013C
CC015C</v>
      </c>
      <c r="B102" s="4">
        <v>2</v>
      </c>
      <c r="C102" s="4" t="s">
        <v>41</v>
      </c>
      <c r="D102" s="4" t="s">
        <v>164</v>
      </c>
      <c r="E102" s="8" t="s">
        <v>210</v>
      </c>
      <c r="F102" s="6"/>
      <c r="G102" s="6" t="s">
        <v>38</v>
      </c>
      <c r="H102" s="6" t="s">
        <v>467</v>
      </c>
      <c r="I102" s="6"/>
      <c r="J102" s="6"/>
      <c r="K102" s="6"/>
      <c r="L102" s="6" t="s">
        <v>596</v>
      </c>
      <c r="M102" s="4" t="s">
        <v>211</v>
      </c>
      <c r="N102" s="4"/>
      <c r="O102" s="4"/>
      <c r="Q102" s="1" t="str">
        <f t="shared" si="3"/>
        <v>*/Consignment/AdditionalSupplyChainActor[0]</v>
      </c>
    </row>
    <row r="103" spans="1:17" ht="12" hidden="1" customHeight="1" outlineLevel="3" x14ac:dyDescent="0.25">
      <c r="A103" s="1" t="str">
        <f t="shared" si="2"/>
        <v>CC013C
CC015C</v>
      </c>
      <c r="B103" s="1">
        <v>3</v>
      </c>
      <c r="C103" s="1" t="s">
        <v>17</v>
      </c>
      <c r="D103" s="1" t="s">
        <v>18</v>
      </c>
      <c r="E103" s="9" t="s">
        <v>93</v>
      </c>
      <c r="F103" s="3" t="s">
        <v>483</v>
      </c>
      <c r="G103" s="3" t="s">
        <v>21</v>
      </c>
      <c r="H103" s="3" t="s">
        <v>475</v>
      </c>
      <c r="I103" s="3"/>
      <c r="J103" s="3"/>
      <c r="K103" s="3"/>
      <c r="L103" s="3"/>
      <c r="M103" s="1" t="s">
        <v>95</v>
      </c>
      <c r="P103" s="1" t="s">
        <v>96</v>
      </c>
      <c r="Q103" s="1" t="str">
        <f t="shared" si="3"/>
        <v>*/Consignment/AdditionalSupplyChainActor[0]/sequenceNumber</v>
      </c>
    </row>
    <row r="104" spans="1:17" ht="12" hidden="1" customHeight="1" outlineLevel="3" x14ac:dyDescent="0.25">
      <c r="A104" s="1" t="str">
        <f t="shared" si="2"/>
        <v>CC013C
CC015C</v>
      </c>
      <c r="B104" s="1">
        <v>3</v>
      </c>
      <c r="C104" s="1" t="s">
        <v>17</v>
      </c>
      <c r="D104" s="1" t="s">
        <v>18</v>
      </c>
      <c r="E104" s="9" t="s">
        <v>212</v>
      </c>
      <c r="F104" s="3" t="s">
        <v>213</v>
      </c>
      <c r="G104" s="3" t="s">
        <v>21</v>
      </c>
      <c r="H104" s="3"/>
      <c r="I104" s="3"/>
      <c r="J104" s="3" t="s">
        <v>599</v>
      </c>
      <c r="K104" s="3"/>
      <c r="L104" s="3" t="s">
        <v>598</v>
      </c>
      <c r="M104" s="1" t="s">
        <v>214</v>
      </c>
      <c r="P104" s="1" t="s">
        <v>215</v>
      </c>
      <c r="Q104" s="1" t="str">
        <f t="shared" si="3"/>
        <v>*/Consignment/AdditionalSupplyChainActor[0]/role</v>
      </c>
    </row>
    <row r="105" spans="1:17" ht="12" hidden="1" customHeight="1" outlineLevel="3" x14ac:dyDescent="0.25">
      <c r="A105" s="1" t="str">
        <f t="shared" si="2"/>
        <v>CC013C
CC015C</v>
      </c>
      <c r="B105" s="1">
        <v>3</v>
      </c>
      <c r="C105" s="1" t="s">
        <v>17</v>
      </c>
      <c r="D105" s="1" t="s">
        <v>18</v>
      </c>
      <c r="E105" s="9" t="s">
        <v>119</v>
      </c>
      <c r="F105" s="3" t="s">
        <v>140</v>
      </c>
      <c r="G105" s="3" t="s">
        <v>21</v>
      </c>
      <c r="H105" s="3" t="s">
        <v>595</v>
      </c>
      <c r="I105" s="3"/>
      <c r="J105" s="3"/>
      <c r="K105" s="3"/>
      <c r="L105" s="3" t="s">
        <v>597</v>
      </c>
      <c r="M105" s="1" t="s">
        <v>121</v>
      </c>
      <c r="P105" s="1" t="s">
        <v>207</v>
      </c>
      <c r="Q105" s="1" t="str">
        <f t="shared" si="3"/>
        <v>*/Consignment/AdditionalSupplyChainActor[0]/identificationNumber</v>
      </c>
    </row>
    <row r="106" spans="1:17" ht="12" customHeight="1" outlineLevel="2" x14ac:dyDescent="0.25">
      <c r="A106" s="4" t="str">
        <f t="shared" si="2"/>
        <v>CC013C
CC015C</v>
      </c>
      <c r="B106" s="4">
        <v>2</v>
      </c>
      <c r="C106" s="4" t="s">
        <v>41</v>
      </c>
      <c r="D106" s="4" t="s">
        <v>216</v>
      </c>
      <c r="E106" s="8" t="s">
        <v>217</v>
      </c>
      <c r="F106" s="6"/>
      <c r="G106" s="6" t="s">
        <v>450</v>
      </c>
      <c r="H106" s="6" t="s">
        <v>744</v>
      </c>
      <c r="I106" s="6" t="s">
        <v>743</v>
      </c>
      <c r="J106" s="6"/>
      <c r="K106" s="6"/>
      <c r="L106" s="6" t="s">
        <v>737</v>
      </c>
      <c r="M106" s="4" t="s">
        <v>218</v>
      </c>
      <c r="N106" s="4"/>
      <c r="O106" s="4"/>
      <c r="Q106" s="1" t="str">
        <f t="shared" si="3"/>
        <v>*/Consignment/TransportEquipment[0]</v>
      </c>
    </row>
    <row r="107" spans="1:17" ht="12" customHeight="1" outlineLevel="3" x14ac:dyDescent="0.25">
      <c r="A107" s="1" t="str">
        <f t="shared" si="2"/>
        <v>CC013C
CC015C</v>
      </c>
      <c r="B107" s="1">
        <v>3</v>
      </c>
      <c r="C107" s="1" t="s">
        <v>17</v>
      </c>
      <c r="D107" s="1" t="s">
        <v>18</v>
      </c>
      <c r="E107" s="9" t="s">
        <v>93</v>
      </c>
      <c r="F107" s="3" t="s">
        <v>504</v>
      </c>
      <c r="G107" s="3" t="s">
        <v>21</v>
      </c>
      <c r="H107" s="3" t="s">
        <v>475</v>
      </c>
      <c r="I107" s="3"/>
      <c r="J107" s="3"/>
      <c r="K107" s="3"/>
      <c r="L107" s="3"/>
      <c r="M107" s="1" t="s">
        <v>95</v>
      </c>
      <c r="P107" s="1" t="s">
        <v>96</v>
      </c>
      <c r="Q107" s="1" t="str">
        <f t="shared" si="3"/>
        <v>*/Consignment/TransportEquipment[0]/sequenceNumber</v>
      </c>
    </row>
    <row r="108" spans="1:17" ht="12" customHeight="1" outlineLevel="3" x14ac:dyDescent="0.25">
      <c r="A108" s="1" t="str">
        <f t="shared" si="2"/>
        <v>CC013C
CC015C</v>
      </c>
      <c r="B108" s="1">
        <v>3</v>
      </c>
      <c r="C108" s="1" t="s">
        <v>17</v>
      </c>
      <c r="D108" s="1" t="s">
        <v>36</v>
      </c>
      <c r="E108" s="9" t="s">
        <v>219</v>
      </c>
      <c r="F108" s="3" t="s">
        <v>220</v>
      </c>
      <c r="G108" s="3" t="s">
        <v>450</v>
      </c>
      <c r="H108" s="3" t="s">
        <v>458</v>
      </c>
      <c r="I108" s="3" t="s">
        <v>745</v>
      </c>
      <c r="J108" s="3"/>
      <c r="K108" s="3"/>
      <c r="L108" s="3" t="s">
        <v>739</v>
      </c>
      <c r="M108" s="1" t="s">
        <v>221</v>
      </c>
      <c r="P108" s="1" t="s">
        <v>222</v>
      </c>
      <c r="Q108" s="1" t="str">
        <f t="shared" si="3"/>
        <v>*/Consignment/TransportEquipment[0]/containerIdentificationNumber</v>
      </c>
    </row>
    <row r="109" spans="1:17" ht="12" customHeight="1" outlineLevel="3" x14ac:dyDescent="0.25">
      <c r="A109" s="1" t="str">
        <f t="shared" si="2"/>
        <v>CC013C
CC015C</v>
      </c>
      <c r="B109" s="1">
        <v>3</v>
      </c>
      <c r="C109" s="1" t="s">
        <v>17</v>
      </c>
      <c r="D109" s="1" t="s">
        <v>18</v>
      </c>
      <c r="E109" s="9" t="s">
        <v>223</v>
      </c>
      <c r="F109" s="3" t="s">
        <v>224</v>
      </c>
      <c r="G109" s="3" t="s">
        <v>21</v>
      </c>
      <c r="H109" s="3" t="s">
        <v>746</v>
      </c>
      <c r="I109" s="3"/>
      <c r="J109" s="3"/>
      <c r="K109" s="3"/>
      <c r="L109" s="3" t="s">
        <v>742</v>
      </c>
      <c r="M109" s="1" t="s">
        <v>225</v>
      </c>
      <c r="P109" s="1" t="s">
        <v>226</v>
      </c>
      <c r="Q109" s="1" t="str">
        <f t="shared" si="3"/>
        <v>*/Consignment/TransportEquipment[0]/numberOfSeals</v>
      </c>
    </row>
    <row r="110" spans="1:17" ht="12" customHeight="1" outlineLevel="3" x14ac:dyDescent="0.25">
      <c r="A110" s="4" t="str">
        <f t="shared" si="2"/>
        <v>CC013C
CC015C</v>
      </c>
      <c r="B110" s="4">
        <v>3</v>
      </c>
      <c r="C110" s="4" t="s">
        <v>41</v>
      </c>
      <c r="D110" s="4" t="s">
        <v>164</v>
      </c>
      <c r="E110" s="10" t="s">
        <v>227</v>
      </c>
      <c r="F110" s="6"/>
      <c r="G110" s="6" t="s">
        <v>450</v>
      </c>
      <c r="H110" s="6"/>
      <c r="I110" s="6" t="s">
        <v>747</v>
      </c>
      <c r="J110" s="6"/>
      <c r="K110" s="6"/>
      <c r="L110" s="6" t="s">
        <v>740</v>
      </c>
      <c r="M110" s="4" t="s">
        <v>227</v>
      </c>
      <c r="N110" s="4"/>
      <c r="O110" s="4"/>
      <c r="Q110" s="1" t="str">
        <f t="shared" si="3"/>
        <v>*/Consignment/TransportEquipment[0]/Seal[0]</v>
      </c>
    </row>
    <row r="111" spans="1:17" ht="12" customHeight="1" outlineLevel="4" x14ac:dyDescent="0.25">
      <c r="A111" s="1" t="str">
        <f t="shared" si="2"/>
        <v>CC013C
CC015C</v>
      </c>
      <c r="B111" s="1">
        <v>4</v>
      </c>
      <c r="C111" s="1" t="s">
        <v>17</v>
      </c>
      <c r="D111" s="1" t="s">
        <v>18</v>
      </c>
      <c r="E111" s="11" t="s">
        <v>93</v>
      </c>
      <c r="F111" s="3" t="s">
        <v>483</v>
      </c>
      <c r="G111" s="3" t="s">
        <v>21</v>
      </c>
      <c r="H111" s="3" t="s">
        <v>475</v>
      </c>
      <c r="I111" s="3"/>
      <c r="J111" s="3"/>
      <c r="K111" s="3"/>
      <c r="L111" s="3"/>
      <c r="M111" s="1" t="s">
        <v>95</v>
      </c>
      <c r="P111" s="1" t="s">
        <v>96</v>
      </c>
      <c r="Q111" s="1" t="str">
        <f t="shared" si="3"/>
        <v>*/Consignment/TransportEquipment[0]/Seal[0]/sequenceNumber</v>
      </c>
    </row>
    <row r="112" spans="1:17" ht="12" customHeight="1" outlineLevel="4" x14ac:dyDescent="0.25">
      <c r="A112" s="1" t="str">
        <f t="shared" si="2"/>
        <v>CC013C
CC015C</v>
      </c>
      <c r="B112" s="1">
        <v>4</v>
      </c>
      <c r="C112" s="1" t="s">
        <v>17</v>
      </c>
      <c r="D112" s="1" t="s">
        <v>18</v>
      </c>
      <c r="E112" s="11" t="s">
        <v>228</v>
      </c>
      <c r="F112" s="3" t="s">
        <v>229</v>
      </c>
      <c r="G112" s="3" t="s">
        <v>21</v>
      </c>
      <c r="H112" s="3" t="s">
        <v>748</v>
      </c>
      <c r="I112" s="3"/>
      <c r="J112" s="3"/>
      <c r="K112" s="3"/>
      <c r="L112" s="3" t="s">
        <v>741</v>
      </c>
      <c r="M112" s="1" t="s">
        <v>230</v>
      </c>
      <c r="P112" s="1" t="s">
        <v>231</v>
      </c>
      <c r="Q112" s="1" t="str">
        <f t="shared" si="3"/>
        <v>*/Consignment/TransportEquipment[0]/Seal[0]/identifier</v>
      </c>
    </row>
    <row r="113" spans="1:17" ht="12" customHeight="1" outlineLevel="3" x14ac:dyDescent="0.25">
      <c r="A113" s="4" t="str">
        <f t="shared" si="2"/>
        <v>CC013C
CC015C</v>
      </c>
      <c r="B113" s="4">
        <v>3</v>
      </c>
      <c r="C113" s="4" t="s">
        <v>41</v>
      </c>
      <c r="D113" s="4" t="s">
        <v>216</v>
      </c>
      <c r="E113" s="10" t="s">
        <v>232</v>
      </c>
      <c r="F113" s="6"/>
      <c r="G113" s="6" t="s">
        <v>450</v>
      </c>
      <c r="H113" s="6" t="s">
        <v>750</v>
      </c>
      <c r="I113" s="6" t="s">
        <v>749</v>
      </c>
      <c r="J113" s="6"/>
      <c r="K113" s="6"/>
      <c r="L113" s="6" t="s">
        <v>738</v>
      </c>
      <c r="M113" s="4" t="s">
        <v>233</v>
      </c>
      <c r="N113" s="4"/>
      <c r="O113" s="4"/>
      <c r="Q113" s="1" t="str">
        <f t="shared" si="3"/>
        <v>*/Consignment/TransportEquipment[0]/GoodsReference[0]</v>
      </c>
    </row>
    <row r="114" spans="1:17" ht="12" customHeight="1" outlineLevel="4" x14ac:dyDescent="0.25">
      <c r="A114" s="1" t="str">
        <f t="shared" si="2"/>
        <v>CC013C
CC015C</v>
      </c>
      <c r="B114" s="1">
        <v>4</v>
      </c>
      <c r="C114" s="1" t="s">
        <v>17</v>
      </c>
      <c r="D114" s="1" t="s">
        <v>18</v>
      </c>
      <c r="E114" s="11" t="s">
        <v>93</v>
      </c>
      <c r="F114" s="3" t="s">
        <v>94</v>
      </c>
      <c r="G114" s="3" t="s">
        <v>21</v>
      </c>
      <c r="H114" s="3" t="s">
        <v>475</v>
      </c>
      <c r="I114" s="3"/>
      <c r="J114" s="3"/>
      <c r="K114" s="3"/>
      <c r="L114" s="3"/>
      <c r="M114" s="1" t="s">
        <v>95</v>
      </c>
      <c r="P114" s="1" t="s">
        <v>96</v>
      </c>
      <c r="Q114" s="1" t="str">
        <f t="shared" si="3"/>
        <v>*/Consignment/TransportEquipment[0]/GoodsReference[0]/sequenceNumber</v>
      </c>
    </row>
    <row r="115" spans="1:17" ht="12" customHeight="1" outlineLevel="4" x14ac:dyDescent="0.25">
      <c r="A115" s="1" t="str">
        <f t="shared" si="2"/>
        <v>CC013C
CC015C</v>
      </c>
      <c r="B115" s="1">
        <v>4</v>
      </c>
      <c r="C115" s="1" t="s">
        <v>17</v>
      </c>
      <c r="D115" s="1" t="s">
        <v>18</v>
      </c>
      <c r="E115" s="11" t="s">
        <v>234</v>
      </c>
      <c r="F115" s="3" t="s">
        <v>235</v>
      </c>
      <c r="G115" s="3" t="s">
        <v>21</v>
      </c>
      <c r="H115" s="3"/>
      <c r="I115" s="3" t="s">
        <v>751</v>
      </c>
      <c r="J115" s="3"/>
      <c r="K115" s="3"/>
      <c r="L115" s="3" t="s">
        <v>752</v>
      </c>
      <c r="M115" s="1" t="s">
        <v>236</v>
      </c>
      <c r="P115" s="1" t="s">
        <v>237</v>
      </c>
      <c r="Q115" s="1" t="str">
        <f t="shared" si="3"/>
        <v>*/Consignment/TransportEquipment[0]/GoodsReference[0]/declarationGoodsItemNumber</v>
      </c>
    </row>
    <row r="116" spans="1:17" ht="12" customHeight="1" outlineLevel="2" x14ac:dyDescent="0.25">
      <c r="A116" s="4" t="str">
        <f t="shared" si="2"/>
        <v>CC013C
CC015C</v>
      </c>
      <c r="B116" s="4">
        <v>2</v>
      </c>
      <c r="C116" s="4" t="s">
        <v>41</v>
      </c>
      <c r="D116" s="4" t="s">
        <v>36</v>
      </c>
      <c r="E116" s="8" t="s">
        <v>238</v>
      </c>
      <c r="F116" s="6"/>
      <c r="G116" s="6" t="s">
        <v>450</v>
      </c>
      <c r="H116" s="6" t="s">
        <v>637</v>
      </c>
      <c r="I116" s="6" t="s">
        <v>636</v>
      </c>
      <c r="J116" s="6"/>
      <c r="K116" s="6"/>
      <c r="L116" s="6" t="s">
        <v>630</v>
      </c>
      <c r="M116" s="4" t="s">
        <v>239</v>
      </c>
      <c r="N116" s="4"/>
      <c r="O116" s="4"/>
      <c r="Q116" s="1" t="str">
        <f t="shared" si="3"/>
        <v>*/Consignment/LocationOfGoods</v>
      </c>
    </row>
    <row r="117" spans="1:17" ht="12" customHeight="1" outlineLevel="3" x14ac:dyDescent="0.25">
      <c r="A117" s="1" t="str">
        <f t="shared" si="2"/>
        <v>CC013C
CC015C</v>
      </c>
      <c r="B117" s="1">
        <v>3</v>
      </c>
      <c r="C117" s="1" t="s">
        <v>17</v>
      </c>
      <c r="D117" s="1" t="s">
        <v>18</v>
      </c>
      <c r="E117" s="9" t="s">
        <v>240</v>
      </c>
      <c r="F117" s="3" t="s">
        <v>57</v>
      </c>
      <c r="G117" s="3" t="s">
        <v>21</v>
      </c>
      <c r="H117" s="3"/>
      <c r="I117" s="3"/>
      <c r="J117" s="3" t="s">
        <v>638</v>
      </c>
      <c r="K117" s="3"/>
      <c r="L117" s="3" t="s">
        <v>631</v>
      </c>
      <c r="M117" s="1" t="s">
        <v>241</v>
      </c>
      <c r="P117" s="1" t="s">
        <v>242</v>
      </c>
      <c r="Q117" s="1" t="str">
        <f t="shared" si="3"/>
        <v>*/Consignment/LocationOfGoods/typeOfLocation</v>
      </c>
    </row>
    <row r="118" spans="1:17" ht="12" customHeight="1" outlineLevel="3" x14ac:dyDescent="0.25">
      <c r="A118" s="1" t="str">
        <f t="shared" si="2"/>
        <v>CC013C
CC015C</v>
      </c>
      <c r="B118" s="1">
        <v>3</v>
      </c>
      <c r="C118" s="1" t="s">
        <v>17</v>
      </c>
      <c r="D118" s="1" t="s">
        <v>18</v>
      </c>
      <c r="E118" s="9" t="s">
        <v>243</v>
      </c>
      <c r="F118" s="3" t="s">
        <v>57</v>
      </c>
      <c r="G118" s="3" t="s">
        <v>21</v>
      </c>
      <c r="H118" s="3" t="s">
        <v>639</v>
      </c>
      <c r="I118" s="3"/>
      <c r="J118" s="3" t="s">
        <v>640</v>
      </c>
      <c r="K118" s="3"/>
      <c r="L118" s="3" t="s">
        <v>632</v>
      </c>
      <c r="M118" s="1" t="s">
        <v>244</v>
      </c>
      <c r="P118" s="1" t="s">
        <v>245</v>
      </c>
      <c r="Q118" s="1" t="str">
        <f t="shared" si="3"/>
        <v>*/Consignment/LocationOfGoods/qualifierOfIdentification</v>
      </c>
    </row>
    <row r="119" spans="1:17" ht="12" customHeight="1" outlineLevel="3" x14ac:dyDescent="0.25">
      <c r="A119" s="1" t="str">
        <f t="shared" si="2"/>
        <v>CC013C
CC015C</v>
      </c>
      <c r="B119" s="1">
        <v>3</v>
      </c>
      <c r="C119" s="1" t="s">
        <v>17</v>
      </c>
      <c r="D119" s="1" t="s">
        <v>36</v>
      </c>
      <c r="E119" s="9" t="s">
        <v>246</v>
      </c>
      <c r="F119" s="3" t="s">
        <v>101</v>
      </c>
      <c r="G119" s="3" t="s">
        <v>450</v>
      </c>
      <c r="H119" s="3"/>
      <c r="I119" s="3" t="s">
        <v>641</v>
      </c>
      <c r="J119" s="3"/>
      <c r="K119" s="3"/>
      <c r="L119" s="3" t="s">
        <v>633</v>
      </c>
      <c r="M119" s="1" t="s">
        <v>247</v>
      </c>
      <c r="P119" s="1" t="s">
        <v>248</v>
      </c>
      <c r="Q119" s="1" t="str">
        <f t="shared" si="3"/>
        <v>*/Consignment/LocationOfGoods/authorisationNumber</v>
      </c>
    </row>
    <row r="120" spans="1:17" ht="12" customHeight="1" outlineLevel="3" x14ac:dyDescent="0.25">
      <c r="A120" s="1" t="str">
        <f t="shared" si="2"/>
        <v>CC013C
CC015C</v>
      </c>
      <c r="B120" s="1">
        <v>3</v>
      </c>
      <c r="C120" s="1" t="s">
        <v>17</v>
      </c>
      <c r="D120" s="1" t="s">
        <v>36</v>
      </c>
      <c r="E120" s="9" t="s">
        <v>249</v>
      </c>
      <c r="F120" s="3" t="s">
        <v>250</v>
      </c>
      <c r="G120" s="3" t="s">
        <v>450</v>
      </c>
      <c r="H120" s="3"/>
      <c r="I120" s="3" t="s">
        <v>642</v>
      </c>
      <c r="J120" s="3"/>
      <c r="K120" s="3"/>
      <c r="L120" s="3" t="s">
        <v>634</v>
      </c>
      <c r="M120" s="1" t="s">
        <v>251</v>
      </c>
      <c r="P120" s="1" t="s">
        <v>252</v>
      </c>
      <c r="Q120" s="1" t="str">
        <f t="shared" si="3"/>
        <v>*/Consignment/LocationOfGoods/additionalIdentifier</v>
      </c>
    </row>
    <row r="121" spans="1:17" ht="12" customHeight="1" outlineLevel="3" x14ac:dyDescent="0.25">
      <c r="A121" s="1" t="str">
        <f t="shared" si="2"/>
        <v>CC013C
CC015C</v>
      </c>
      <c r="B121" s="1">
        <v>3</v>
      </c>
      <c r="C121" s="1" t="s">
        <v>17</v>
      </c>
      <c r="D121" s="1" t="s">
        <v>36</v>
      </c>
      <c r="E121" s="9" t="s">
        <v>253</v>
      </c>
      <c r="F121" s="3" t="s">
        <v>254</v>
      </c>
      <c r="G121" s="3" t="s">
        <v>450</v>
      </c>
      <c r="H121" s="3"/>
      <c r="I121" s="3" t="s">
        <v>641</v>
      </c>
      <c r="J121" s="3" t="s">
        <v>622</v>
      </c>
      <c r="K121" s="3"/>
      <c r="L121" s="3" t="s">
        <v>635</v>
      </c>
      <c r="M121" s="1" t="s">
        <v>255</v>
      </c>
      <c r="P121" s="1" t="s">
        <v>256</v>
      </c>
      <c r="Q121" s="1" t="str">
        <f t="shared" si="3"/>
        <v>*/Consignment/LocationOfGoods/UNLocode</v>
      </c>
    </row>
    <row r="122" spans="1:17" ht="12" customHeight="1" outlineLevel="3" x14ac:dyDescent="0.25">
      <c r="A122" s="4" t="str">
        <f t="shared" si="2"/>
        <v>CC013C
CC015C</v>
      </c>
      <c r="B122" s="4">
        <v>3</v>
      </c>
      <c r="C122" s="4" t="s">
        <v>41</v>
      </c>
      <c r="D122" s="4" t="s">
        <v>36</v>
      </c>
      <c r="E122" s="10" t="s">
        <v>257</v>
      </c>
      <c r="F122" s="6"/>
      <c r="G122" s="6" t="s">
        <v>450</v>
      </c>
      <c r="H122" s="6"/>
      <c r="I122" s="6" t="s">
        <v>641</v>
      </c>
      <c r="J122" s="6"/>
      <c r="K122" s="6"/>
      <c r="L122" s="6" t="s">
        <v>643</v>
      </c>
      <c r="M122" s="4" t="s">
        <v>258</v>
      </c>
      <c r="N122" s="4"/>
      <c r="O122" s="4"/>
      <c r="Q122" s="1" t="str">
        <f t="shared" si="3"/>
        <v>*/Consignment/LocationOfGoods/CustomsOffice</v>
      </c>
    </row>
    <row r="123" spans="1:17" ht="12" customHeight="1" outlineLevel="4" x14ac:dyDescent="0.25">
      <c r="A123" s="1" t="str">
        <f t="shared" si="2"/>
        <v>CC013C
CC015C</v>
      </c>
      <c r="B123" s="1">
        <v>4</v>
      </c>
      <c r="C123" s="1" t="s">
        <v>17</v>
      </c>
      <c r="D123" s="1" t="s">
        <v>18</v>
      </c>
      <c r="E123" s="11" t="s">
        <v>100</v>
      </c>
      <c r="F123" s="3" t="s">
        <v>106</v>
      </c>
      <c r="G123" s="3" t="s">
        <v>21</v>
      </c>
      <c r="H123" s="3"/>
      <c r="I123" s="3"/>
      <c r="J123" s="3" t="s">
        <v>645</v>
      </c>
      <c r="K123" s="3"/>
      <c r="L123" s="3" t="s">
        <v>644</v>
      </c>
      <c r="M123" s="1" t="s">
        <v>102</v>
      </c>
      <c r="P123" s="1" t="s">
        <v>107</v>
      </c>
      <c r="Q123" s="1" t="str">
        <f t="shared" si="3"/>
        <v>*/Consignment/LocationOfGoods/CustomsOffice/referenceNumber</v>
      </c>
    </row>
    <row r="124" spans="1:17" ht="12" customHeight="1" outlineLevel="3" x14ac:dyDescent="0.25">
      <c r="A124" s="4" t="str">
        <f t="shared" si="2"/>
        <v>CC013C
CC015C</v>
      </c>
      <c r="B124" s="4">
        <v>3</v>
      </c>
      <c r="C124" s="4" t="s">
        <v>41</v>
      </c>
      <c r="D124" s="4" t="s">
        <v>36</v>
      </c>
      <c r="E124" s="10" t="s">
        <v>259</v>
      </c>
      <c r="F124" s="6"/>
      <c r="G124" s="6" t="s">
        <v>450</v>
      </c>
      <c r="H124" s="6"/>
      <c r="I124" s="6" t="s">
        <v>641</v>
      </c>
      <c r="J124" s="6"/>
      <c r="K124" s="6"/>
      <c r="L124" s="6" t="s">
        <v>646</v>
      </c>
      <c r="M124" s="4" t="s">
        <v>260</v>
      </c>
      <c r="N124" s="4"/>
      <c r="O124" s="4"/>
      <c r="Q124" s="1" t="str">
        <f t="shared" si="3"/>
        <v>*/Consignment/LocationOfGoods/GNSS</v>
      </c>
    </row>
    <row r="125" spans="1:17" ht="12" customHeight="1" outlineLevel="4" x14ac:dyDescent="0.25">
      <c r="A125" s="1" t="str">
        <f t="shared" si="2"/>
        <v>CC013C
CC015C</v>
      </c>
      <c r="B125" s="1">
        <v>4</v>
      </c>
      <c r="C125" s="1" t="s">
        <v>17</v>
      </c>
      <c r="D125" s="1" t="s">
        <v>18</v>
      </c>
      <c r="E125" s="11" t="s">
        <v>261</v>
      </c>
      <c r="F125" s="3" t="s">
        <v>404</v>
      </c>
      <c r="G125" s="3" t="s">
        <v>21</v>
      </c>
      <c r="H125" s="3" t="s">
        <v>649</v>
      </c>
      <c r="I125" s="3"/>
      <c r="J125" s="3"/>
      <c r="K125" s="3"/>
      <c r="L125" s="3" t="s">
        <v>647</v>
      </c>
      <c r="M125" s="1" t="s">
        <v>262</v>
      </c>
      <c r="P125" s="1" t="s">
        <v>263</v>
      </c>
      <c r="Q125" s="1" t="str">
        <f t="shared" si="3"/>
        <v>*/Consignment/LocationOfGoods/GNSS/latitude</v>
      </c>
    </row>
    <row r="126" spans="1:17" ht="12" customHeight="1" outlineLevel="4" x14ac:dyDescent="0.25">
      <c r="A126" s="1" t="str">
        <f t="shared" si="2"/>
        <v>CC013C
CC015C</v>
      </c>
      <c r="B126" s="1">
        <v>4</v>
      </c>
      <c r="C126" s="1" t="s">
        <v>17</v>
      </c>
      <c r="D126" s="1" t="s">
        <v>18</v>
      </c>
      <c r="E126" s="11" t="s">
        <v>264</v>
      </c>
      <c r="F126" s="3" t="s">
        <v>405</v>
      </c>
      <c r="G126" s="3" t="s">
        <v>21</v>
      </c>
      <c r="H126" s="3" t="s">
        <v>649</v>
      </c>
      <c r="I126" s="3"/>
      <c r="J126" s="3"/>
      <c r="K126" s="3"/>
      <c r="L126" s="3" t="s">
        <v>648</v>
      </c>
      <c r="M126" s="1" t="s">
        <v>265</v>
      </c>
      <c r="P126" s="1" t="s">
        <v>266</v>
      </c>
      <c r="Q126" s="1" t="str">
        <f t="shared" si="3"/>
        <v>*/Consignment/LocationOfGoods/GNSS/longitude</v>
      </c>
    </row>
    <row r="127" spans="1:17" ht="12" customHeight="1" outlineLevel="3" x14ac:dyDescent="0.25">
      <c r="A127" s="4" t="str">
        <f t="shared" si="2"/>
        <v>CC013C
CC015C</v>
      </c>
      <c r="B127" s="4">
        <v>3</v>
      </c>
      <c r="C127" s="4" t="s">
        <v>41</v>
      </c>
      <c r="D127" s="4" t="s">
        <v>36</v>
      </c>
      <c r="E127" s="10" t="s">
        <v>267</v>
      </c>
      <c r="F127" s="6"/>
      <c r="G127" s="6" t="s">
        <v>450</v>
      </c>
      <c r="H127" s="6"/>
      <c r="I127" s="6" t="s">
        <v>641</v>
      </c>
      <c r="J127" s="6"/>
      <c r="K127" s="6"/>
      <c r="L127" s="6" t="s">
        <v>650</v>
      </c>
      <c r="M127" s="4" t="s">
        <v>268</v>
      </c>
      <c r="N127" s="4"/>
      <c r="O127" s="4"/>
      <c r="Q127" s="1" t="str">
        <f t="shared" si="3"/>
        <v>*/Consignment/LocationOfGoods/EconomicOperator</v>
      </c>
    </row>
    <row r="128" spans="1:17" ht="12" customHeight="1" outlineLevel="4" x14ac:dyDescent="0.25">
      <c r="A128" s="1" t="str">
        <f t="shared" si="2"/>
        <v>CC013C
CC015C</v>
      </c>
      <c r="B128" s="1">
        <v>4</v>
      </c>
      <c r="C128" s="1" t="s">
        <v>17</v>
      </c>
      <c r="D128" s="1" t="s">
        <v>18</v>
      </c>
      <c r="E128" s="11" t="s">
        <v>119</v>
      </c>
      <c r="F128" s="3" t="s">
        <v>120</v>
      </c>
      <c r="G128" s="3" t="s">
        <v>21</v>
      </c>
      <c r="H128" s="3" t="s">
        <v>537</v>
      </c>
      <c r="I128" s="3"/>
      <c r="J128" s="3"/>
      <c r="K128" s="3"/>
      <c r="L128" s="3" t="s">
        <v>651</v>
      </c>
      <c r="M128" s="1" t="s">
        <v>121</v>
      </c>
      <c r="P128" s="1" t="s">
        <v>122</v>
      </c>
      <c r="Q128" s="1" t="str">
        <f t="shared" si="3"/>
        <v>*/Consignment/LocationOfGoods/EconomicOperator/identificationNumber</v>
      </c>
    </row>
    <row r="129" spans="1:17" ht="12" customHeight="1" outlineLevel="3" x14ac:dyDescent="0.25">
      <c r="A129" s="4" t="str">
        <f t="shared" si="2"/>
        <v>CC013C
CC015C</v>
      </c>
      <c r="B129" s="4">
        <v>3</v>
      </c>
      <c r="C129" s="4" t="s">
        <v>41</v>
      </c>
      <c r="D129" s="4" t="s">
        <v>36</v>
      </c>
      <c r="E129" s="10" t="s">
        <v>129</v>
      </c>
      <c r="F129" s="6"/>
      <c r="G129" s="6" t="s">
        <v>450</v>
      </c>
      <c r="H129" s="6"/>
      <c r="I129" s="6" t="s">
        <v>641</v>
      </c>
      <c r="J129" s="6"/>
      <c r="K129" s="6"/>
      <c r="L129" s="6" t="s">
        <v>652</v>
      </c>
      <c r="M129" s="4" t="s">
        <v>129</v>
      </c>
      <c r="N129" s="4"/>
      <c r="O129" s="4"/>
      <c r="Q129" s="1" t="str">
        <f t="shared" si="3"/>
        <v>*/Consignment/LocationOfGoods/Address</v>
      </c>
    </row>
    <row r="130" spans="1:17" ht="12" customHeight="1" outlineLevel="4" x14ac:dyDescent="0.25">
      <c r="A130" s="1" t="str">
        <f t="shared" ref="A130:A193" si="4">$E$2</f>
        <v>CC013C
CC015C</v>
      </c>
      <c r="B130" s="1">
        <v>4</v>
      </c>
      <c r="C130" s="1" t="s">
        <v>17</v>
      </c>
      <c r="D130" s="1" t="s">
        <v>18</v>
      </c>
      <c r="E130" s="11" t="s">
        <v>130</v>
      </c>
      <c r="F130" s="3" t="s">
        <v>126</v>
      </c>
      <c r="G130" s="3" t="s">
        <v>21</v>
      </c>
      <c r="H130" s="3"/>
      <c r="I130" s="3"/>
      <c r="J130" s="3"/>
      <c r="K130" s="3"/>
      <c r="L130" s="3" t="s">
        <v>653</v>
      </c>
      <c r="M130" s="1" t="s">
        <v>131</v>
      </c>
      <c r="P130" s="1" t="s">
        <v>132</v>
      </c>
      <c r="Q130" s="1" t="str">
        <f t="shared" ref="Q130:Q193" si="5">IF($B130=0,$M130,_xlfn.TEXTBEFORE(Q129,"/",$B130,,,Q129)&amp;"/"&amp;$M130)&amp;IF(_xlfn.TEXTAFTER($D130,"..",,,,1)&lt;&gt;"1","[0]","")</f>
        <v>*/Consignment/LocationOfGoods/Address/streetAndNumber</v>
      </c>
    </row>
    <row r="131" spans="1:17" ht="12" customHeight="1" outlineLevel="4" x14ac:dyDescent="0.25">
      <c r="A131" s="1" t="str">
        <f t="shared" si="4"/>
        <v>CC013C
CC015C</v>
      </c>
      <c r="B131" s="1">
        <v>4</v>
      </c>
      <c r="C131" s="1" t="s">
        <v>17</v>
      </c>
      <c r="D131" s="1" t="s">
        <v>36</v>
      </c>
      <c r="E131" s="11" t="s">
        <v>133</v>
      </c>
      <c r="F131" s="3" t="s">
        <v>120</v>
      </c>
      <c r="G131" s="3" t="s">
        <v>450</v>
      </c>
      <c r="H131" s="3"/>
      <c r="I131" s="3" t="s">
        <v>544</v>
      </c>
      <c r="J131" s="3"/>
      <c r="K131" s="3"/>
      <c r="L131" s="3" t="s">
        <v>654</v>
      </c>
      <c r="M131" s="1" t="s">
        <v>134</v>
      </c>
      <c r="P131" s="1" t="s">
        <v>135</v>
      </c>
      <c r="Q131" s="1" t="str">
        <f t="shared" si="5"/>
        <v>*/Consignment/LocationOfGoods/Address/postcode</v>
      </c>
    </row>
    <row r="132" spans="1:17" ht="12" customHeight="1" outlineLevel="4" x14ac:dyDescent="0.25">
      <c r="A132" s="1" t="str">
        <f t="shared" si="4"/>
        <v>CC013C
CC015C</v>
      </c>
      <c r="B132" s="1">
        <v>4</v>
      </c>
      <c r="C132" s="1" t="s">
        <v>17</v>
      </c>
      <c r="D132" s="1" t="s">
        <v>18</v>
      </c>
      <c r="E132" s="11" t="s">
        <v>136</v>
      </c>
      <c r="F132" s="3" t="s">
        <v>101</v>
      </c>
      <c r="G132" s="3" t="s">
        <v>21</v>
      </c>
      <c r="H132" s="3"/>
      <c r="I132" s="3"/>
      <c r="J132" s="3"/>
      <c r="K132" s="3"/>
      <c r="L132" s="3" t="s">
        <v>655</v>
      </c>
      <c r="M132" s="1" t="s">
        <v>137</v>
      </c>
      <c r="P132" s="1" t="s">
        <v>138</v>
      </c>
      <c r="Q132" s="1" t="str">
        <f t="shared" si="5"/>
        <v>*/Consignment/LocationOfGoods/Address/city</v>
      </c>
    </row>
    <row r="133" spans="1:17" ht="12" customHeight="1" outlineLevel="4" x14ac:dyDescent="0.25">
      <c r="A133" s="1" t="str">
        <f t="shared" si="4"/>
        <v>CC013C
CC015C</v>
      </c>
      <c r="B133" s="1">
        <v>4</v>
      </c>
      <c r="C133" s="1" t="s">
        <v>17</v>
      </c>
      <c r="D133" s="1" t="s">
        <v>18</v>
      </c>
      <c r="E133" s="11" t="s">
        <v>139</v>
      </c>
      <c r="F133" s="3" t="s">
        <v>140</v>
      </c>
      <c r="G133" s="3" t="s">
        <v>21</v>
      </c>
      <c r="H133" s="3"/>
      <c r="I133" s="3"/>
      <c r="J133" s="3" t="s">
        <v>657</v>
      </c>
      <c r="K133" s="3"/>
      <c r="L133" s="3" t="s">
        <v>656</v>
      </c>
      <c r="M133" s="1" t="s">
        <v>141</v>
      </c>
      <c r="P133" s="1" t="s">
        <v>142</v>
      </c>
      <c r="Q133" s="1" t="str">
        <f t="shared" si="5"/>
        <v>*/Consignment/LocationOfGoods/Address/country</v>
      </c>
    </row>
    <row r="134" spans="1:17" ht="12" customHeight="1" outlineLevel="3" x14ac:dyDescent="0.25">
      <c r="A134" s="4" t="str">
        <f t="shared" si="4"/>
        <v>CC013C
CC015C</v>
      </c>
      <c r="B134" s="4">
        <v>3</v>
      </c>
      <c r="C134" s="4" t="s">
        <v>41</v>
      </c>
      <c r="D134" s="4" t="s">
        <v>36</v>
      </c>
      <c r="E134" s="10" t="s">
        <v>269</v>
      </c>
      <c r="F134" s="6"/>
      <c r="G134" s="6" t="s">
        <v>450</v>
      </c>
      <c r="H134" s="6"/>
      <c r="I134" s="6" t="s">
        <v>641</v>
      </c>
      <c r="J134" s="6"/>
      <c r="K134" s="6"/>
      <c r="L134" s="6" t="s">
        <v>658</v>
      </c>
      <c r="M134" s="4" t="s">
        <v>270</v>
      </c>
      <c r="N134" s="4"/>
      <c r="O134" s="4"/>
      <c r="Q134" s="1" t="str">
        <f t="shared" si="5"/>
        <v>*/Consignment/LocationOfGoods/PostcodeAddress</v>
      </c>
    </row>
    <row r="135" spans="1:17" ht="12" customHeight="1" outlineLevel="4" x14ac:dyDescent="0.25">
      <c r="A135" s="1" t="str">
        <f t="shared" si="4"/>
        <v>CC013C
CC015C</v>
      </c>
      <c r="B135" s="1">
        <v>4</v>
      </c>
      <c r="C135" s="1" t="s">
        <v>17</v>
      </c>
      <c r="D135" s="1" t="s">
        <v>36</v>
      </c>
      <c r="E135" s="11" t="s">
        <v>271</v>
      </c>
      <c r="F135" s="3" t="s">
        <v>120</v>
      </c>
      <c r="G135" s="3" t="s">
        <v>450</v>
      </c>
      <c r="H135" s="3"/>
      <c r="I135" s="3" t="s">
        <v>661</v>
      </c>
      <c r="J135" s="3"/>
      <c r="K135" s="3"/>
      <c r="L135" s="3" t="s">
        <v>659</v>
      </c>
      <c r="M135" s="1" t="s">
        <v>272</v>
      </c>
      <c r="P135" s="1" t="s">
        <v>273</v>
      </c>
      <c r="Q135" s="1" t="str">
        <f t="shared" si="5"/>
        <v>*/Consignment/LocationOfGoods/PostcodeAddress/houseNumber</v>
      </c>
    </row>
    <row r="136" spans="1:17" ht="12" customHeight="1" outlineLevel="4" x14ac:dyDescent="0.25">
      <c r="A136" s="1" t="str">
        <f t="shared" si="4"/>
        <v>CC013C
CC015C</v>
      </c>
      <c r="B136" s="1">
        <v>4</v>
      </c>
      <c r="C136" s="1" t="s">
        <v>17</v>
      </c>
      <c r="D136" s="1" t="s">
        <v>18</v>
      </c>
      <c r="E136" s="11" t="s">
        <v>133</v>
      </c>
      <c r="F136" s="3" t="s">
        <v>120</v>
      </c>
      <c r="G136" s="3" t="s">
        <v>21</v>
      </c>
      <c r="H136" s="3"/>
      <c r="I136" s="3"/>
      <c r="J136" s="3"/>
      <c r="K136" s="3"/>
      <c r="L136" s="3" t="s">
        <v>660</v>
      </c>
      <c r="M136" s="1" t="s">
        <v>134</v>
      </c>
      <c r="P136" s="1" t="s">
        <v>135</v>
      </c>
      <c r="Q136" s="1" t="str">
        <f t="shared" si="5"/>
        <v>*/Consignment/LocationOfGoods/PostcodeAddress/postcode</v>
      </c>
    </row>
    <row r="137" spans="1:17" ht="12" customHeight="1" outlineLevel="4" x14ac:dyDescent="0.25">
      <c r="A137" s="1" t="str">
        <f t="shared" si="4"/>
        <v>CC013C
CC015C</v>
      </c>
      <c r="B137" s="1">
        <v>4</v>
      </c>
      <c r="C137" s="1" t="s">
        <v>17</v>
      </c>
      <c r="D137" s="1" t="s">
        <v>18</v>
      </c>
      <c r="E137" s="11" t="s">
        <v>139</v>
      </c>
      <c r="F137" s="3" t="s">
        <v>140</v>
      </c>
      <c r="G137" s="3" t="s">
        <v>21</v>
      </c>
      <c r="H137" s="3"/>
      <c r="I137" s="3"/>
      <c r="J137" s="3" t="s">
        <v>663</v>
      </c>
      <c r="K137" s="3"/>
      <c r="L137" s="3" t="s">
        <v>662</v>
      </c>
      <c r="M137" s="1" t="s">
        <v>141</v>
      </c>
      <c r="P137" s="1" t="s">
        <v>142</v>
      </c>
      <c r="Q137" s="1" t="str">
        <f t="shared" si="5"/>
        <v>*/Consignment/LocationOfGoods/PostcodeAddress/country</v>
      </c>
    </row>
    <row r="138" spans="1:17" ht="12" customHeight="1" outlineLevel="3" x14ac:dyDescent="0.25">
      <c r="A138" s="4" t="str">
        <f t="shared" si="4"/>
        <v>CC013C
CC015C</v>
      </c>
      <c r="B138" s="4">
        <v>3</v>
      </c>
      <c r="C138" s="4" t="s">
        <v>41</v>
      </c>
      <c r="D138" s="4" t="s">
        <v>36</v>
      </c>
      <c r="E138" s="10" t="s">
        <v>143</v>
      </c>
      <c r="F138" s="6"/>
      <c r="G138" s="6" t="s">
        <v>450</v>
      </c>
      <c r="H138" s="6" t="s">
        <v>549</v>
      </c>
      <c r="I138" s="6" t="s">
        <v>641</v>
      </c>
      <c r="J138" s="6"/>
      <c r="K138" s="6"/>
      <c r="L138" s="6" t="s">
        <v>664</v>
      </c>
      <c r="M138" s="4" t="s">
        <v>144</v>
      </c>
      <c r="N138" s="4"/>
      <c r="O138" s="4"/>
      <c r="Q138" s="1" t="str">
        <f t="shared" si="5"/>
        <v>*/Consignment/LocationOfGoods/ContactPerson</v>
      </c>
    </row>
    <row r="139" spans="1:17" ht="12" customHeight="1" outlineLevel="4" x14ac:dyDescent="0.25">
      <c r="A139" s="1" t="str">
        <f t="shared" si="4"/>
        <v>CC013C
CC015C</v>
      </c>
      <c r="B139" s="1">
        <v>4</v>
      </c>
      <c r="C139" s="1" t="s">
        <v>17</v>
      </c>
      <c r="D139" s="1" t="s">
        <v>18</v>
      </c>
      <c r="E139" s="11" t="s">
        <v>4</v>
      </c>
      <c r="F139" s="3" t="s">
        <v>126</v>
      </c>
      <c r="G139" s="3" t="s">
        <v>21</v>
      </c>
      <c r="H139" s="3"/>
      <c r="I139" s="3"/>
      <c r="J139" s="3"/>
      <c r="K139" s="3"/>
      <c r="L139" s="3" t="s">
        <v>665</v>
      </c>
      <c r="M139" s="1" t="s">
        <v>127</v>
      </c>
      <c r="P139" s="1" t="s">
        <v>128</v>
      </c>
      <c r="Q139" s="1" t="str">
        <f t="shared" si="5"/>
        <v>*/Consignment/LocationOfGoods/ContactPerson/name</v>
      </c>
    </row>
    <row r="140" spans="1:17" ht="12" customHeight="1" outlineLevel="4" x14ac:dyDescent="0.25">
      <c r="A140" s="1" t="str">
        <f t="shared" si="4"/>
        <v>CC013C
CC015C</v>
      </c>
      <c r="B140" s="1">
        <v>4</v>
      </c>
      <c r="C140" s="1" t="s">
        <v>17</v>
      </c>
      <c r="D140" s="1" t="s">
        <v>18</v>
      </c>
      <c r="E140" s="11" t="s">
        <v>145</v>
      </c>
      <c r="F140" s="3" t="s">
        <v>20</v>
      </c>
      <c r="G140" s="3" t="s">
        <v>21</v>
      </c>
      <c r="H140" s="3"/>
      <c r="I140" s="3"/>
      <c r="J140" s="3"/>
      <c r="K140" s="3"/>
      <c r="L140" s="3" t="s">
        <v>666</v>
      </c>
      <c r="M140" s="1" t="s">
        <v>146</v>
      </c>
      <c r="P140" s="1" t="s">
        <v>147</v>
      </c>
      <c r="Q140" s="1" t="str">
        <f t="shared" si="5"/>
        <v>*/Consignment/LocationOfGoods/ContactPerson/phoneNumber</v>
      </c>
    </row>
    <row r="141" spans="1:17" ht="12" customHeight="1" outlineLevel="4" x14ac:dyDescent="0.25">
      <c r="A141" s="1" t="str">
        <f t="shared" si="4"/>
        <v>CC013C
CC015C</v>
      </c>
      <c r="B141" s="1">
        <v>4</v>
      </c>
      <c r="C141" s="1" t="s">
        <v>17</v>
      </c>
      <c r="D141" s="1" t="s">
        <v>36</v>
      </c>
      <c r="E141" s="11" t="s">
        <v>148</v>
      </c>
      <c r="F141" s="3" t="s">
        <v>149</v>
      </c>
      <c r="G141" s="3" t="s">
        <v>38</v>
      </c>
      <c r="H141" s="3" t="s">
        <v>458</v>
      </c>
      <c r="I141" s="3"/>
      <c r="J141" s="3"/>
      <c r="K141" s="3"/>
      <c r="L141" s="3" t="s">
        <v>667</v>
      </c>
      <c r="M141" s="1" t="s">
        <v>150</v>
      </c>
      <c r="P141" s="1" t="s">
        <v>151</v>
      </c>
      <c r="Q141" s="1" t="str">
        <f t="shared" si="5"/>
        <v>*/Consignment/LocationOfGoods/ContactPerson/eMailAddress</v>
      </c>
    </row>
    <row r="142" spans="1:17" ht="12" customHeight="1" outlineLevel="2" x14ac:dyDescent="0.25">
      <c r="A142" s="4" t="str">
        <f t="shared" si="4"/>
        <v>CC013C
CC015C</v>
      </c>
      <c r="B142" s="4">
        <v>2</v>
      </c>
      <c r="C142" s="4" t="s">
        <v>41</v>
      </c>
      <c r="D142" s="4" t="s">
        <v>274</v>
      </c>
      <c r="E142" s="8" t="s">
        <v>275</v>
      </c>
      <c r="F142" s="6"/>
      <c r="G142" s="6" t="s">
        <v>450</v>
      </c>
      <c r="H142" s="6" t="s">
        <v>731</v>
      </c>
      <c r="I142" s="6" t="s">
        <v>730</v>
      </c>
      <c r="J142" s="6"/>
      <c r="K142" s="6"/>
      <c r="L142" s="6" t="s">
        <v>716</v>
      </c>
      <c r="M142" s="4" t="s">
        <v>276</v>
      </c>
      <c r="N142" s="4"/>
      <c r="O142" s="4"/>
      <c r="Q142" s="1" t="str">
        <f t="shared" si="5"/>
        <v>*/Consignment/DepartureTransportMeans[0]</v>
      </c>
    </row>
    <row r="143" spans="1:17" ht="12" customHeight="1" outlineLevel="3" x14ac:dyDescent="0.25">
      <c r="A143" s="1" t="str">
        <f t="shared" si="4"/>
        <v>CC013C
CC015C</v>
      </c>
      <c r="B143" s="1">
        <v>3</v>
      </c>
      <c r="C143" s="1" t="s">
        <v>17</v>
      </c>
      <c r="D143" s="1" t="s">
        <v>18</v>
      </c>
      <c r="E143" s="9" t="s">
        <v>93</v>
      </c>
      <c r="F143" s="3" t="s">
        <v>717</v>
      </c>
      <c r="G143" s="3" t="s">
        <v>21</v>
      </c>
      <c r="H143" s="3" t="s">
        <v>475</v>
      </c>
      <c r="I143" s="3"/>
      <c r="J143" s="3"/>
      <c r="K143" s="3"/>
      <c r="L143" s="3"/>
      <c r="M143" s="1" t="s">
        <v>95</v>
      </c>
      <c r="P143" s="1" t="s">
        <v>96</v>
      </c>
      <c r="Q143" s="1" t="str">
        <f t="shared" si="5"/>
        <v>*/Consignment/DepartureTransportMeans[0]/sequenceNumber</v>
      </c>
    </row>
    <row r="144" spans="1:17" ht="12" customHeight="1" outlineLevel="3" x14ac:dyDescent="0.25">
      <c r="A144" s="1" t="str">
        <f t="shared" si="4"/>
        <v>CC013C
CC015C</v>
      </c>
      <c r="B144" s="1">
        <v>3</v>
      </c>
      <c r="C144" s="1" t="s">
        <v>17</v>
      </c>
      <c r="D144" s="1" t="s">
        <v>18</v>
      </c>
      <c r="E144" s="9" t="s">
        <v>277</v>
      </c>
      <c r="F144" s="3" t="s">
        <v>278</v>
      </c>
      <c r="G144" s="3" t="s">
        <v>21</v>
      </c>
      <c r="H144" s="3" t="s">
        <v>736</v>
      </c>
      <c r="I144" s="3"/>
      <c r="J144" s="3" t="s">
        <v>732</v>
      </c>
      <c r="K144" s="3"/>
      <c r="L144" s="3" t="s">
        <v>727</v>
      </c>
      <c r="M144" s="1" t="s">
        <v>279</v>
      </c>
      <c r="P144" s="1" t="s">
        <v>280</v>
      </c>
      <c r="Q144" s="1" t="str">
        <f t="shared" si="5"/>
        <v>*/Consignment/DepartureTransportMeans[0]/typeOfIdentification</v>
      </c>
    </row>
    <row r="145" spans="1:17" ht="12" customHeight="1" outlineLevel="3" x14ac:dyDescent="0.25">
      <c r="A145" s="1" t="str">
        <f t="shared" si="4"/>
        <v>CC013C
CC015C</v>
      </c>
      <c r="B145" s="1">
        <v>3</v>
      </c>
      <c r="C145" s="1" t="s">
        <v>17</v>
      </c>
      <c r="D145" s="1" t="s">
        <v>18</v>
      </c>
      <c r="E145" s="9" t="s">
        <v>119</v>
      </c>
      <c r="F145" s="3" t="s">
        <v>101</v>
      </c>
      <c r="G145" s="3" t="s">
        <v>21</v>
      </c>
      <c r="H145" s="3" t="s">
        <v>735</v>
      </c>
      <c r="I145" s="3"/>
      <c r="J145" s="3"/>
      <c r="K145" s="3"/>
      <c r="L145" s="3" t="s">
        <v>728</v>
      </c>
      <c r="M145" s="1" t="s">
        <v>121</v>
      </c>
      <c r="P145" s="1" t="s">
        <v>281</v>
      </c>
      <c r="Q145" s="1" t="str">
        <f t="shared" si="5"/>
        <v>*/Consignment/DepartureTransportMeans[0]/identificationNumber</v>
      </c>
    </row>
    <row r="146" spans="1:17" ht="12" customHeight="1" outlineLevel="3" x14ac:dyDescent="0.25">
      <c r="A146" s="1" t="str">
        <f t="shared" si="4"/>
        <v>CC013C
CC015C</v>
      </c>
      <c r="B146" s="1">
        <v>3</v>
      </c>
      <c r="C146" s="1" t="s">
        <v>17</v>
      </c>
      <c r="D146" s="1" t="s">
        <v>18</v>
      </c>
      <c r="E146" s="9" t="s">
        <v>282</v>
      </c>
      <c r="F146" s="3" t="s">
        <v>140</v>
      </c>
      <c r="G146" s="3" t="s">
        <v>21</v>
      </c>
      <c r="H146" s="3" t="s">
        <v>734</v>
      </c>
      <c r="I146" s="3"/>
      <c r="J146" s="3" t="s">
        <v>733</v>
      </c>
      <c r="K146" s="3"/>
      <c r="L146" s="3" t="s">
        <v>729</v>
      </c>
      <c r="M146" s="1" t="s">
        <v>283</v>
      </c>
      <c r="P146" s="1" t="s">
        <v>284</v>
      </c>
      <c r="Q146" s="1" t="str">
        <f t="shared" si="5"/>
        <v>*/Consignment/DepartureTransportMeans[0]/nationality</v>
      </c>
    </row>
    <row r="147" spans="1:17" ht="12" customHeight="1" outlineLevel="2" collapsed="1" x14ac:dyDescent="0.25">
      <c r="A147" s="4" t="str">
        <f t="shared" si="4"/>
        <v>CC013C
CC015C</v>
      </c>
      <c r="B147" s="4">
        <v>2</v>
      </c>
      <c r="C147" s="4" t="s">
        <v>41</v>
      </c>
      <c r="D147" s="4" t="s">
        <v>164</v>
      </c>
      <c r="E147" s="8" t="s">
        <v>285</v>
      </c>
      <c r="F147" s="6"/>
      <c r="G147" s="6" t="s">
        <v>450</v>
      </c>
      <c r="H147" s="6" t="s">
        <v>615</v>
      </c>
      <c r="I147" s="6" t="s">
        <v>614</v>
      </c>
      <c r="J147" s="6"/>
      <c r="K147" s="6"/>
      <c r="L147" s="6" t="s">
        <v>612</v>
      </c>
      <c r="M147" s="4" t="s">
        <v>286</v>
      </c>
      <c r="N147" s="4"/>
      <c r="O147" s="4"/>
      <c r="Q147" s="1" t="str">
        <f t="shared" si="5"/>
        <v>*/Consignment/CountryOfRoutingOfConsignment[0]</v>
      </c>
    </row>
    <row r="148" spans="1:17" ht="12" hidden="1" customHeight="1" outlineLevel="3" x14ac:dyDescent="0.25">
      <c r="A148" s="1" t="str">
        <f t="shared" si="4"/>
        <v>CC013C
CC015C</v>
      </c>
      <c r="B148" s="1">
        <v>3</v>
      </c>
      <c r="C148" s="1" t="s">
        <v>17</v>
      </c>
      <c r="D148" s="1" t="s">
        <v>18</v>
      </c>
      <c r="E148" s="9" t="s">
        <v>93</v>
      </c>
      <c r="F148" s="3" t="s">
        <v>483</v>
      </c>
      <c r="G148" s="3" t="s">
        <v>21</v>
      </c>
      <c r="H148" s="3" t="s">
        <v>475</v>
      </c>
      <c r="I148" s="3"/>
      <c r="J148" s="3"/>
      <c r="K148" s="3"/>
      <c r="L148" s="3"/>
      <c r="M148" s="1" t="s">
        <v>95</v>
      </c>
      <c r="P148" s="1" t="s">
        <v>96</v>
      </c>
      <c r="Q148" s="1" t="str">
        <f t="shared" si="5"/>
        <v>*/Consignment/CountryOfRoutingOfConsignment[0]/sequenceNumber</v>
      </c>
    </row>
    <row r="149" spans="1:17" ht="12" hidden="1" customHeight="1" outlineLevel="3" x14ac:dyDescent="0.25">
      <c r="A149" s="1" t="str">
        <f t="shared" si="4"/>
        <v>CC013C
CC015C</v>
      </c>
      <c r="B149" s="1">
        <v>3</v>
      </c>
      <c r="C149" s="1" t="s">
        <v>17</v>
      </c>
      <c r="D149" s="1" t="s">
        <v>18</v>
      </c>
      <c r="E149" s="9" t="s">
        <v>139</v>
      </c>
      <c r="F149" s="3" t="s">
        <v>140</v>
      </c>
      <c r="G149" s="3" t="s">
        <v>21</v>
      </c>
      <c r="H149" s="3"/>
      <c r="I149" s="3"/>
      <c r="J149" s="3" t="s">
        <v>606</v>
      </c>
      <c r="K149" s="3"/>
      <c r="L149" s="3" t="s">
        <v>613</v>
      </c>
      <c r="M149" s="1" t="s">
        <v>141</v>
      </c>
      <c r="P149" s="1" t="s">
        <v>142</v>
      </c>
      <c r="Q149" s="1" t="str">
        <f t="shared" si="5"/>
        <v>*/Consignment/CountryOfRoutingOfConsignment[0]/country</v>
      </c>
    </row>
    <row r="150" spans="1:17" ht="12" customHeight="1" outlineLevel="2" x14ac:dyDescent="0.25">
      <c r="A150" s="4" t="str">
        <f t="shared" si="4"/>
        <v>CC013C
CC015C</v>
      </c>
      <c r="B150" s="4">
        <v>2</v>
      </c>
      <c r="C150" s="4" t="s">
        <v>41</v>
      </c>
      <c r="D150" s="4" t="s">
        <v>91</v>
      </c>
      <c r="E150" s="8" t="s">
        <v>287</v>
      </c>
      <c r="F150" s="6"/>
      <c r="G150" s="6" t="s">
        <v>450</v>
      </c>
      <c r="H150" s="6" t="s">
        <v>755</v>
      </c>
      <c r="I150" s="6" t="s">
        <v>754</v>
      </c>
      <c r="J150" s="6"/>
      <c r="K150" s="6"/>
      <c r="L150" s="6" t="s">
        <v>753</v>
      </c>
      <c r="M150" s="4" t="s">
        <v>288</v>
      </c>
      <c r="N150" s="4"/>
      <c r="O150" s="4"/>
      <c r="Q150" s="1" t="str">
        <f t="shared" si="5"/>
        <v>*/Consignment/ActiveBorderTransportMeans[0]</v>
      </c>
    </row>
    <row r="151" spans="1:17" ht="12" customHeight="1" outlineLevel="3" x14ac:dyDescent="0.25">
      <c r="A151" s="1" t="str">
        <f t="shared" si="4"/>
        <v>CC013C
CC015C</v>
      </c>
      <c r="B151" s="1">
        <v>3</v>
      </c>
      <c r="C151" s="1" t="s">
        <v>17</v>
      </c>
      <c r="D151" s="1" t="s">
        <v>18</v>
      </c>
      <c r="E151" s="9" t="s">
        <v>93</v>
      </c>
      <c r="F151" s="3" t="s">
        <v>530</v>
      </c>
      <c r="G151" s="3" t="s">
        <v>21</v>
      </c>
      <c r="H151" s="3" t="s">
        <v>475</v>
      </c>
      <c r="I151" s="3"/>
      <c r="J151" s="3"/>
      <c r="K151" s="3"/>
      <c r="L151" s="3"/>
      <c r="M151" s="1" t="s">
        <v>95</v>
      </c>
      <c r="P151" s="1" t="s">
        <v>96</v>
      </c>
      <c r="Q151" s="1" t="str">
        <f t="shared" si="5"/>
        <v>*/Consignment/ActiveBorderTransportMeans[0]/sequenceNumber</v>
      </c>
    </row>
    <row r="152" spans="1:17" ht="12" customHeight="1" outlineLevel="3" x14ac:dyDescent="0.25">
      <c r="A152" s="1" t="str">
        <f t="shared" si="4"/>
        <v>CC013C
CC015C</v>
      </c>
      <c r="B152" s="1">
        <v>3</v>
      </c>
      <c r="C152" s="1" t="s">
        <v>17</v>
      </c>
      <c r="D152" s="1" t="s">
        <v>18</v>
      </c>
      <c r="E152" s="9" t="s">
        <v>289</v>
      </c>
      <c r="F152" s="3" t="s">
        <v>290</v>
      </c>
      <c r="G152" s="3" t="s">
        <v>21</v>
      </c>
      <c r="H152" s="3" t="s">
        <v>756</v>
      </c>
      <c r="I152" s="3"/>
      <c r="J152" s="3"/>
      <c r="K152" s="3"/>
      <c r="L152" s="3" t="s">
        <v>757</v>
      </c>
      <c r="M152" s="1" t="s">
        <v>291</v>
      </c>
      <c r="P152" s="1" t="s">
        <v>292</v>
      </c>
      <c r="Q152" s="1" t="str">
        <f t="shared" si="5"/>
        <v>*/Consignment/ActiveBorderTransportMeans[0]/customsOfficeAtBorderReferenceNumber</v>
      </c>
    </row>
    <row r="153" spans="1:17" ht="12" customHeight="1" outlineLevel="3" x14ac:dyDescent="0.25">
      <c r="A153" s="1" t="str">
        <f t="shared" si="4"/>
        <v>CC013C
CC015C</v>
      </c>
      <c r="B153" s="1">
        <v>3</v>
      </c>
      <c r="C153" s="1" t="s">
        <v>17</v>
      </c>
      <c r="D153" s="1" t="s">
        <v>18</v>
      </c>
      <c r="E153" s="9" t="s">
        <v>277</v>
      </c>
      <c r="F153" s="3" t="s">
        <v>278</v>
      </c>
      <c r="G153" s="3" t="s">
        <v>21</v>
      </c>
      <c r="H153" s="3" t="s">
        <v>760</v>
      </c>
      <c r="I153" s="3"/>
      <c r="J153" s="3" t="s">
        <v>759</v>
      </c>
      <c r="K153" s="3"/>
      <c r="L153" s="3" t="s">
        <v>758</v>
      </c>
      <c r="M153" s="1" t="s">
        <v>279</v>
      </c>
      <c r="P153" s="1" t="s">
        <v>280</v>
      </c>
      <c r="Q153" s="1" t="str">
        <f t="shared" si="5"/>
        <v>*/Consignment/ActiveBorderTransportMeans[0]/typeOfIdentification</v>
      </c>
    </row>
    <row r="154" spans="1:17" ht="12" customHeight="1" outlineLevel="3" x14ac:dyDescent="0.25">
      <c r="A154" s="1" t="str">
        <f t="shared" si="4"/>
        <v>CC013C
CC015C</v>
      </c>
      <c r="B154" s="1">
        <v>3</v>
      </c>
      <c r="C154" s="1" t="s">
        <v>17</v>
      </c>
      <c r="D154" s="1" t="s">
        <v>18</v>
      </c>
      <c r="E154" s="9" t="s">
        <v>119</v>
      </c>
      <c r="F154" s="3" t="s">
        <v>101</v>
      </c>
      <c r="G154" s="3" t="s">
        <v>21</v>
      </c>
      <c r="H154" s="3" t="s">
        <v>762</v>
      </c>
      <c r="I154" s="3"/>
      <c r="J154" s="3"/>
      <c r="K154" s="3"/>
      <c r="L154" s="3" t="s">
        <v>761</v>
      </c>
      <c r="M154" s="1" t="s">
        <v>121</v>
      </c>
      <c r="P154" s="1" t="s">
        <v>281</v>
      </c>
      <c r="Q154" s="1" t="str">
        <f t="shared" si="5"/>
        <v>*/Consignment/ActiveBorderTransportMeans[0]/identificationNumber</v>
      </c>
    </row>
    <row r="155" spans="1:17" ht="12" customHeight="1" outlineLevel="3" x14ac:dyDescent="0.25">
      <c r="A155" s="1" t="str">
        <f t="shared" si="4"/>
        <v>CC013C
CC015C</v>
      </c>
      <c r="B155" s="1">
        <v>3</v>
      </c>
      <c r="C155" s="1" t="s">
        <v>17</v>
      </c>
      <c r="D155" s="1" t="s">
        <v>18</v>
      </c>
      <c r="E155" s="9" t="s">
        <v>282</v>
      </c>
      <c r="F155" s="3" t="s">
        <v>140</v>
      </c>
      <c r="G155" s="3" t="s">
        <v>21</v>
      </c>
      <c r="H155" s="3" t="s">
        <v>764</v>
      </c>
      <c r="I155" s="3"/>
      <c r="J155" s="3" t="s">
        <v>733</v>
      </c>
      <c r="K155" s="3"/>
      <c r="L155" s="3" t="s">
        <v>763</v>
      </c>
      <c r="M155" s="1" t="s">
        <v>283</v>
      </c>
      <c r="P155" s="1" t="s">
        <v>284</v>
      </c>
      <c r="Q155" s="1" t="str">
        <f t="shared" si="5"/>
        <v>*/Consignment/ActiveBorderTransportMeans[0]/nationality</v>
      </c>
    </row>
    <row r="156" spans="1:17" ht="12" customHeight="1" outlineLevel="3" x14ac:dyDescent="0.25">
      <c r="A156" s="1" t="str">
        <f t="shared" si="4"/>
        <v>CC013C
CC015C</v>
      </c>
      <c r="B156" s="1">
        <v>3</v>
      </c>
      <c r="C156" s="1" t="s">
        <v>17</v>
      </c>
      <c r="D156" s="1" t="s">
        <v>36</v>
      </c>
      <c r="E156" s="9" t="s">
        <v>293</v>
      </c>
      <c r="F156" s="3" t="s">
        <v>294</v>
      </c>
      <c r="G156" s="3" t="s">
        <v>450</v>
      </c>
      <c r="H156" s="3" t="s">
        <v>767</v>
      </c>
      <c r="I156" s="3" t="s">
        <v>766</v>
      </c>
      <c r="J156" s="3"/>
      <c r="K156" s="3"/>
      <c r="L156" s="3" t="s">
        <v>765</v>
      </c>
      <c r="M156" s="1" t="s">
        <v>295</v>
      </c>
      <c r="P156" s="1" t="s">
        <v>296</v>
      </c>
      <c r="Q156" s="1" t="str">
        <f t="shared" si="5"/>
        <v>*/Consignment/ActiveBorderTransportMeans[0]/conveyanceReferenceNumber</v>
      </c>
    </row>
    <row r="157" spans="1:17" ht="12" customHeight="1" outlineLevel="2" x14ac:dyDescent="0.25">
      <c r="A157" s="4" t="str">
        <f t="shared" si="4"/>
        <v>CC013C
CC015C</v>
      </c>
      <c r="B157" s="4">
        <v>2</v>
      </c>
      <c r="C157" s="4" t="s">
        <v>41</v>
      </c>
      <c r="D157" s="4" t="s">
        <v>36</v>
      </c>
      <c r="E157" s="8" t="s">
        <v>297</v>
      </c>
      <c r="F157" s="6"/>
      <c r="G157" s="6" t="s">
        <v>450</v>
      </c>
      <c r="H157" s="6" t="s">
        <v>621</v>
      </c>
      <c r="I157" s="6" t="s">
        <v>620</v>
      </c>
      <c r="J157" s="6"/>
      <c r="K157" s="6"/>
      <c r="L157" s="6" t="s">
        <v>616</v>
      </c>
      <c r="M157" s="4" t="s">
        <v>298</v>
      </c>
      <c r="N157" s="4"/>
      <c r="O157" s="4"/>
      <c r="Q157" s="1" t="str">
        <f t="shared" si="5"/>
        <v>*/Consignment/PlaceOfLoading</v>
      </c>
    </row>
    <row r="158" spans="1:17" ht="12" customHeight="1" outlineLevel="3" x14ac:dyDescent="0.25">
      <c r="A158" s="1" t="str">
        <f t="shared" si="4"/>
        <v>CC013C
CC015C</v>
      </c>
      <c r="B158" s="1">
        <v>3</v>
      </c>
      <c r="C158" s="1" t="s">
        <v>17</v>
      </c>
      <c r="D158" s="1" t="s">
        <v>36</v>
      </c>
      <c r="E158" s="9" t="s">
        <v>253</v>
      </c>
      <c r="F158" s="3" t="s">
        <v>254</v>
      </c>
      <c r="G158" s="3" t="s">
        <v>38</v>
      </c>
      <c r="H158" s="3"/>
      <c r="I158" s="3"/>
      <c r="J158" s="3" t="s">
        <v>622</v>
      </c>
      <c r="K158" s="3"/>
      <c r="L158" s="3" t="s">
        <v>617</v>
      </c>
      <c r="M158" s="1" t="s">
        <v>255</v>
      </c>
      <c r="P158" s="1" t="s">
        <v>256</v>
      </c>
      <c r="Q158" s="1" t="str">
        <f t="shared" si="5"/>
        <v>*/Consignment/PlaceOfLoading/UNLocode</v>
      </c>
    </row>
    <row r="159" spans="1:17" ht="12" customHeight="1" outlineLevel="3" x14ac:dyDescent="0.25">
      <c r="A159" s="1" t="str">
        <f t="shared" si="4"/>
        <v>CC013C
CC015C</v>
      </c>
      <c r="B159" s="1">
        <v>3</v>
      </c>
      <c r="C159" s="1" t="s">
        <v>17</v>
      </c>
      <c r="D159" s="1" t="s">
        <v>36</v>
      </c>
      <c r="E159" s="9" t="s">
        <v>139</v>
      </c>
      <c r="F159" s="3" t="s">
        <v>140</v>
      </c>
      <c r="G159" s="3" t="s">
        <v>450</v>
      </c>
      <c r="H159" s="3"/>
      <c r="I159" s="3" t="s">
        <v>623</v>
      </c>
      <c r="J159" s="3" t="s">
        <v>606</v>
      </c>
      <c r="K159" s="3"/>
      <c r="L159" s="3" t="s">
        <v>618</v>
      </c>
      <c r="M159" s="1" t="s">
        <v>141</v>
      </c>
      <c r="P159" s="1" t="s">
        <v>142</v>
      </c>
      <c r="Q159" s="1" t="str">
        <f t="shared" si="5"/>
        <v>*/Consignment/PlaceOfLoading/country</v>
      </c>
    </row>
    <row r="160" spans="1:17" ht="12" customHeight="1" outlineLevel="3" x14ac:dyDescent="0.25">
      <c r="A160" s="1" t="str">
        <f t="shared" si="4"/>
        <v>CC013C
CC015C</v>
      </c>
      <c r="B160" s="1">
        <v>3</v>
      </c>
      <c r="C160" s="1" t="s">
        <v>17</v>
      </c>
      <c r="D160" s="1" t="s">
        <v>36</v>
      </c>
      <c r="E160" s="9" t="s">
        <v>299</v>
      </c>
      <c r="F160" s="3" t="s">
        <v>101</v>
      </c>
      <c r="G160" s="3" t="s">
        <v>450</v>
      </c>
      <c r="H160" s="3"/>
      <c r="I160" s="3" t="s">
        <v>623</v>
      </c>
      <c r="J160" s="3"/>
      <c r="K160" s="3"/>
      <c r="L160" s="3" t="s">
        <v>619</v>
      </c>
      <c r="M160" s="1" t="s">
        <v>300</v>
      </c>
      <c r="P160" s="1" t="s">
        <v>301</v>
      </c>
      <c r="Q160" s="1" t="str">
        <f t="shared" si="5"/>
        <v>*/Consignment/PlaceOfLoading/location</v>
      </c>
    </row>
    <row r="161" spans="1:17" ht="12" customHeight="1" outlineLevel="2" collapsed="1" x14ac:dyDescent="0.25">
      <c r="A161" s="4" t="str">
        <f t="shared" si="4"/>
        <v>CC013C
CC015C</v>
      </c>
      <c r="B161" s="4">
        <v>2</v>
      </c>
      <c r="C161" s="4" t="s">
        <v>41</v>
      </c>
      <c r="D161" s="4" t="s">
        <v>36</v>
      </c>
      <c r="E161" s="8" t="s">
        <v>302</v>
      </c>
      <c r="F161" s="6"/>
      <c r="G161" s="6" t="s">
        <v>450</v>
      </c>
      <c r="H161" s="6" t="s">
        <v>629</v>
      </c>
      <c r="I161" s="6" t="s">
        <v>628</v>
      </c>
      <c r="J161" s="6"/>
      <c r="K161" s="6"/>
      <c r="L161" s="6" t="s">
        <v>624</v>
      </c>
      <c r="M161" s="4" t="s">
        <v>303</v>
      </c>
      <c r="N161" s="4"/>
      <c r="O161" s="4"/>
      <c r="Q161" s="1" t="str">
        <f t="shared" si="5"/>
        <v>*/Consignment/PlaceOfUnloading</v>
      </c>
    </row>
    <row r="162" spans="1:17" ht="12" hidden="1" customHeight="1" outlineLevel="3" x14ac:dyDescent="0.25">
      <c r="A162" s="1" t="str">
        <f t="shared" si="4"/>
        <v>CC013C
CC015C</v>
      </c>
      <c r="B162" s="1">
        <v>3</v>
      </c>
      <c r="C162" s="1" t="s">
        <v>17</v>
      </c>
      <c r="D162" s="1" t="s">
        <v>36</v>
      </c>
      <c r="E162" s="9" t="s">
        <v>253</v>
      </c>
      <c r="F162" s="3" t="s">
        <v>254</v>
      </c>
      <c r="G162" s="3" t="s">
        <v>38</v>
      </c>
      <c r="H162" s="3"/>
      <c r="I162" s="3"/>
      <c r="J162" s="3" t="s">
        <v>622</v>
      </c>
      <c r="K162" s="3"/>
      <c r="L162" s="3" t="s">
        <v>625</v>
      </c>
      <c r="M162" s="1" t="s">
        <v>255</v>
      </c>
      <c r="P162" s="1" t="s">
        <v>256</v>
      </c>
      <c r="Q162" s="1" t="str">
        <f t="shared" si="5"/>
        <v>*/Consignment/PlaceOfUnloading/UNLocode</v>
      </c>
    </row>
    <row r="163" spans="1:17" ht="12" hidden="1" customHeight="1" outlineLevel="3" x14ac:dyDescent="0.25">
      <c r="A163" s="1" t="str">
        <f t="shared" si="4"/>
        <v>CC013C
CC015C</v>
      </c>
      <c r="B163" s="1">
        <v>3</v>
      </c>
      <c r="C163" s="1" t="s">
        <v>17</v>
      </c>
      <c r="D163" s="1" t="s">
        <v>36</v>
      </c>
      <c r="E163" s="9" t="s">
        <v>139</v>
      </c>
      <c r="F163" s="3" t="s">
        <v>140</v>
      </c>
      <c r="G163" s="3" t="s">
        <v>450</v>
      </c>
      <c r="H163" s="3"/>
      <c r="I163" s="3" t="s">
        <v>623</v>
      </c>
      <c r="J163" s="3" t="s">
        <v>606</v>
      </c>
      <c r="K163" s="3"/>
      <c r="L163" s="3" t="s">
        <v>626</v>
      </c>
      <c r="M163" s="1" t="s">
        <v>141</v>
      </c>
      <c r="P163" s="1" t="s">
        <v>142</v>
      </c>
      <c r="Q163" s="1" t="str">
        <f t="shared" si="5"/>
        <v>*/Consignment/PlaceOfUnloading/country</v>
      </c>
    </row>
    <row r="164" spans="1:17" ht="12" hidden="1" customHeight="1" outlineLevel="3" x14ac:dyDescent="0.25">
      <c r="A164" s="1" t="str">
        <f t="shared" si="4"/>
        <v>CC013C
CC015C</v>
      </c>
      <c r="B164" s="1">
        <v>3</v>
      </c>
      <c r="C164" s="1" t="s">
        <v>17</v>
      </c>
      <c r="D164" s="1" t="s">
        <v>36</v>
      </c>
      <c r="E164" s="9" t="s">
        <v>299</v>
      </c>
      <c r="F164" s="3" t="s">
        <v>101</v>
      </c>
      <c r="G164" s="3" t="s">
        <v>450</v>
      </c>
      <c r="H164" s="3"/>
      <c r="I164" s="3" t="s">
        <v>623</v>
      </c>
      <c r="J164" s="3"/>
      <c r="K164" s="3"/>
      <c r="L164" s="3" t="s">
        <v>627</v>
      </c>
      <c r="M164" s="1" t="s">
        <v>300</v>
      </c>
      <c r="P164" s="1" t="s">
        <v>301</v>
      </c>
      <c r="Q164" s="1" t="str">
        <f t="shared" si="5"/>
        <v>*/Consignment/PlaceOfUnloading/location</v>
      </c>
    </row>
    <row r="165" spans="1:17" ht="12" customHeight="1" outlineLevel="2" collapsed="1" x14ac:dyDescent="0.25">
      <c r="A165" s="4" t="str">
        <f t="shared" si="4"/>
        <v>CC013C
CC015C</v>
      </c>
      <c r="B165" s="4">
        <v>2</v>
      </c>
      <c r="C165" s="4" t="s">
        <v>41</v>
      </c>
      <c r="D165" s="4" t="s">
        <v>216</v>
      </c>
      <c r="E165" s="8" t="s">
        <v>304</v>
      </c>
      <c r="F165" s="6"/>
      <c r="G165" s="6" t="s">
        <v>38</v>
      </c>
      <c r="H165" s="6"/>
      <c r="I165" s="6"/>
      <c r="J165" s="6"/>
      <c r="K165" s="6"/>
      <c r="L165" s="6" t="s">
        <v>477</v>
      </c>
      <c r="M165" s="4" t="s">
        <v>305</v>
      </c>
      <c r="N165" s="4"/>
      <c r="O165" s="4"/>
      <c r="Q165" s="1" t="str">
        <f t="shared" si="5"/>
        <v>*/Consignment/PreviousDocument[0]</v>
      </c>
    </row>
    <row r="166" spans="1:17" ht="12" hidden="1" customHeight="1" outlineLevel="3" x14ac:dyDescent="0.25">
      <c r="A166" s="1" t="str">
        <f t="shared" si="4"/>
        <v>CC013C
CC015C</v>
      </c>
      <c r="B166" s="1">
        <v>3</v>
      </c>
      <c r="C166" s="1" t="s">
        <v>17</v>
      </c>
      <c r="D166" s="1" t="s">
        <v>18</v>
      </c>
      <c r="E166" s="9" t="s">
        <v>93</v>
      </c>
      <c r="F166" s="3" t="s">
        <v>504</v>
      </c>
      <c r="G166" s="3" t="s">
        <v>21</v>
      </c>
      <c r="H166" s="3" t="s">
        <v>475</v>
      </c>
      <c r="I166" s="3"/>
      <c r="J166" s="3"/>
      <c r="K166" s="3"/>
      <c r="L166" s="3"/>
      <c r="M166" s="1" t="s">
        <v>95</v>
      </c>
      <c r="P166" s="1" t="s">
        <v>96</v>
      </c>
      <c r="Q166" s="1" t="str">
        <f t="shared" si="5"/>
        <v>*/Consignment/PreviousDocument[0]/sequenceNumber</v>
      </c>
    </row>
    <row r="167" spans="1:17" ht="12" hidden="1" customHeight="1" outlineLevel="3" x14ac:dyDescent="0.25">
      <c r="A167" s="1" t="str">
        <f t="shared" si="4"/>
        <v>CC013C
CC015C</v>
      </c>
      <c r="B167" s="1">
        <v>3</v>
      </c>
      <c r="C167" s="1" t="s">
        <v>17</v>
      </c>
      <c r="D167" s="1" t="s">
        <v>18</v>
      </c>
      <c r="E167" s="9" t="s">
        <v>2</v>
      </c>
      <c r="F167" s="3" t="s">
        <v>306</v>
      </c>
      <c r="G167" s="3" t="s">
        <v>21</v>
      </c>
      <c r="H167" s="3" t="s">
        <v>479</v>
      </c>
      <c r="I167" s="3"/>
      <c r="J167" s="3" t="s">
        <v>478</v>
      </c>
      <c r="K167" s="3"/>
      <c r="L167" s="3" t="s">
        <v>476</v>
      </c>
      <c r="M167" s="1" t="s">
        <v>98</v>
      </c>
      <c r="P167" s="1" t="s">
        <v>307</v>
      </c>
      <c r="Q167" s="1" t="str">
        <f t="shared" si="5"/>
        <v>*/Consignment/PreviousDocument[0]/type</v>
      </c>
    </row>
    <row r="168" spans="1:17" ht="12" hidden="1" customHeight="1" outlineLevel="3" x14ac:dyDescent="0.25">
      <c r="A168" s="1" t="str">
        <f t="shared" si="4"/>
        <v>CC013C
CC015C</v>
      </c>
      <c r="B168" s="1">
        <v>3</v>
      </c>
      <c r="C168" s="1" t="s">
        <v>17</v>
      </c>
      <c r="D168" s="1" t="s">
        <v>18</v>
      </c>
      <c r="E168" s="9" t="s">
        <v>100</v>
      </c>
      <c r="F168" s="3" t="s">
        <v>126</v>
      </c>
      <c r="G168" s="3" t="s">
        <v>21</v>
      </c>
      <c r="H168" s="3" t="s">
        <v>481</v>
      </c>
      <c r="I168" s="3"/>
      <c r="J168" s="3"/>
      <c r="K168" s="3"/>
      <c r="L168" s="3" t="s">
        <v>480</v>
      </c>
      <c r="M168" s="1" t="s">
        <v>102</v>
      </c>
      <c r="P168" s="1" t="s">
        <v>308</v>
      </c>
      <c r="Q168" s="1" t="str">
        <f t="shared" si="5"/>
        <v>*/Consignment/PreviousDocument[0]/referenceNumber</v>
      </c>
    </row>
    <row r="169" spans="1:17" ht="12" hidden="1" customHeight="1" outlineLevel="3" x14ac:dyDescent="0.25">
      <c r="A169" s="1" t="str">
        <f t="shared" si="4"/>
        <v>CC013C
CC015C</v>
      </c>
      <c r="B169" s="1">
        <v>3</v>
      </c>
      <c r="C169" s="1" t="s">
        <v>17</v>
      </c>
      <c r="D169" s="1" t="s">
        <v>36</v>
      </c>
      <c r="E169" s="9" t="s">
        <v>309</v>
      </c>
      <c r="F169" s="3" t="s">
        <v>101</v>
      </c>
      <c r="G169" s="3" t="s">
        <v>38</v>
      </c>
      <c r="H169" s="3"/>
      <c r="I169" s="3"/>
      <c r="J169" s="3"/>
      <c r="K169" s="3"/>
      <c r="L169" s="3" t="s">
        <v>482</v>
      </c>
      <c r="M169" s="1" t="s">
        <v>310</v>
      </c>
      <c r="P169" s="1" t="s">
        <v>311</v>
      </c>
      <c r="Q169" s="1" t="str">
        <f t="shared" si="5"/>
        <v>*/Consignment/PreviousDocument[0]/complementOfInformation</v>
      </c>
    </row>
    <row r="170" spans="1:17" ht="12" customHeight="1" outlineLevel="2" collapsed="1" x14ac:dyDescent="0.25">
      <c r="A170" s="4" t="str">
        <f t="shared" si="4"/>
        <v>CC013C
CC015C</v>
      </c>
      <c r="B170" s="4">
        <v>2</v>
      </c>
      <c r="C170" s="4" t="s">
        <v>41</v>
      </c>
      <c r="D170" s="4" t="s">
        <v>164</v>
      </c>
      <c r="E170" s="8" t="s">
        <v>312</v>
      </c>
      <c r="F170" s="6"/>
      <c r="G170" s="6" t="s">
        <v>38</v>
      </c>
      <c r="H170" s="6" t="s">
        <v>503</v>
      </c>
      <c r="I170" s="6"/>
      <c r="J170" s="6"/>
      <c r="K170" s="6"/>
      <c r="L170" s="6" t="s">
        <v>498</v>
      </c>
      <c r="M170" s="4" t="s">
        <v>313</v>
      </c>
      <c r="N170" s="4"/>
      <c r="O170" s="4"/>
      <c r="Q170" s="1" t="str">
        <f t="shared" si="5"/>
        <v>*/Consignment/SupportingDocument[0]</v>
      </c>
    </row>
    <row r="171" spans="1:17" ht="12" hidden="1" customHeight="1" outlineLevel="3" x14ac:dyDescent="0.25">
      <c r="A171" s="1" t="str">
        <f t="shared" si="4"/>
        <v>CC013C
CC015C</v>
      </c>
      <c r="B171" s="1">
        <v>3</v>
      </c>
      <c r="C171" s="1" t="s">
        <v>17</v>
      </c>
      <c r="D171" s="1" t="s">
        <v>18</v>
      </c>
      <c r="E171" s="9" t="s">
        <v>93</v>
      </c>
      <c r="F171" s="3" t="s">
        <v>483</v>
      </c>
      <c r="G171" s="3" t="s">
        <v>21</v>
      </c>
      <c r="H171" s="3" t="s">
        <v>475</v>
      </c>
      <c r="I171" s="3"/>
      <c r="J171" s="3"/>
      <c r="K171" s="3"/>
      <c r="L171" s="3"/>
      <c r="M171" s="1" t="s">
        <v>95</v>
      </c>
      <c r="P171" s="1" t="s">
        <v>96</v>
      </c>
      <c r="Q171" s="1" t="str">
        <f t="shared" si="5"/>
        <v>*/Consignment/SupportingDocument[0]/sequenceNumber</v>
      </c>
    </row>
    <row r="172" spans="1:17" ht="12" hidden="1" customHeight="1" outlineLevel="3" x14ac:dyDescent="0.25">
      <c r="A172" s="1" t="str">
        <f t="shared" si="4"/>
        <v>CC013C
CC015C</v>
      </c>
      <c r="B172" s="1">
        <v>3</v>
      </c>
      <c r="C172" s="1" t="s">
        <v>17</v>
      </c>
      <c r="D172" s="1" t="s">
        <v>18</v>
      </c>
      <c r="E172" s="9" t="s">
        <v>2</v>
      </c>
      <c r="F172" s="3" t="s">
        <v>306</v>
      </c>
      <c r="G172" s="3" t="s">
        <v>21</v>
      </c>
      <c r="H172" s="3" t="s">
        <v>505</v>
      </c>
      <c r="I172" s="3"/>
      <c r="J172" s="3" t="s">
        <v>507</v>
      </c>
      <c r="K172" s="3"/>
      <c r="L172" s="3" t="s">
        <v>500</v>
      </c>
      <c r="M172" s="1" t="s">
        <v>98</v>
      </c>
      <c r="P172" s="1" t="s">
        <v>307</v>
      </c>
      <c r="Q172" s="1" t="str">
        <f t="shared" si="5"/>
        <v>*/Consignment/SupportingDocument[0]/type</v>
      </c>
    </row>
    <row r="173" spans="1:17" ht="12" hidden="1" customHeight="1" outlineLevel="3" x14ac:dyDescent="0.25">
      <c r="A173" s="1" t="str">
        <f t="shared" si="4"/>
        <v>CC013C
CC015C</v>
      </c>
      <c r="B173" s="1">
        <v>3</v>
      </c>
      <c r="C173" s="1" t="s">
        <v>17</v>
      </c>
      <c r="D173" s="1" t="s">
        <v>18</v>
      </c>
      <c r="E173" s="9" t="s">
        <v>100</v>
      </c>
      <c r="F173" s="3" t="s">
        <v>126</v>
      </c>
      <c r="G173" s="3" t="s">
        <v>21</v>
      </c>
      <c r="H173" s="3" t="s">
        <v>481</v>
      </c>
      <c r="I173" s="3"/>
      <c r="J173" s="3"/>
      <c r="K173" s="3"/>
      <c r="L173" s="3" t="s">
        <v>499</v>
      </c>
      <c r="M173" s="1" t="s">
        <v>102</v>
      </c>
      <c r="P173" s="1" t="s">
        <v>308</v>
      </c>
      <c r="Q173" s="1" t="str">
        <f t="shared" si="5"/>
        <v>*/Consignment/SupportingDocument[0]/referenceNumber</v>
      </c>
    </row>
    <row r="174" spans="1:17" ht="12" hidden="1" customHeight="1" outlineLevel="3" x14ac:dyDescent="0.25">
      <c r="A174" s="1" t="str">
        <f t="shared" si="4"/>
        <v>CC013C
CC015C</v>
      </c>
      <c r="B174" s="1">
        <v>3</v>
      </c>
      <c r="C174" s="1" t="s">
        <v>17</v>
      </c>
      <c r="D174" s="1" t="s">
        <v>36</v>
      </c>
      <c r="E174" s="9" t="s">
        <v>314</v>
      </c>
      <c r="F174" s="3" t="s">
        <v>94</v>
      </c>
      <c r="G174" s="3" t="s">
        <v>38</v>
      </c>
      <c r="H174" s="3"/>
      <c r="I174" s="3"/>
      <c r="J174" s="3"/>
      <c r="K174" s="3"/>
      <c r="L174" s="3" t="s">
        <v>501</v>
      </c>
      <c r="M174" s="1" t="s">
        <v>315</v>
      </c>
      <c r="P174" s="1" t="s">
        <v>316</v>
      </c>
      <c r="Q174" s="1" t="str">
        <f t="shared" si="5"/>
        <v>*/Consignment/SupportingDocument[0]/documentLineItemNumber</v>
      </c>
    </row>
    <row r="175" spans="1:17" ht="12" hidden="1" customHeight="1" outlineLevel="3" x14ac:dyDescent="0.25">
      <c r="A175" s="1" t="str">
        <f t="shared" si="4"/>
        <v>CC013C
CC015C</v>
      </c>
      <c r="B175" s="1">
        <v>3</v>
      </c>
      <c r="C175" s="1" t="s">
        <v>17</v>
      </c>
      <c r="D175" s="1" t="s">
        <v>36</v>
      </c>
      <c r="E175" s="9" t="s">
        <v>309</v>
      </c>
      <c r="F175" s="3" t="s">
        <v>101</v>
      </c>
      <c r="G175" s="3" t="s">
        <v>38</v>
      </c>
      <c r="H175" s="3"/>
      <c r="I175" s="3"/>
      <c r="J175" s="3"/>
      <c r="K175" s="3"/>
      <c r="L175" s="3" t="s">
        <v>502</v>
      </c>
      <c r="M175" s="1" t="s">
        <v>310</v>
      </c>
      <c r="P175" s="1" t="s">
        <v>311</v>
      </c>
      <c r="Q175" s="1" t="str">
        <f t="shared" si="5"/>
        <v>*/Consignment/SupportingDocument[0]/complementOfInformation</v>
      </c>
    </row>
    <row r="176" spans="1:17" ht="12" customHeight="1" outlineLevel="2" collapsed="1" x14ac:dyDescent="0.25">
      <c r="A176" s="4" t="str">
        <f t="shared" si="4"/>
        <v>CC013C
CC015C</v>
      </c>
      <c r="B176" s="4">
        <v>2</v>
      </c>
      <c r="C176" s="4" t="s">
        <v>41</v>
      </c>
      <c r="D176" s="4" t="s">
        <v>164</v>
      </c>
      <c r="E176" s="8" t="s">
        <v>317</v>
      </c>
      <c r="F176" s="6"/>
      <c r="G176" s="6" t="s">
        <v>38</v>
      </c>
      <c r="H176" s="6" t="s">
        <v>516</v>
      </c>
      <c r="I176" s="6"/>
      <c r="J176" s="6"/>
      <c r="K176" s="6"/>
      <c r="L176" s="6" t="s">
        <v>513</v>
      </c>
      <c r="M176" s="4" t="s">
        <v>318</v>
      </c>
      <c r="N176" s="4"/>
      <c r="O176" s="4"/>
      <c r="Q176" s="1" t="str">
        <f t="shared" si="5"/>
        <v>*/Consignment/TransportDocument[0]</v>
      </c>
    </row>
    <row r="177" spans="1:17" ht="12" hidden="1" customHeight="1" outlineLevel="3" x14ac:dyDescent="0.25">
      <c r="A177" s="1" t="str">
        <f t="shared" si="4"/>
        <v>CC013C
CC015C</v>
      </c>
      <c r="B177" s="1">
        <v>3</v>
      </c>
      <c r="C177" s="1" t="s">
        <v>17</v>
      </c>
      <c r="D177" s="1" t="s">
        <v>18</v>
      </c>
      <c r="E177" s="9" t="s">
        <v>93</v>
      </c>
      <c r="F177" s="3" t="s">
        <v>483</v>
      </c>
      <c r="G177" s="3" t="s">
        <v>21</v>
      </c>
      <c r="H177" s="3" t="s">
        <v>475</v>
      </c>
      <c r="I177" s="3"/>
      <c r="J177" s="3"/>
      <c r="K177" s="3"/>
      <c r="L177" s="3"/>
      <c r="M177" s="1" t="s">
        <v>95</v>
      </c>
      <c r="P177" s="1" t="s">
        <v>96</v>
      </c>
      <c r="Q177" s="1" t="str">
        <f t="shared" si="5"/>
        <v>*/Consignment/TransportDocument[0]/sequenceNumber</v>
      </c>
    </row>
    <row r="178" spans="1:17" ht="12" hidden="1" customHeight="1" outlineLevel="3" x14ac:dyDescent="0.25">
      <c r="A178" s="1" t="str">
        <f t="shared" si="4"/>
        <v>CC013C
CC015C</v>
      </c>
      <c r="B178" s="1">
        <v>3</v>
      </c>
      <c r="C178" s="1" t="s">
        <v>17</v>
      </c>
      <c r="D178" s="1" t="s">
        <v>18</v>
      </c>
      <c r="E178" s="9" t="s">
        <v>2</v>
      </c>
      <c r="F178" s="3" t="s">
        <v>306</v>
      </c>
      <c r="G178" s="3" t="s">
        <v>21</v>
      </c>
      <c r="H178" s="3" t="s">
        <v>505</v>
      </c>
      <c r="I178" s="3"/>
      <c r="J178" s="3" t="s">
        <v>517</v>
      </c>
      <c r="K178" s="3"/>
      <c r="L178" s="3" t="s">
        <v>514</v>
      </c>
      <c r="M178" s="1" t="s">
        <v>98</v>
      </c>
      <c r="P178" s="1" t="s">
        <v>307</v>
      </c>
      <c r="Q178" s="1" t="str">
        <f t="shared" si="5"/>
        <v>*/Consignment/TransportDocument[0]/type</v>
      </c>
    </row>
    <row r="179" spans="1:17" ht="12" hidden="1" customHeight="1" outlineLevel="3" x14ac:dyDescent="0.25">
      <c r="A179" s="1" t="str">
        <f t="shared" si="4"/>
        <v>CC013C
CC015C</v>
      </c>
      <c r="B179" s="1">
        <v>3</v>
      </c>
      <c r="C179" s="1" t="s">
        <v>17</v>
      </c>
      <c r="D179" s="1" t="s">
        <v>18</v>
      </c>
      <c r="E179" s="9" t="s">
        <v>100</v>
      </c>
      <c r="F179" s="3" t="s">
        <v>126</v>
      </c>
      <c r="G179" s="3" t="s">
        <v>21</v>
      </c>
      <c r="H179" s="3" t="s">
        <v>481</v>
      </c>
      <c r="I179" s="3"/>
      <c r="J179" s="3"/>
      <c r="K179" s="3"/>
      <c r="L179" s="3" t="s">
        <v>515</v>
      </c>
      <c r="M179" s="1" t="s">
        <v>102</v>
      </c>
      <c r="P179" s="1" t="s">
        <v>308</v>
      </c>
      <c r="Q179" s="1" t="str">
        <f t="shared" si="5"/>
        <v>*/Consignment/TransportDocument[0]/referenceNumber</v>
      </c>
    </row>
    <row r="180" spans="1:17" ht="12" customHeight="1" outlineLevel="2" collapsed="1" x14ac:dyDescent="0.25">
      <c r="A180" s="4" t="str">
        <f t="shared" si="4"/>
        <v>CC013C
CC015C</v>
      </c>
      <c r="B180" s="4">
        <v>2</v>
      </c>
      <c r="C180" s="4" t="s">
        <v>41</v>
      </c>
      <c r="D180" s="4" t="s">
        <v>164</v>
      </c>
      <c r="E180" s="8" t="s">
        <v>319</v>
      </c>
      <c r="F180" s="6"/>
      <c r="G180" s="6" t="s">
        <v>38</v>
      </c>
      <c r="H180" s="6" t="s">
        <v>511</v>
      </c>
      <c r="I180" s="6"/>
      <c r="J180" s="6"/>
      <c r="K180" s="6"/>
      <c r="L180" s="6" t="s">
        <v>508</v>
      </c>
      <c r="M180" s="4" t="s">
        <v>320</v>
      </c>
      <c r="N180" s="4"/>
      <c r="O180" s="4"/>
      <c r="Q180" s="1" t="str">
        <f t="shared" si="5"/>
        <v>*/Consignment/AdditionalReference[0]</v>
      </c>
    </row>
    <row r="181" spans="1:17" ht="12" hidden="1" customHeight="1" outlineLevel="3" x14ac:dyDescent="0.25">
      <c r="A181" s="1" t="str">
        <f t="shared" si="4"/>
        <v>CC013C
CC015C</v>
      </c>
      <c r="B181" s="1">
        <v>3</v>
      </c>
      <c r="C181" s="1" t="s">
        <v>17</v>
      </c>
      <c r="D181" s="1" t="s">
        <v>18</v>
      </c>
      <c r="E181" s="9" t="s">
        <v>93</v>
      </c>
      <c r="F181" s="3" t="s">
        <v>483</v>
      </c>
      <c r="G181" s="3" t="s">
        <v>21</v>
      </c>
      <c r="H181" s="3" t="s">
        <v>475</v>
      </c>
      <c r="I181" s="3"/>
      <c r="J181" s="3"/>
      <c r="K181" s="3"/>
      <c r="L181" s="3"/>
      <c r="M181" s="1" t="s">
        <v>95</v>
      </c>
      <c r="P181" s="1" t="s">
        <v>96</v>
      </c>
      <c r="Q181" s="1" t="str">
        <f t="shared" si="5"/>
        <v>*/Consignment/AdditionalReference[0]/sequenceNumber</v>
      </c>
    </row>
    <row r="182" spans="1:17" ht="12" hidden="1" customHeight="1" outlineLevel="3" x14ac:dyDescent="0.25">
      <c r="A182" s="1" t="str">
        <f t="shared" si="4"/>
        <v>CC013C
CC015C</v>
      </c>
      <c r="B182" s="1">
        <v>3</v>
      </c>
      <c r="C182" s="1" t="s">
        <v>17</v>
      </c>
      <c r="D182" s="1" t="s">
        <v>18</v>
      </c>
      <c r="E182" s="9" t="s">
        <v>2</v>
      </c>
      <c r="F182" s="3" t="s">
        <v>306</v>
      </c>
      <c r="G182" s="3" t="s">
        <v>21</v>
      </c>
      <c r="H182" s="3" t="s">
        <v>505</v>
      </c>
      <c r="I182" s="3"/>
      <c r="J182" s="3" t="s">
        <v>512</v>
      </c>
      <c r="K182" s="3"/>
      <c r="L182" s="3" t="s">
        <v>509</v>
      </c>
      <c r="M182" s="1" t="s">
        <v>98</v>
      </c>
      <c r="P182" s="1" t="s">
        <v>307</v>
      </c>
      <c r="Q182" s="1" t="str">
        <f t="shared" si="5"/>
        <v>*/Consignment/AdditionalReference[0]/type</v>
      </c>
    </row>
    <row r="183" spans="1:17" ht="12" hidden="1" customHeight="1" outlineLevel="3" x14ac:dyDescent="0.25">
      <c r="A183" s="1" t="str">
        <f t="shared" si="4"/>
        <v>CC013C
CC015C</v>
      </c>
      <c r="B183" s="1">
        <v>3</v>
      </c>
      <c r="C183" s="1" t="s">
        <v>17</v>
      </c>
      <c r="D183" s="1" t="s">
        <v>36</v>
      </c>
      <c r="E183" s="9" t="s">
        <v>100</v>
      </c>
      <c r="F183" s="3" t="s">
        <v>126</v>
      </c>
      <c r="G183" s="3" t="s">
        <v>38</v>
      </c>
      <c r="H183" s="3" t="s">
        <v>481</v>
      </c>
      <c r="I183" s="3"/>
      <c r="J183" s="3"/>
      <c r="K183" s="3"/>
      <c r="L183" s="3" t="s">
        <v>510</v>
      </c>
      <c r="M183" s="1" t="s">
        <v>102</v>
      </c>
      <c r="P183" s="1" t="s">
        <v>308</v>
      </c>
      <c r="Q183" s="1" t="str">
        <f t="shared" si="5"/>
        <v>*/Consignment/AdditionalReference[0]/referenceNumber</v>
      </c>
    </row>
    <row r="184" spans="1:17" ht="12" customHeight="1" outlineLevel="2" collapsed="1" x14ac:dyDescent="0.25">
      <c r="A184" s="4" t="str">
        <f t="shared" si="4"/>
        <v>CC013C
CC015C</v>
      </c>
      <c r="B184" s="4">
        <v>2</v>
      </c>
      <c r="C184" s="4" t="s">
        <v>41</v>
      </c>
      <c r="D184" s="4" t="s">
        <v>164</v>
      </c>
      <c r="E184" s="8" t="s">
        <v>321</v>
      </c>
      <c r="F184" s="6"/>
      <c r="G184" s="6" t="s">
        <v>38</v>
      </c>
      <c r="H184" s="6" t="s">
        <v>494</v>
      </c>
      <c r="I184" s="6"/>
      <c r="J184" s="6"/>
      <c r="K184" s="6"/>
      <c r="L184" s="6" t="s">
        <v>493</v>
      </c>
      <c r="M184" s="4" t="s">
        <v>322</v>
      </c>
      <c r="N184" s="4"/>
      <c r="O184" s="4"/>
      <c r="Q184" s="1" t="str">
        <f t="shared" si="5"/>
        <v>*/Consignment/AdditionalInformation[0]</v>
      </c>
    </row>
    <row r="185" spans="1:17" ht="12" hidden="1" customHeight="1" outlineLevel="3" x14ac:dyDescent="0.25">
      <c r="A185" s="1" t="str">
        <f t="shared" si="4"/>
        <v>CC013C
CC015C</v>
      </c>
      <c r="B185" s="1">
        <v>3</v>
      </c>
      <c r="C185" s="1" t="s">
        <v>17</v>
      </c>
      <c r="D185" s="1" t="s">
        <v>18</v>
      </c>
      <c r="E185" s="9" t="s">
        <v>93</v>
      </c>
      <c r="F185" s="3" t="s">
        <v>483</v>
      </c>
      <c r="G185" s="3" t="s">
        <v>21</v>
      </c>
      <c r="H185" s="3" t="s">
        <v>475</v>
      </c>
      <c r="I185" s="3"/>
      <c r="J185" s="3"/>
      <c r="K185" s="3"/>
      <c r="L185" s="3"/>
      <c r="M185" s="1" t="s">
        <v>95</v>
      </c>
      <c r="P185" s="1" t="s">
        <v>96</v>
      </c>
      <c r="Q185" s="1" t="str">
        <f t="shared" si="5"/>
        <v>*/Consignment/AdditionalInformation[0]/sequenceNumber</v>
      </c>
    </row>
    <row r="186" spans="1:17" ht="12" hidden="1" customHeight="1" outlineLevel="3" x14ac:dyDescent="0.25">
      <c r="A186" s="1" t="str">
        <f t="shared" si="4"/>
        <v>CC013C
CC015C</v>
      </c>
      <c r="B186" s="1">
        <v>3</v>
      </c>
      <c r="C186" s="1" t="s">
        <v>17</v>
      </c>
      <c r="D186" s="1" t="s">
        <v>18</v>
      </c>
      <c r="E186" s="9" t="s">
        <v>323</v>
      </c>
      <c r="F186" s="3" t="s">
        <v>324</v>
      </c>
      <c r="G186" s="3" t="s">
        <v>21</v>
      </c>
      <c r="H186" s="3" t="s">
        <v>497</v>
      </c>
      <c r="I186" s="3"/>
      <c r="J186" s="3"/>
      <c r="K186" s="3"/>
      <c r="L186" s="3" t="s">
        <v>495</v>
      </c>
      <c r="M186" s="1" t="s">
        <v>325</v>
      </c>
      <c r="P186" s="1" t="s">
        <v>326</v>
      </c>
      <c r="Q186" s="1" t="str">
        <f t="shared" si="5"/>
        <v>*/Consignment/AdditionalInformation[0]/code</v>
      </c>
    </row>
    <row r="187" spans="1:17" ht="12" hidden="1" customHeight="1" outlineLevel="3" x14ac:dyDescent="0.25">
      <c r="A187" s="1" t="str">
        <f t="shared" si="4"/>
        <v>CC013C
CC015C</v>
      </c>
      <c r="B187" s="1">
        <v>3</v>
      </c>
      <c r="C187" s="1" t="s">
        <v>17</v>
      </c>
      <c r="D187" s="1" t="s">
        <v>36</v>
      </c>
      <c r="E187" s="9" t="s">
        <v>327</v>
      </c>
      <c r="F187" s="3" t="s">
        <v>328</v>
      </c>
      <c r="G187" s="3" t="s">
        <v>38</v>
      </c>
      <c r="H187" s="3"/>
      <c r="I187" s="3"/>
      <c r="J187" s="3"/>
      <c r="K187" s="3"/>
      <c r="L187" s="3" t="s">
        <v>496</v>
      </c>
      <c r="M187" s="1" t="s">
        <v>329</v>
      </c>
      <c r="P187" s="1" t="s">
        <v>330</v>
      </c>
      <c r="Q187" s="1" t="str">
        <f t="shared" si="5"/>
        <v>*/Consignment/AdditionalInformation[0]/text</v>
      </c>
    </row>
    <row r="188" spans="1:17" ht="12" customHeight="1" outlineLevel="2" collapsed="1" x14ac:dyDescent="0.25">
      <c r="A188" s="4" t="str">
        <f t="shared" si="4"/>
        <v>CC013C
CC015C</v>
      </c>
      <c r="B188" s="4">
        <v>2</v>
      </c>
      <c r="C188" s="4" t="s">
        <v>41</v>
      </c>
      <c r="D188" s="4" t="s">
        <v>36</v>
      </c>
      <c r="E188" s="8" t="s">
        <v>331</v>
      </c>
      <c r="F188" s="6"/>
      <c r="G188" s="6" t="s">
        <v>450</v>
      </c>
      <c r="H188" s="6" t="s">
        <v>604</v>
      </c>
      <c r="I188" s="6" t="s">
        <v>603</v>
      </c>
      <c r="J188" s="6"/>
      <c r="K188" s="6"/>
      <c r="L188" s="6" t="s">
        <v>600</v>
      </c>
      <c r="M188" s="4" t="s">
        <v>332</v>
      </c>
      <c r="N188" s="4"/>
      <c r="O188" s="4"/>
      <c r="Q188" s="1" t="str">
        <f t="shared" si="5"/>
        <v>*/Consignment/TransportCharges</v>
      </c>
    </row>
    <row r="189" spans="1:17" ht="12" hidden="1" customHeight="1" outlineLevel="3" x14ac:dyDescent="0.25">
      <c r="A189" s="1" t="str">
        <f t="shared" si="4"/>
        <v>CC013C
CC015C</v>
      </c>
      <c r="B189" s="1">
        <v>3</v>
      </c>
      <c r="C189" s="1" t="s">
        <v>17</v>
      </c>
      <c r="D189" s="1" t="s">
        <v>18</v>
      </c>
      <c r="E189" s="9" t="s">
        <v>333</v>
      </c>
      <c r="F189" s="3" t="s">
        <v>334</v>
      </c>
      <c r="G189" s="3" t="s">
        <v>21</v>
      </c>
      <c r="H189" s="3"/>
      <c r="I189" s="3"/>
      <c r="J189" s="3" t="s">
        <v>602</v>
      </c>
      <c r="K189" s="3"/>
      <c r="L189" s="3" t="s">
        <v>601</v>
      </c>
      <c r="M189" s="1" t="s">
        <v>335</v>
      </c>
      <c r="P189" s="1" t="s">
        <v>336</v>
      </c>
      <c r="Q189" s="1" t="str">
        <f t="shared" si="5"/>
        <v>*/Consignment/TransportCharges/methodOfPayment</v>
      </c>
    </row>
    <row r="190" spans="1:17" ht="12" customHeight="1" outlineLevel="2" x14ac:dyDescent="0.25">
      <c r="A190" s="4" t="str">
        <f t="shared" si="4"/>
        <v>CC013C
CC015C</v>
      </c>
      <c r="B190" s="4">
        <v>2</v>
      </c>
      <c r="C190" s="4" t="s">
        <v>41</v>
      </c>
      <c r="D190" s="4" t="s">
        <v>337</v>
      </c>
      <c r="E190" s="8" t="s">
        <v>338</v>
      </c>
      <c r="F190" s="6"/>
      <c r="G190" s="6" t="s">
        <v>21</v>
      </c>
      <c r="H190" s="6"/>
      <c r="I190" s="6"/>
      <c r="J190" s="6"/>
      <c r="K190" s="6"/>
      <c r="L190" s="6"/>
      <c r="M190" s="4" t="s">
        <v>339</v>
      </c>
      <c r="N190" s="4"/>
      <c r="O190" s="4"/>
      <c r="Q190" s="1" t="str">
        <f t="shared" si="5"/>
        <v>*/Consignment/HouseConsignment[0]</v>
      </c>
    </row>
    <row r="191" spans="1:17" ht="12" customHeight="1" outlineLevel="3" x14ac:dyDescent="0.25">
      <c r="A191" s="1" t="str">
        <f t="shared" si="4"/>
        <v>CC013C
CC015C</v>
      </c>
      <c r="B191" s="1">
        <v>3</v>
      </c>
      <c r="C191" s="1" t="s">
        <v>17</v>
      </c>
      <c r="D191" s="1" t="s">
        <v>18</v>
      </c>
      <c r="E191" s="9" t="s">
        <v>93</v>
      </c>
      <c r="F191" s="3" t="s">
        <v>504</v>
      </c>
      <c r="G191" s="3" t="s">
        <v>21</v>
      </c>
      <c r="H191" s="3"/>
      <c r="I191" s="3"/>
      <c r="J191" s="3"/>
      <c r="K191" s="3"/>
      <c r="L191" s="3"/>
      <c r="M191" s="1" t="s">
        <v>95</v>
      </c>
      <c r="P191" s="1" t="s">
        <v>96</v>
      </c>
      <c r="Q191" s="1" t="str">
        <f t="shared" si="5"/>
        <v>*/Consignment/HouseConsignment[0]/sequenceNumber</v>
      </c>
    </row>
    <row r="192" spans="1:17" ht="12" customHeight="1" outlineLevel="3" x14ac:dyDescent="0.25">
      <c r="A192" s="1" t="str">
        <f t="shared" si="4"/>
        <v>CC013C
CC015C</v>
      </c>
      <c r="B192" s="1">
        <v>3</v>
      </c>
      <c r="C192" s="1" t="s">
        <v>17</v>
      </c>
      <c r="D192" s="1" t="s">
        <v>36</v>
      </c>
      <c r="E192" s="9" t="s">
        <v>184</v>
      </c>
      <c r="F192" s="3" t="s">
        <v>140</v>
      </c>
      <c r="G192" s="3" t="s">
        <v>450</v>
      </c>
      <c r="H192" s="3" t="s">
        <v>611</v>
      </c>
      <c r="I192" s="3" t="s">
        <v>610</v>
      </c>
      <c r="J192" s="3" t="s">
        <v>606</v>
      </c>
      <c r="K192" s="3"/>
      <c r="L192" s="3" t="s">
        <v>609</v>
      </c>
      <c r="M192" s="1" t="s">
        <v>185</v>
      </c>
      <c r="P192" s="1" t="s">
        <v>186</v>
      </c>
      <c r="Q192" s="1" t="str">
        <f t="shared" si="5"/>
        <v>*/Consignment/HouseConsignment[0]/countryOfDispatch</v>
      </c>
    </row>
    <row r="193" spans="1:17" ht="12" customHeight="1" outlineLevel="3" x14ac:dyDescent="0.25">
      <c r="A193" s="1" t="str">
        <f t="shared" si="4"/>
        <v>CC013C
CC015C</v>
      </c>
      <c r="B193" s="1">
        <v>3</v>
      </c>
      <c r="C193" s="1" t="s">
        <v>17</v>
      </c>
      <c r="D193" s="1" t="s">
        <v>36</v>
      </c>
      <c r="E193" s="9" t="s">
        <v>187</v>
      </c>
      <c r="F193" s="3" t="s">
        <v>140</v>
      </c>
      <c r="G193" s="3" t="s">
        <v>450</v>
      </c>
      <c r="H193" s="3" t="s">
        <v>608</v>
      </c>
      <c r="I193" s="3" t="s">
        <v>607</v>
      </c>
      <c r="J193" s="3" t="s">
        <v>606</v>
      </c>
      <c r="K193" s="3"/>
      <c r="L193" s="3" t="s">
        <v>605</v>
      </c>
      <c r="M193" s="1" t="s">
        <v>188</v>
      </c>
      <c r="P193" s="1" t="s">
        <v>189</v>
      </c>
      <c r="Q193" s="1" t="str">
        <f t="shared" si="5"/>
        <v>*/Consignment/HouseConsignment[0]/countryOfDestination</v>
      </c>
    </row>
    <row r="194" spans="1:17" ht="12" customHeight="1" outlineLevel="3" x14ac:dyDescent="0.25">
      <c r="A194" s="1" t="str">
        <f t="shared" ref="A194:A256" si="6">$E$2</f>
        <v>CC013C
CC015C</v>
      </c>
      <c r="B194" s="1">
        <v>3</v>
      </c>
      <c r="C194" s="1" t="s">
        <v>17</v>
      </c>
      <c r="D194" s="1" t="s">
        <v>18</v>
      </c>
      <c r="E194" s="9" t="s">
        <v>198</v>
      </c>
      <c r="F194" s="3" t="s">
        <v>199</v>
      </c>
      <c r="G194" s="3" t="s">
        <v>21</v>
      </c>
      <c r="H194" s="3" t="s">
        <v>693</v>
      </c>
      <c r="I194" s="3"/>
      <c r="J194" s="3"/>
      <c r="K194" s="3"/>
      <c r="L194" s="3" t="s">
        <v>692</v>
      </c>
      <c r="M194" s="1" t="s">
        <v>200</v>
      </c>
      <c r="P194" s="1" t="s">
        <v>201</v>
      </c>
      <c r="Q194" s="1" t="str">
        <f t="shared" ref="Q194:Q256" si="7">IF($B194=0,$M194,_xlfn.TEXTBEFORE(Q193,"/",$B194,,,Q193)&amp;"/"&amp;$M194)&amp;IF(_xlfn.TEXTAFTER($D194,"..",,,,1)&lt;&gt;"1","[0]","")</f>
        <v>*/Consignment/HouseConsignment[0]/grossMass</v>
      </c>
    </row>
    <row r="195" spans="1:17" ht="12" customHeight="1" outlineLevel="3" x14ac:dyDescent="0.25">
      <c r="A195" s="1" t="str">
        <f t="shared" si="6"/>
        <v>CC013C
CC015C</v>
      </c>
      <c r="B195" s="1">
        <v>3</v>
      </c>
      <c r="C195" s="1" t="s">
        <v>17</v>
      </c>
      <c r="D195" s="1" t="s">
        <v>36</v>
      </c>
      <c r="E195" s="9" t="s">
        <v>202</v>
      </c>
      <c r="F195" s="3" t="s">
        <v>203</v>
      </c>
      <c r="G195" s="3" t="s">
        <v>450</v>
      </c>
      <c r="H195" s="3" t="s">
        <v>523</v>
      </c>
      <c r="I195" s="3" t="s">
        <v>522</v>
      </c>
      <c r="J195" s="3"/>
      <c r="K195" s="3"/>
      <c r="L195" s="3" t="s">
        <v>521</v>
      </c>
      <c r="M195" s="1" t="s">
        <v>204</v>
      </c>
      <c r="P195" s="1" t="s">
        <v>205</v>
      </c>
      <c r="Q195" s="1" t="str">
        <f t="shared" si="7"/>
        <v>*/Consignment/HouseConsignment[0]/referenceNumberUCR</v>
      </c>
    </row>
    <row r="196" spans="1:17" ht="12" customHeight="1" outlineLevel="3" collapsed="1" x14ac:dyDescent="0.25">
      <c r="A196" s="4" t="str">
        <f t="shared" si="6"/>
        <v>CC013C
CC015C</v>
      </c>
      <c r="B196" s="4">
        <v>3</v>
      </c>
      <c r="C196" s="4" t="s">
        <v>41</v>
      </c>
      <c r="D196" s="4" t="s">
        <v>36</v>
      </c>
      <c r="E196" s="10" t="s">
        <v>208</v>
      </c>
      <c r="F196" s="6"/>
      <c r="G196" s="6" t="s">
        <v>450</v>
      </c>
      <c r="H196" s="6" t="s">
        <v>539</v>
      </c>
      <c r="I196" s="6" t="s">
        <v>538</v>
      </c>
      <c r="J196" s="6"/>
      <c r="K196" s="6"/>
      <c r="L196" s="6" t="s">
        <v>534</v>
      </c>
      <c r="M196" s="4" t="s">
        <v>208</v>
      </c>
      <c r="N196" s="4"/>
      <c r="O196" s="4"/>
      <c r="Q196" s="1" t="str">
        <f t="shared" si="7"/>
        <v>*/Consignment/HouseConsignment[0]/Consignor</v>
      </c>
    </row>
    <row r="197" spans="1:17" ht="12" hidden="1" customHeight="1" outlineLevel="4" x14ac:dyDescent="0.25">
      <c r="A197" s="1" t="str">
        <f t="shared" si="6"/>
        <v>CC013C
CC015C</v>
      </c>
      <c r="B197" s="1">
        <v>4</v>
      </c>
      <c r="C197" s="1" t="s">
        <v>17</v>
      </c>
      <c r="D197" s="1" t="s">
        <v>36</v>
      </c>
      <c r="E197" s="11" t="s">
        <v>119</v>
      </c>
      <c r="F197" s="3" t="s">
        <v>120</v>
      </c>
      <c r="G197" s="3" t="s">
        <v>38</v>
      </c>
      <c r="H197" s="3" t="s">
        <v>537</v>
      </c>
      <c r="I197" s="3"/>
      <c r="J197" s="3"/>
      <c r="K197" s="3"/>
      <c r="L197" s="3" t="s">
        <v>535</v>
      </c>
      <c r="M197" s="1" t="s">
        <v>121</v>
      </c>
      <c r="P197" s="1" t="s">
        <v>122</v>
      </c>
      <c r="Q197" s="1" t="str">
        <f t="shared" si="7"/>
        <v>*/Consignment/HouseConsignment[0]/Consignor/identificationNumber</v>
      </c>
    </row>
    <row r="198" spans="1:17" ht="12" hidden="1" customHeight="1" outlineLevel="4" x14ac:dyDescent="0.25">
      <c r="A198" s="1" t="str">
        <f t="shared" si="6"/>
        <v>CC013C
CC015C</v>
      </c>
      <c r="B198" s="1">
        <v>4</v>
      </c>
      <c r="C198" s="1" t="s">
        <v>17</v>
      </c>
      <c r="D198" s="1" t="s">
        <v>36</v>
      </c>
      <c r="E198" s="11" t="s">
        <v>4</v>
      </c>
      <c r="F198" s="3" t="s">
        <v>126</v>
      </c>
      <c r="G198" s="3" t="s">
        <v>450</v>
      </c>
      <c r="H198" s="3"/>
      <c r="I198" s="3" t="s">
        <v>541</v>
      </c>
      <c r="J198" s="3"/>
      <c r="K198" s="3"/>
      <c r="L198" s="3" t="s">
        <v>536</v>
      </c>
      <c r="M198" s="1" t="s">
        <v>127</v>
      </c>
      <c r="P198" s="1" t="s">
        <v>128</v>
      </c>
      <c r="Q198" s="1" t="str">
        <f t="shared" si="7"/>
        <v>*/Consignment/HouseConsignment[0]/Consignor/name</v>
      </c>
    </row>
    <row r="199" spans="1:17" ht="12" hidden="1" customHeight="1" outlineLevel="4" x14ac:dyDescent="0.25">
      <c r="A199" s="4" t="str">
        <f t="shared" si="6"/>
        <v>CC013C
CC015C</v>
      </c>
      <c r="B199" s="4">
        <v>4</v>
      </c>
      <c r="C199" s="4" t="s">
        <v>41</v>
      </c>
      <c r="D199" s="4" t="s">
        <v>36</v>
      </c>
      <c r="E199" s="12" t="s">
        <v>129</v>
      </c>
      <c r="F199" s="6"/>
      <c r="G199" s="6" t="s">
        <v>450</v>
      </c>
      <c r="H199" s="6"/>
      <c r="I199" s="6" t="s">
        <v>541</v>
      </c>
      <c r="J199" s="6"/>
      <c r="K199" s="6"/>
      <c r="L199" s="6" t="s">
        <v>540</v>
      </c>
      <c r="M199" s="4" t="s">
        <v>129</v>
      </c>
      <c r="N199" s="4"/>
      <c r="O199" s="4"/>
      <c r="Q199" s="1" t="str">
        <f t="shared" si="7"/>
        <v>*/Consignment/HouseConsignment[0]/Consignor/Address</v>
      </c>
    </row>
    <row r="200" spans="1:17" ht="12" hidden="1" customHeight="1" outlineLevel="5" x14ac:dyDescent="0.25">
      <c r="A200" s="1" t="str">
        <f t="shared" si="6"/>
        <v>CC013C
CC015C</v>
      </c>
      <c r="B200" s="1">
        <v>5</v>
      </c>
      <c r="C200" s="1" t="s">
        <v>17</v>
      </c>
      <c r="D200" s="1" t="s">
        <v>18</v>
      </c>
      <c r="E200" s="13" t="s">
        <v>130</v>
      </c>
      <c r="F200" s="3" t="s">
        <v>126</v>
      </c>
      <c r="G200" s="3" t="s">
        <v>21</v>
      </c>
      <c r="H200" s="3"/>
      <c r="I200" s="3"/>
      <c r="J200" s="3"/>
      <c r="K200" s="3"/>
      <c r="L200" s="3" t="s">
        <v>542</v>
      </c>
      <c r="M200" s="1" t="s">
        <v>131</v>
      </c>
      <c r="P200" s="1" t="s">
        <v>132</v>
      </c>
      <c r="Q200" s="1" t="str">
        <f t="shared" si="7"/>
        <v>*/Consignment/HouseConsignment[0]/Consignor/Address/streetAndNumber</v>
      </c>
    </row>
    <row r="201" spans="1:17" ht="12" hidden="1" customHeight="1" outlineLevel="5" x14ac:dyDescent="0.25">
      <c r="A201" s="1" t="str">
        <f t="shared" si="6"/>
        <v>CC013C
CC015C</v>
      </c>
      <c r="B201" s="1">
        <v>5</v>
      </c>
      <c r="C201" s="1" t="s">
        <v>17</v>
      </c>
      <c r="D201" s="1" t="s">
        <v>36</v>
      </c>
      <c r="E201" s="13" t="s">
        <v>133</v>
      </c>
      <c r="F201" s="3" t="s">
        <v>120</v>
      </c>
      <c r="G201" s="3" t="s">
        <v>450</v>
      </c>
      <c r="H201" s="3"/>
      <c r="I201" s="3" t="s">
        <v>544</v>
      </c>
      <c r="J201" s="3"/>
      <c r="K201" s="3"/>
      <c r="L201" s="3" t="s">
        <v>543</v>
      </c>
      <c r="M201" s="1" t="s">
        <v>134</v>
      </c>
      <c r="P201" s="1" t="s">
        <v>135</v>
      </c>
      <c r="Q201" s="1" t="str">
        <f t="shared" si="7"/>
        <v>*/Consignment/HouseConsignment[0]/Consignor/Address/postcode</v>
      </c>
    </row>
    <row r="202" spans="1:17" ht="12" hidden="1" customHeight="1" outlineLevel="5" x14ac:dyDescent="0.25">
      <c r="A202" s="1" t="str">
        <f t="shared" si="6"/>
        <v>CC013C
CC015C</v>
      </c>
      <c r="B202" s="1">
        <v>5</v>
      </c>
      <c r="C202" s="1" t="s">
        <v>17</v>
      </c>
      <c r="D202" s="1" t="s">
        <v>18</v>
      </c>
      <c r="E202" s="13" t="s">
        <v>136</v>
      </c>
      <c r="F202" s="3" t="s">
        <v>101</v>
      </c>
      <c r="G202" s="3" t="s">
        <v>21</v>
      </c>
      <c r="H202" s="3"/>
      <c r="I202" s="3"/>
      <c r="J202" s="3"/>
      <c r="K202" s="3"/>
      <c r="L202" s="3" t="s">
        <v>545</v>
      </c>
      <c r="M202" s="1" t="s">
        <v>137</v>
      </c>
      <c r="P202" s="1" t="s">
        <v>138</v>
      </c>
      <c r="Q202" s="1" t="str">
        <f t="shared" si="7"/>
        <v>*/Consignment/HouseConsignment[0]/Consignor/Address/city</v>
      </c>
    </row>
    <row r="203" spans="1:17" ht="12" hidden="1" customHeight="1" outlineLevel="5" x14ac:dyDescent="0.25">
      <c r="A203" s="1" t="str">
        <f t="shared" si="6"/>
        <v>CC013C
CC015C</v>
      </c>
      <c r="B203" s="1">
        <v>5</v>
      </c>
      <c r="C203" s="1" t="s">
        <v>17</v>
      </c>
      <c r="D203" s="1" t="s">
        <v>18</v>
      </c>
      <c r="E203" s="13" t="s">
        <v>139</v>
      </c>
      <c r="F203" s="3" t="s">
        <v>140</v>
      </c>
      <c r="G203" s="3" t="s">
        <v>21</v>
      </c>
      <c r="H203" s="3"/>
      <c r="I203" s="3"/>
      <c r="J203" s="3" t="s">
        <v>547</v>
      </c>
      <c r="K203" s="3"/>
      <c r="L203" s="3" t="s">
        <v>546</v>
      </c>
      <c r="M203" s="1" t="s">
        <v>141</v>
      </c>
      <c r="P203" s="1" t="s">
        <v>142</v>
      </c>
      <c r="Q203" s="1" t="str">
        <f t="shared" si="7"/>
        <v>*/Consignment/HouseConsignment[0]/Consignor/Address/country</v>
      </c>
    </row>
    <row r="204" spans="1:17" ht="12" hidden="1" customHeight="1" outlineLevel="4" x14ac:dyDescent="0.25">
      <c r="A204" s="4" t="str">
        <f t="shared" si="6"/>
        <v>CC013C
CC015C</v>
      </c>
      <c r="B204" s="4">
        <v>4</v>
      </c>
      <c r="C204" s="4" t="s">
        <v>41</v>
      </c>
      <c r="D204" s="4" t="s">
        <v>36</v>
      </c>
      <c r="E204" s="12" t="s">
        <v>143</v>
      </c>
      <c r="F204" s="6"/>
      <c r="G204" s="6" t="s">
        <v>38</v>
      </c>
      <c r="H204" s="6" t="s">
        <v>549</v>
      </c>
      <c r="I204" s="6"/>
      <c r="J204" s="6"/>
      <c r="K204" s="6"/>
      <c r="L204" s="6" t="s">
        <v>548</v>
      </c>
      <c r="M204" s="4" t="s">
        <v>144</v>
      </c>
      <c r="N204" s="4"/>
      <c r="O204" s="4"/>
      <c r="Q204" s="1" t="str">
        <f t="shared" si="7"/>
        <v>*/Consignment/HouseConsignment[0]/Consignor/ContactPerson</v>
      </c>
    </row>
    <row r="205" spans="1:17" ht="12" hidden="1" customHeight="1" outlineLevel="5" x14ac:dyDescent="0.25">
      <c r="A205" s="1" t="str">
        <f t="shared" si="6"/>
        <v>CC013C
CC015C</v>
      </c>
      <c r="B205" s="1">
        <v>5</v>
      </c>
      <c r="C205" s="1" t="s">
        <v>17</v>
      </c>
      <c r="D205" s="1" t="s">
        <v>18</v>
      </c>
      <c r="E205" s="13" t="s">
        <v>4</v>
      </c>
      <c r="F205" s="3" t="s">
        <v>126</v>
      </c>
      <c r="G205" s="3" t="s">
        <v>21</v>
      </c>
      <c r="H205" s="3"/>
      <c r="I205" s="3"/>
      <c r="J205" s="3"/>
      <c r="K205" s="3"/>
      <c r="L205" s="3" t="s">
        <v>550</v>
      </c>
      <c r="M205" s="1" t="s">
        <v>127</v>
      </c>
      <c r="P205" s="1" t="s">
        <v>128</v>
      </c>
      <c r="Q205" s="1" t="str">
        <f t="shared" si="7"/>
        <v>*/Consignment/HouseConsignment[0]/Consignor/ContactPerson/name</v>
      </c>
    </row>
    <row r="206" spans="1:17" ht="12" hidden="1" customHeight="1" outlineLevel="5" x14ac:dyDescent="0.25">
      <c r="A206" s="1" t="str">
        <f t="shared" si="6"/>
        <v>CC013C
CC015C</v>
      </c>
      <c r="B206" s="1">
        <v>5</v>
      </c>
      <c r="C206" s="1" t="s">
        <v>17</v>
      </c>
      <c r="D206" s="1" t="s">
        <v>18</v>
      </c>
      <c r="E206" s="13" t="s">
        <v>145</v>
      </c>
      <c r="F206" s="3" t="s">
        <v>20</v>
      </c>
      <c r="G206" s="3" t="s">
        <v>21</v>
      </c>
      <c r="H206" s="3"/>
      <c r="I206" s="3"/>
      <c r="J206" s="3"/>
      <c r="K206" s="3"/>
      <c r="L206" s="3" t="s">
        <v>551</v>
      </c>
      <c r="M206" s="1" t="s">
        <v>146</v>
      </c>
      <c r="P206" s="1" t="s">
        <v>147</v>
      </c>
      <c r="Q206" s="1" t="str">
        <f t="shared" si="7"/>
        <v>*/Consignment/HouseConsignment[0]/Consignor/ContactPerson/phoneNumber</v>
      </c>
    </row>
    <row r="207" spans="1:17" ht="12" hidden="1" customHeight="1" outlineLevel="5" x14ac:dyDescent="0.25">
      <c r="A207" s="1" t="str">
        <f t="shared" si="6"/>
        <v>CC013C
CC015C</v>
      </c>
      <c r="B207" s="1">
        <v>5</v>
      </c>
      <c r="C207" s="1" t="s">
        <v>17</v>
      </c>
      <c r="D207" s="1" t="s">
        <v>36</v>
      </c>
      <c r="E207" s="13" t="s">
        <v>148</v>
      </c>
      <c r="F207" s="3" t="s">
        <v>149</v>
      </c>
      <c r="G207" s="3" t="s">
        <v>38</v>
      </c>
      <c r="H207" s="3" t="s">
        <v>458</v>
      </c>
      <c r="I207" s="3"/>
      <c r="J207" s="3"/>
      <c r="K207" s="3"/>
      <c r="L207" s="3" t="s">
        <v>552</v>
      </c>
      <c r="M207" s="1" t="s">
        <v>150</v>
      </c>
      <c r="P207" s="1" t="s">
        <v>151</v>
      </c>
      <c r="Q207" s="1" t="str">
        <f t="shared" si="7"/>
        <v>*/Consignment/HouseConsignment[0]/Consignor/ContactPerson/eMailAddress</v>
      </c>
    </row>
    <row r="208" spans="1:17" ht="12" customHeight="1" outlineLevel="3" collapsed="1" x14ac:dyDescent="0.25">
      <c r="A208" s="4" t="str">
        <f t="shared" si="6"/>
        <v>CC013C
CC015C</v>
      </c>
      <c r="B208" s="4">
        <v>3</v>
      </c>
      <c r="C208" s="4" t="s">
        <v>41</v>
      </c>
      <c r="D208" s="4" t="s">
        <v>36</v>
      </c>
      <c r="E208" s="10" t="s">
        <v>209</v>
      </c>
      <c r="F208" s="6"/>
      <c r="G208" s="6" t="s">
        <v>450</v>
      </c>
      <c r="H208" s="6" t="s">
        <v>557</v>
      </c>
      <c r="I208" s="6" t="s">
        <v>556</v>
      </c>
      <c r="J208" s="6"/>
      <c r="K208" s="6"/>
      <c r="L208" s="6" t="s">
        <v>553</v>
      </c>
      <c r="M208" s="4" t="s">
        <v>209</v>
      </c>
      <c r="N208" s="4"/>
      <c r="O208" s="4"/>
      <c r="Q208" s="1" t="str">
        <f t="shared" si="7"/>
        <v>*/Consignment/HouseConsignment[0]/Consignee</v>
      </c>
    </row>
    <row r="209" spans="1:17" ht="12" hidden="1" customHeight="1" outlineLevel="4" x14ac:dyDescent="0.25">
      <c r="A209" s="1" t="str">
        <f t="shared" si="6"/>
        <v>CC013C
CC015C</v>
      </c>
      <c r="B209" s="1">
        <v>4</v>
      </c>
      <c r="C209" s="1" t="s">
        <v>17</v>
      </c>
      <c r="D209" s="1" t="s">
        <v>36</v>
      </c>
      <c r="E209" s="11" t="s">
        <v>119</v>
      </c>
      <c r="F209" s="3" t="s">
        <v>120</v>
      </c>
      <c r="G209" s="3" t="s">
        <v>38</v>
      </c>
      <c r="H209" s="3" t="s">
        <v>558</v>
      </c>
      <c r="I209" s="3"/>
      <c r="J209" s="3"/>
      <c r="K209" s="3"/>
      <c r="L209" s="3" t="s">
        <v>554</v>
      </c>
      <c r="M209" s="1" t="s">
        <v>121</v>
      </c>
      <c r="P209" s="1" t="s">
        <v>122</v>
      </c>
      <c r="Q209" s="1" t="str">
        <f t="shared" si="7"/>
        <v>*/Consignment/HouseConsignment[0]/Consignee/identificationNumber</v>
      </c>
    </row>
    <row r="210" spans="1:17" ht="12" hidden="1" customHeight="1" outlineLevel="4" x14ac:dyDescent="0.25">
      <c r="A210" s="1" t="str">
        <f t="shared" si="6"/>
        <v>CC013C
CC015C</v>
      </c>
      <c r="B210" s="1">
        <v>4</v>
      </c>
      <c r="C210" s="1" t="s">
        <v>17</v>
      </c>
      <c r="D210" s="1" t="s">
        <v>36</v>
      </c>
      <c r="E210" s="11" t="s">
        <v>4</v>
      </c>
      <c r="F210" s="3" t="s">
        <v>126</v>
      </c>
      <c r="G210" s="3" t="s">
        <v>450</v>
      </c>
      <c r="H210" s="3"/>
      <c r="I210" s="3" t="s">
        <v>541</v>
      </c>
      <c r="J210" s="3"/>
      <c r="K210" s="3"/>
      <c r="L210" s="3" t="s">
        <v>555</v>
      </c>
      <c r="M210" s="1" t="s">
        <v>127</v>
      </c>
      <c r="P210" s="1" t="s">
        <v>128</v>
      </c>
      <c r="Q210" s="1" t="str">
        <f t="shared" si="7"/>
        <v>*/Consignment/HouseConsignment[0]/Consignee/name</v>
      </c>
    </row>
    <row r="211" spans="1:17" ht="12" hidden="1" customHeight="1" outlineLevel="4" x14ac:dyDescent="0.25">
      <c r="A211" s="4" t="str">
        <f t="shared" si="6"/>
        <v>CC013C
CC015C</v>
      </c>
      <c r="B211" s="4">
        <v>4</v>
      </c>
      <c r="C211" s="4" t="s">
        <v>41</v>
      </c>
      <c r="D211" s="4" t="s">
        <v>36</v>
      </c>
      <c r="E211" s="12" t="s">
        <v>129</v>
      </c>
      <c r="F211" s="6"/>
      <c r="G211" s="6" t="s">
        <v>450</v>
      </c>
      <c r="H211" s="6"/>
      <c r="I211" s="6" t="s">
        <v>541</v>
      </c>
      <c r="J211" s="6"/>
      <c r="K211" s="6"/>
      <c r="L211" s="6" t="s">
        <v>559</v>
      </c>
      <c r="M211" s="4" t="s">
        <v>129</v>
      </c>
      <c r="N211" s="4"/>
      <c r="O211" s="4"/>
      <c r="Q211" s="1" t="str">
        <f t="shared" si="7"/>
        <v>*/Consignment/HouseConsignment[0]/Consignee/Address</v>
      </c>
    </row>
    <row r="212" spans="1:17" ht="12" hidden="1" customHeight="1" outlineLevel="5" x14ac:dyDescent="0.25">
      <c r="A212" s="1" t="str">
        <f t="shared" si="6"/>
        <v>CC013C
CC015C</v>
      </c>
      <c r="B212" s="1">
        <v>5</v>
      </c>
      <c r="C212" s="1" t="s">
        <v>17</v>
      </c>
      <c r="D212" s="1" t="s">
        <v>18</v>
      </c>
      <c r="E212" s="13" t="s">
        <v>130</v>
      </c>
      <c r="F212" s="3" t="s">
        <v>126</v>
      </c>
      <c r="G212" s="3" t="s">
        <v>21</v>
      </c>
      <c r="H212" s="3"/>
      <c r="I212" s="3"/>
      <c r="J212" s="3"/>
      <c r="K212" s="3"/>
      <c r="L212" s="3" t="s">
        <v>560</v>
      </c>
      <c r="M212" s="1" t="s">
        <v>131</v>
      </c>
      <c r="P212" s="1" t="s">
        <v>132</v>
      </c>
      <c r="Q212" s="1" t="str">
        <f t="shared" si="7"/>
        <v>*/Consignment/HouseConsignment[0]/Consignee/Address/streetAndNumber</v>
      </c>
    </row>
    <row r="213" spans="1:17" ht="12" hidden="1" customHeight="1" outlineLevel="5" x14ac:dyDescent="0.25">
      <c r="A213" s="1" t="str">
        <f t="shared" si="6"/>
        <v>CC013C
CC015C</v>
      </c>
      <c r="B213" s="1">
        <v>5</v>
      </c>
      <c r="C213" s="1" t="s">
        <v>17</v>
      </c>
      <c r="D213" s="1" t="s">
        <v>36</v>
      </c>
      <c r="E213" s="13" t="s">
        <v>133</v>
      </c>
      <c r="F213" s="3" t="s">
        <v>120</v>
      </c>
      <c r="G213" s="3" t="s">
        <v>450</v>
      </c>
      <c r="H213" s="3"/>
      <c r="I213" s="3" t="s">
        <v>544</v>
      </c>
      <c r="J213" s="3"/>
      <c r="K213" s="3"/>
      <c r="L213" s="3" t="s">
        <v>561</v>
      </c>
      <c r="M213" s="1" t="s">
        <v>134</v>
      </c>
      <c r="P213" s="1" t="s">
        <v>135</v>
      </c>
      <c r="Q213" s="1" t="str">
        <f t="shared" si="7"/>
        <v>*/Consignment/HouseConsignment[0]/Consignee/Address/postcode</v>
      </c>
    </row>
    <row r="214" spans="1:17" ht="12" hidden="1" customHeight="1" outlineLevel="5" x14ac:dyDescent="0.25">
      <c r="A214" s="1" t="str">
        <f t="shared" si="6"/>
        <v>CC013C
CC015C</v>
      </c>
      <c r="B214" s="1">
        <v>5</v>
      </c>
      <c r="C214" s="1" t="s">
        <v>17</v>
      </c>
      <c r="D214" s="1" t="s">
        <v>18</v>
      </c>
      <c r="E214" s="13" t="s">
        <v>136</v>
      </c>
      <c r="F214" s="3" t="s">
        <v>101</v>
      </c>
      <c r="G214" s="3" t="s">
        <v>21</v>
      </c>
      <c r="H214" s="3"/>
      <c r="I214" s="3"/>
      <c r="J214" s="3"/>
      <c r="K214" s="3"/>
      <c r="L214" s="3" t="s">
        <v>562</v>
      </c>
      <c r="M214" s="1" t="s">
        <v>137</v>
      </c>
      <c r="P214" s="1" t="s">
        <v>138</v>
      </c>
      <c r="Q214" s="1" t="str">
        <f t="shared" si="7"/>
        <v>*/Consignment/HouseConsignment[0]/Consignee/Address/city</v>
      </c>
    </row>
    <row r="215" spans="1:17" ht="12" hidden="1" customHeight="1" outlineLevel="5" x14ac:dyDescent="0.25">
      <c r="A215" s="1" t="str">
        <f t="shared" si="6"/>
        <v>CC013C
CC015C</v>
      </c>
      <c r="B215" s="1">
        <v>5</v>
      </c>
      <c r="C215" s="1" t="s">
        <v>17</v>
      </c>
      <c r="D215" s="1" t="s">
        <v>18</v>
      </c>
      <c r="E215" s="13" t="s">
        <v>139</v>
      </c>
      <c r="F215" s="3" t="s">
        <v>140</v>
      </c>
      <c r="G215" s="3" t="s">
        <v>21</v>
      </c>
      <c r="H215" s="3"/>
      <c r="I215" s="3"/>
      <c r="J215" s="3" t="s">
        <v>547</v>
      </c>
      <c r="K215" s="3"/>
      <c r="L215" s="3" t="s">
        <v>563</v>
      </c>
      <c r="M215" s="1" t="s">
        <v>141</v>
      </c>
      <c r="P215" s="1" t="s">
        <v>142</v>
      </c>
      <c r="Q215" s="1" t="str">
        <f t="shared" si="7"/>
        <v>*/Consignment/HouseConsignment[0]/Consignee/Address/country</v>
      </c>
    </row>
    <row r="216" spans="1:17" ht="12" customHeight="1" outlineLevel="3" collapsed="1" x14ac:dyDescent="0.25">
      <c r="A216" s="4" t="str">
        <f t="shared" si="6"/>
        <v>CC013C
CC015C</v>
      </c>
      <c r="B216" s="4">
        <v>3</v>
      </c>
      <c r="C216" s="4" t="s">
        <v>41</v>
      </c>
      <c r="D216" s="4" t="s">
        <v>164</v>
      </c>
      <c r="E216" s="10" t="s">
        <v>210</v>
      </c>
      <c r="F216" s="6"/>
      <c r="G216" s="6" t="s">
        <v>38</v>
      </c>
      <c r="H216" s="6" t="s">
        <v>467</v>
      </c>
      <c r="I216" s="6"/>
      <c r="J216" s="6"/>
      <c r="K216" s="6"/>
      <c r="L216" s="6" t="s">
        <v>596</v>
      </c>
      <c r="M216" s="4" t="s">
        <v>211</v>
      </c>
      <c r="N216" s="4"/>
      <c r="O216" s="4"/>
      <c r="Q216" s="1" t="str">
        <f t="shared" si="7"/>
        <v>*/Consignment/HouseConsignment[0]/AdditionalSupplyChainActor[0]</v>
      </c>
    </row>
    <row r="217" spans="1:17" ht="12" hidden="1" customHeight="1" outlineLevel="4" x14ac:dyDescent="0.25">
      <c r="A217" s="1" t="str">
        <f t="shared" si="6"/>
        <v>CC013C
CC015C</v>
      </c>
      <c r="B217" s="1">
        <v>4</v>
      </c>
      <c r="C217" s="1" t="s">
        <v>17</v>
      </c>
      <c r="D217" s="1" t="s">
        <v>18</v>
      </c>
      <c r="E217" s="11" t="s">
        <v>93</v>
      </c>
      <c r="F217" s="3" t="s">
        <v>483</v>
      </c>
      <c r="G217" s="3" t="s">
        <v>21</v>
      </c>
      <c r="H217" s="3" t="s">
        <v>475</v>
      </c>
      <c r="I217" s="3"/>
      <c r="J217" s="3"/>
      <c r="K217" s="3"/>
      <c r="L217" s="3"/>
      <c r="M217" s="1" t="s">
        <v>95</v>
      </c>
      <c r="P217" s="1" t="s">
        <v>96</v>
      </c>
      <c r="Q217" s="1" t="str">
        <f t="shared" si="7"/>
        <v>*/Consignment/HouseConsignment[0]/AdditionalSupplyChainActor[0]/sequenceNumber</v>
      </c>
    </row>
    <row r="218" spans="1:17" ht="12" hidden="1" customHeight="1" outlineLevel="4" x14ac:dyDescent="0.25">
      <c r="A218" s="1" t="str">
        <f t="shared" si="6"/>
        <v>CC013C
CC015C</v>
      </c>
      <c r="B218" s="1">
        <v>4</v>
      </c>
      <c r="C218" s="1" t="s">
        <v>17</v>
      </c>
      <c r="D218" s="1" t="s">
        <v>18</v>
      </c>
      <c r="E218" s="11" t="s">
        <v>212</v>
      </c>
      <c r="F218" s="3" t="s">
        <v>213</v>
      </c>
      <c r="G218" s="3" t="s">
        <v>21</v>
      </c>
      <c r="H218" s="3"/>
      <c r="I218" s="3"/>
      <c r="J218" s="3" t="s">
        <v>599</v>
      </c>
      <c r="K218" s="3"/>
      <c r="L218" s="3" t="s">
        <v>598</v>
      </c>
      <c r="M218" s="1" t="s">
        <v>214</v>
      </c>
      <c r="P218" s="1" t="s">
        <v>215</v>
      </c>
      <c r="Q218" s="1" t="str">
        <f t="shared" si="7"/>
        <v>*/Consignment/HouseConsignment[0]/AdditionalSupplyChainActor[0]/role</v>
      </c>
    </row>
    <row r="219" spans="1:17" ht="12" hidden="1" customHeight="1" outlineLevel="4" x14ac:dyDescent="0.25">
      <c r="A219" s="1" t="str">
        <f t="shared" si="6"/>
        <v>CC013C
CC015C</v>
      </c>
      <c r="B219" s="1">
        <v>4</v>
      </c>
      <c r="C219" s="1" t="s">
        <v>17</v>
      </c>
      <c r="D219" s="1" t="s">
        <v>18</v>
      </c>
      <c r="E219" s="11" t="s">
        <v>119</v>
      </c>
      <c r="F219" s="3" t="s">
        <v>140</v>
      </c>
      <c r="G219" s="3" t="s">
        <v>21</v>
      </c>
      <c r="H219" s="3" t="s">
        <v>595</v>
      </c>
      <c r="I219" s="3"/>
      <c r="J219" s="3"/>
      <c r="K219" s="3"/>
      <c r="L219" s="3" t="s">
        <v>597</v>
      </c>
      <c r="M219" s="1" t="s">
        <v>121</v>
      </c>
      <c r="P219" s="1" t="s">
        <v>207</v>
      </c>
      <c r="Q219" s="1" t="str">
        <f t="shared" si="7"/>
        <v>*/Consignment/HouseConsignment[0]/AdditionalSupplyChainActor[0]/identificationNumber</v>
      </c>
    </row>
    <row r="220" spans="1:17" ht="12" customHeight="1" outlineLevel="3" x14ac:dyDescent="0.25">
      <c r="A220" s="4" t="str">
        <f t="shared" si="6"/>
        <v>CC013C
CC015C</v>
      </c>
      <c r="B220" s="4">
        <v>3</v>
      </c>
      <c r="C220" s="4" t="s">
        <v>41</v>
      </c>
      <c r="D220" s="4" t="s">
        <v>274</v>
      </c>
      <c r="E220" s="10" t="s">
        <v>275</v>
      </c>
      <c r="F220" s="6"/>
      <c r="G220" s="6" t="s">
        <v>450</v>
      </c>
      <c r="H220" s="6" t="s">
        <v>731</v>
      </c>
      <c r="I220" s="6" t="s">
        <v>730</v>
      </c>
      <c r="J220" s="6"/>
      <c r="K220" s="6"/>
      <c r="L220" s="6" t="s">
        <v>716</v>
      </c>
      <c r="M220" s="4" t="s">
        <v>276</v>
      </c>
      <c r="N220" s="4"/>
      <c r="O220" s="4"/>
      <c r="Q220" s="1" t="str">
        <f t="shared" si="7"/>
        <v>*/Consignment/HouseConsignment[0]/DepartureTransportMeans[0]</v>
      </c>
    </row>
    <row r="221" spans="1:17" ht="12" customHeight="1" outlineLevel="4" x14ac:dyDescent="0.25">
      <c r="A221" s="1" t="str">
        <f t="shared" si="6"/>
        <v>CC013C
CC015C</v>
      </c>
      <c r="B221" s="1">
        <v>4</v>
      </c>
      <c r="C221" s="1" t="s">
        <v>17</v>
      </c>
      <c r="D221" s="1" t="s">
        <v>18</v>
      </c>
      <c r="E221" s="11" t="s">
        <v>93</v>
      </c>
      <c r="F221" s="3" t="s">
        <v>717</v>
      </c>
      <c r="G221" s="3" t="s">
        <v>21</v>
      </c>
      <c r="H221" s="3" t="s">
        <v>475</v>
      </c>
      <c r="I221" s="3"/>
      <c r="J221" s="3"/>
      <c r="K221" s="3"/>
      <c r="L221" s="3"/>
      <c r="M221" s="1" t="s">
        <v>95</v>
      </c>
      <c r="P221" s="1" t="s">
        <v>96</v>
      </c>
      <c r="Q221" s="1" t="str">
        <f t="shared" si="7"/>
        <v>*/Consignment/HouseConsignment[0]/DepartureTransportMeans[0]/sequenceNumber</v>
      </c>
    </row>
    <row r="222" spans="1:17" ht="12" customHeight="1" outlineLevel="4" x14ac:dyDescent="0.25">
      <c r="A222" s="1" t="str">
        <f t="shared" si="6"/>
        <v>CC013C
CC015C</v>
      </c>
      <c r="B222" s="1">
        <v>4</v>
      </c>
      <c r="C222" s="1" t="s">
        <v>17</v>
      </c>
      <c r="D222" s="1" t="s">
        <v>18</v>
      </c>
      <c r="E222" s="11" t="s">
        <v>277</v>
      </c>
      <c r="F222" s="3" t="s">
        <v>278</v>
      </c>
      <c r="G222" s="3" t="s">
        <v>21</v>
      </c>
      <c r="H222" s="3" t="s">
        <v>785</v>
      </c>
      <c r="I222" s="3"/>
      <c r="J222" s="3" t="s">
        <v>732</v>
      </c>
      <c r="K222" s="3"/>
      <c r="L222" s="3" t="s">
        <v>727</v>
      </c>
      <c r="M222" s="1" t="s">
        <v>279</v>
      </c>
      <c r="P222" s="1" t="s">
        <v>280</v>
      </c>
      <c r="Q222" s="1" t="str">
        <f t="shared" si="7"/>
        <v>*/Consignment/HouseConsignment[0]/DepartureTransportMeans[0]/typeOfIdentification</v>
      </c>
    </row>
    <row r="223" spans="1:17" ht="12" customHeight="1" outlineLevel="4" x14ac:dyDescent="0.25">
      <c r="A223" s="1" t="str">
        <f t="shared" si="6"/>
        <v>CC013C
CC015C</v>
      </c>
      <c r="B223" s="1">
        <v>4</v>
      </c>
      <c r="C223" s="1" t="s">
        <v>17</v>
      </c>
      <c r="D223" s="1" t="s">
        <v>18</v>
      </c>
      <c r="E223" s="11" t="s">
        <v>119</v>
      </c>
      <c r="F223" s="3" t="s">
        <v>101</v>
      </c>
      <c r="G223" s="3" t="s">
        <v>21</v>
      </c>
      <c r="H223" s="3" t="s">
        <v>735</v>
      </c>
      <c r="I223" s="3"/>
      <c r="J223" s="3"/>
      <c r="K223" s="3"/>
      <c r="L223" s="3" t="s">
        <v>728</v>
      </c>
      <c r="M223" s="1" t="s">
        <v>121</v>
      </c>
      <c r="P223" s="1" t="s">
        <v>281</v>
      </c>
      <c r="Q223" s="1" t="str">
        <f t="shared" si="7"/>
        <v>*/Consignment/HouseConsignment[0]/DepartureTransportMeans[0]/identificationNumber</v>
      </c>
    </row>
    <row r="224" spans="1:17" ht="12" customHeight="1" outlineLevel="4" x14ac:dyDescent="0.25">
      <c r="A224" s="1" t="str">
        <f t="shared" si="6"/>
        <v>CC013C
CC015C</v>
      </c>
      <c r="B224" s="1">
        <v>4</v>
      </c>
      <c r="C224" s="1" t="s">
        <v>17</v>
      </c>
      <c r="D224" s="1" t="s">
        <v>18</v>
      </c>
      <c r="E224" s="11" t="s">
        <v>282</v>
      </c>
      <c r="F224" s="3" t="s">
        <v>140</v>
      </c>
      <c r="G224" s="3" t="s">
        <v>21</v>
      </c>
      <c r="H224" s="3" t="s">
        <v>734</v>
      </c>
      <c r="I224" s="3"/>
      <c r="J224" s="3" t="s">
        <v>733</v>
      </c>
      <c r="K224" s="3"/>
      <c r="L224" s="3" t="s">
        <v>729</v>
      </c>
      <c r="M224" s="1" t="s">
        <v>283</v>
      </c>
      <c r="P224" s="1" t="s">
        <v>284</v>
      </c>
      <c r="Q224" s="1" t="str">
        <f t="shared" si="7"/>
        <v>*/Consignment/HouseConsignment[0]/DepartureTransportMeans[0]/nationality</v>
      </c>
    </row>
    <row r="225" spans="1:17" ht="12" customHeight="1" outlineLevel="3" x14ac:dyDescent="0.25">
      <c r="A225" s="4" t="str">
        <f t="shared" si="6"/>
        <v>CC013C
CC015C</v>
      </c>
      <c r="B225" s="4">
        <v>3</v>
      </c>
      <c r="C225" s="4" t="s">
        <v>41</v>
      </c>
      <c r="D225" s="4" t="s">
        <v>164</v>
      </c>
      <c r="E225" s="10" t="s">
        <v>304</v>
      </c>
      <c r="F225" s="6"/>
      <c r="G225" s="6" t="s">
        <v>38</v>
      </c>
      <c r="H225" s="6"/>
      <c r="I225" s="6"/>
      <c r="J225" s="6"/>
      <c r="K225" s="6"/>
      <c r="L225" s="6" t="s">
        <v>477</v>
      </c>
      <c r="M225" s="4" t="s">
        <v>305</v>
      </c>
      <c r="N225" s="4"/>
      <c r="O225" s="4"/>
      <c r="Q225" s="1" t="str">
        <f t="shared" si="7"/>
        <v>*/Consignment/HouseConsignment[0]/PreviousDocument[0]</v>
      </c>
    </row>
    <row r="226" spans="1:17" ht="12" customHeight="1" outlineLevel="4" x14ac:dyDescent="0.25">
      <c r="A226" s="1" t="str">
        <f t="shared" si="6"/>
        <v>CC013C
CC015C</v>
      </c>
      <c r="B226" s="1">
        <v>4</v>
      </c>
      <c r="C226" s="1" t="s">
        <v>17</v>
      </c>
      <c r="D226" s="1" t="s">
        <v>18</v>
      </c>
      <c r="E226" s="11" t="s">
        <v>93</v>
      </c>
      <c r="F226" s="3" t="s">
        <v>483</v>
      </c>
      <c r="G226" s="3" t="s">
        <v>21</v>
      </c>
      <c r="H226" s="3" t="s">
        <v>475</v>
      </c>
      <c r="I226" s="3"/>
      <c r="J226" s="3"/>
      <c r="K226" s="3"/>
      <c r="L226" s="3"/>
      <c r="M226" s="1" t="s">
        <v>95</v>
      </c>
      <c r="P226" s="1" t="s">
        <v>96</v>
      </c>
      <c r="Q226" s="1" t="str">
        <f t="shared" si="7"/>
        <v>*/Consignment/HouseConsignment[0]/PreviousDocument[0]/sequenceNumber</v>
      </c>
    </row>
    <row r="227" spans="1:17" ht="12" customHeight="1" outlineLevel="4" x14ac:dyDescent="0.25">
      <c r="A227" s="1" t="str">
        <f t="shared" si="6"/>
        <v>CC013C
CC015C</v>
      </c>
      <c r="B227" s="1">
        <v>4</v>
      </c>
      <c r="C227" s="1" t="s">
        <v>17</v>
      </c>
      <c r="D227" s="1" t="s">
        <v>18</v>
      </c>
      <c r="E227" s="11" t="s">
        <v>2</v>
      </c>
      <c r="F227" s="3" t="s">
        <v>306</v>
      </c>
      <c r="G227" s="3" t="s">
        <v>21</v>
      </c>
      <c r="H227" s="3" t="s">
        <v>479</v>
      </c>
      <c r="I227" s="3"/>
      <c r="J227" s="3" t="s">
        <v>478</v>
      </c>
      <c r="K227" s="3"/>
      <c r="L227" s="3" t="s">
        <v>476</v>
      </c>
      <c r="M227" s="1" t="s">
        <v>98</v>
      </c>
      <c r="P227" s="1" t="s">
        <v>307</v>
      </c>
      <c r="Q227" s="1" t="str">
        <f t="shared" si="7"/>
        <v>*/Consignment/HouseConsignment[0]/PreviousDocument[0]/type</v>
      </c>
    </row>
    <row r="228" spans="1:17" ht="12" customHeight="1" outlineLevel="4" x14ac:dyDescent="0.25">
      <c r="A228" s="1" t="str">
        <f t="shared" si="6"/>
        <v>CC013C
CC015C</v>
      </c>
      <c r="B228" s="1">
        <v>4</v>
      </c>
      <c r="C228" s="1" t="s">
        <v>17</v>
      </c>
      <c r="D228" s="1" t="s">
        <v>18</v>
      </c>
      <c r="E228" s="11" t="s">
        <v>100</v>
      </c>
      <c r="F228" s="3" t="s">
        <v>126</v>
      </c>
      <c r="G228" s="3" t="s">
        <v>21</v>
      </c>
      <c r="H228" s="3" t="s">
        <v>481</v>
      </c>
      <c r="I228" s="3"/>
      <c r="J228" s="3"/>
      <c r="K228" s="3"/>
      <c r="L228" s="3" t="s">
        <v>480</v>
      </c>
      <c r="M228" s="1" t="s">
        <v>102</v>
      </c>
      <c r="P228" s="1" t="s">
        <v>308</v>
      </c>
      <c r="Q228" s="1" t="str">
        <f t="shared" si="7"/>
        <v>*/Consignment/HouseConsignment[0]/PreviousDocument[0]/referenceNumber</v>
      </c>
    </row>
    <row r="229" spans="1:17" ht="12" customHeight="1" outlineLevel="4" x14ac:dyDescent="0.25">
      <c r="A229" s="1" t="str">
        <f t="shared" si="6"/>
        <v>CC013C
CC015C</v>
      </c>
      <c r="B229" s="1">
        <v>4</v>
      </c>
      <c r="C229" s="1" t="s">
        <v>17</v>
      </c>
      <c r="D229" s="1" t="s">
        <v>36</v>
      </c>
      <c r="E229" s="11" t="s">
        <v>309</v>
      </c>
      <c r="F229" s="3" t="s">
        <v>101</v>
      </c>
      <c r="G229" s="3" t="s">
        <v>38</v>
      </c>
      <c r="H229" s="3"/>
      <c r="I229" s="3"/>
      <c r="J229" s="3"/>
      <c r="K229" s="3"/>
      <c r="L229" s="3" t="s">
        <v>482</v>
      </c>
      <c r="M229" s="1" t="s">
        <v>310</v>
      </c>
      <c r="P229" s="1" t="s">
        <v>311</v>
      </c>
      <c r="Q229" s="1" t="str">
        <f t="shared" si="7"/>
        <v>*/Consignment/HouseConsignment[0]/PreviousDocument[0]/complementOfInformation</v>
      </c>
    </row>
    <row r="230" spans="1:17" ht="12" customHeight="1" outlineLevel="3" x14ac:dyDescent="0.25">
      <c r="A230" s="4" t="str">
        <f t="shared" si="6"/>
        <v>CC013C
CC015C</v>
      </c>
      <c r="B230" s="4">
        <v>3</v>
      </c>
      <c r="C230" s="4" t="s">
        <v>41</v>
      </c>
      <c r="D230" s="4" t="s">
        <v>164</v>
      </c>
      <c r="E230" s="10" t="s">
        <v>312</v>
      </c>
      <c r="F230" s="6"/>
      <c r="G230" s="6" t="s">
        <v>38</v>
      </c>
      <c r="H230" s="6" t="s">
        <v>503</v>
      </c>
      <c r="I230" s="6"/>
      <c r="J230" s="6"/>
      <c r="K230" s="6"/>
      <c r="L230" s="6" t="s">
        <v>498</v>
      </c>
      <c r="M230" s="4" t="s">
        <v>313</v>
      </c>
      <c r="N230" s="4"/>
      <c r="O230" s="4"/>
      <c r="Q230" s="1" t="str">
        <f t="shared" si="7"/>
        <v>*/Consignment/HouseConsignment[0]/SupportingDocument[0]</v>
      </c>
    </row>
    <row r="231" spans="1:17" ht="12" customHeight="1" outlineLevel="4" x14ac:dyDescent="0.25">
      <c r="A231" s="1" t="str">
        <f t="shared" si="6"/>
        <v>CC013C
CC015C</v>
      </c>
      <c r="B231" s="1">
        <v>4</v>
      </c>
      <c r="C231" s="1" t="s">
        <v>17</v>
      </c>
      <c r="D231" s="1" t="s">
        <v>18</v>
      </c>
      <c r="E231" s="11" t="s">
        <v>93</v>
      </c>
      <c r="F231" s="3" t="s">
        <v>483</v>
      </c>
      <c r="G231" s="3" t="s">
        <v>21</v>
      </c>
      <c r="H231" s="3" t="s">
        <v>475</v>
      </c>
      <c r="I231" s="3"/>
      <c r="J231" s="3"/>
      <c r="K231" s="3"/>
      <c r="L231" s="3"/>
      <c r="M231" s="1" t="s">
        <v>95</v>
      </c>
      <c r="P231" s="1" t="s">
        <v>96</v>
      </c>
      <c r="Q231" s="1" t="str">
        <f t="shared" si="7"/>
        <v>*/Consignment/HouseConsignment[0]/SupportingDocument[0]/sequenceNumber</v>
      </c>
    </row>
    <row r="232" spans="1:17" ht="12" customHeight="1" outlineLevel="4" x14ac:dyDescent="0.25">
      <c r="A232" s="1" t="str">
        <f t="shared" si="6"/>
        <v>CC013C
CC015C</v>
      </c>
      <c r="B232" s="1">
        <v>4</v>
      </c>
      <c r="C232" s="1" t="s">
        <v>17</v>
      </c>
      <c r="D232" s="1" t="s">
        <v>18</v>
      </c>
      <c r="E232" s="11" t="s">
        <v>2</v>
      </c>
      <c r="F232" s="3" t="s">
        <v>306</v>
      </c>
      <c r="G232" s="3" t="s">
        <v>21</v>
      </c>
      <c r="H232" s="3" t="s">
        <v>505</v>
      </c>
      <c r="I232" s="3"/>
      <c r="J232" s="3" t="s">
        <v>507</v>
      </c>
      <c r="K232" s="3"/>
      <c r="L232" s="3" t="s">
        <v>500</v>
      </c>
      <c r="M232" s="1" t="s">
        <v>98</v>
      </c>
      <c r="P232" s="1" t="s">
        <v>307</v>
      </c>
      <c r="Q232" s="1" t="str">
        <f t="shared" si="7"/>
        <v>*/Consignment/HouseConsignment[0]/SupportingDocument[0]/type</v>
      </c>
    </row>
    <row r="233" spans="1:17" ht="12" customHeight="1" outlineLevel="4" x14ac:dyDescent="0.25">
      <c r="A233" s="1" t="str">
        <f t="shared" si="6"/>
        <v>CC013C
CC015C</v>
      </c>
      <c r="B233" s="1">
        <v>4</v>
      </c>
      <c r="C233" s="1" t="s">
        <v>17</v>
      </c>
      <c r="D233" s="1" t="s">
        <v>18</v>
      </c>
      <c r="E233" s="11" t="s">
        <v>100</v>
      </c>
      <c r="F233" s="3" t="s">
        <v>126</v>
      </c>
      <c r="G233" s="3" t="s">
        <v>21</v>
      </c>
      <c r="H233" s="3" t="s">
        <v>481</v>
      </c>
      <c r="I233" s="3"/>
      <c r="J233" s="3"/>
      <c r="K233" s="3"/>
      <c r="L233" s="3" t="s">
        <v>499</v>
      </c>
      <c r="M233" s="1" t="s">
        <v>102</v>
      </c>
      <c r="P233" s="1" t="s">
        <v>308</v>
      </c>
      <c r="Q233" s="1" t="str">
        <f t="shared" si="7"/>
        <v>*/Consignment/HouseConsignment[0]/SupportingDocument[0]/referenceNumber</v>
      </c>
    </row>
    <row r="234" spans="1:17" ht="12" customHeight="1" outlineLevel="4" x14ac:dyDescent="0.25">
      <c r="A234" s="1" t="str">
        <f t="shared" si="6"/>
        <v>CC013C
CC015C</v>
      </c>
      <c r="B234" s="1">
        <v>4</v>
      </c>
      <c r="C234" s="1" t="s">
        <v>17</v>
      </c>
      <c r="D234" s="1" t="s">
        <v>36</v>
      </c>
      <c r="E234" s="11" t="s">
        <v>314</v>
      </c>
      <c r="F234" s="3" t="s">
        <v>94</v>
      </c>
      <c r="G234" s="3" t="s">
        <v>38</v>
      </c>
      <c r="H234" s="3"/>
      <c r="I234" s="3"/>
      <c r="J234" s="3"/>
      <c r="K234" s="3"/>
      <c r="L234" s="3" t="s">
        <v>501</v>
      </c>
      <c r="M234" s="1" t="s">
        <v>315</v>
      </c>
      <c r="P234" s="1" t="s">
        <v>316</v>
      </c>
      <c r="Q234" s="1" t="str">
        <f t="shared" si="7"/>
        <v>*/Consignment/HouseConsignment[0]/SupportingDocument[0]/documentLineItemNumber</v>
      </c>
    </row>
    <row r="235" spans="1:17" ht="12" customHeight="1" outlineLevel="4" x14ac:dyDescent="0.25">
      <c r="A235" s="1" t="str">
        <f t="shared" si="6"/>
        <v>CC013C
CC015C</v>
      </c>
      <c r="B235" s="1">
        <v>4</v>
      </c>
      <c r="C235" s="1" t="s">
        <v>17</v>
      </c>
      <c r="D235" s="1" t="s">
        <v>36</v>
      </c>
      <c r="E235" s="11" t="s">
        <v>309</v>
      </c>
      <c r="F235" s="3" t="s">
        <v>101</v>
      </c>
      <c r="G235" s="3" t="s">
        <v>38</v>
      </c>
      <c r="H235" s="3"/>
      <c r="I235" s="3"/>
      <c r="J235" s="3"/>
      <c r="K235" s="3"/>
      <c r="L235" s="3" t="s">
        <v>502</v>
      </c>
      <c r="M235" s="1" t="s">
        <v>310</v>
      </c>
      <c r="P235" s="1" t="s">
        <v>311</v>
      </c>
      <c r="Q235" s="1" t="str">
        <f t="shared" si="7"/>
        <v>*/Consignment/HouseConsignment[0]/SupportingDocument[0]/complementOfInformation</v>
      </c>
    </row>
    <row r="236" spans="1:17" ht="12" customHeight="1" outlineLevel="3" x14ac:dyDescent="0.25">
      <c r="A236" s="4" t="str">
        <f t="shared" si="6"/>
        <v>CC013C
CC015C</v>
      </c>
      <c r="B236" s="4">
        <v>3</v>
      </c>
      <c r="C236" s="4" t="s">
        <v>41</v>
      </c>
      <c r="D236" s="4" t="s">
        <v>164</v>
      </c>
      <c r="E236" s="10" t="s">
        <v>317</v>
      </c>
      <c r="F236" s="6"/>
      <c r="G236" s="6" t="s">
        <v>38</v>
      </c>
      <c r="H236" s="6" t="s">
        <v>516</v>
      </c>
      <c r="I236" s="6"/>
      <c r="J236" s="6"/>
      <c r="K236" s="6"/>
      <c r="L236" s="6" t="s">
        <v>513</v>
      </c>
      <c r="M236" s="4" t="s">
        <v>318</v>
      </c>
      <c r="N236" s="4"/>
      <c r="O236" s="4"/>
      <c r="Q236" s="1" t="str">
        <f t="shared" si="7"/>
        <v>*/Consignment/HouseConsignment[0]/TransportDocument[0]</v>
      </c>
    </row>
    <row r="237" spans="1:17" ht="12" customHeight="1" outlineLevel="4" x14ac:dyDescent="0.25">
      <c r="A237" s="1" t="str">
        <f t="shared" si="6"/>
        <v>CC013C
CC015C</v>
      </c>
      <c r="B237" s="1">
        <v>4</v>
      </c>
      <c r="C237" s="1" t="s">
        <v>17</v>
      </c>
      <c r="D237" s="1" t="s">
        <v>18</v>
      </c>
      <c r="E237" s="11" t="s">
        <v>93</v>
      </c>
      <c r="F237" s="3" t="s">
        <v>483</v>
      </c>
      <c r="G237" s="3" t="s">
        <v>21</v>
      </c>
      <c r="H237" s="3" t="s">
        <v>475</v>
      </c>
      <c r="I237" s="3"/>
      <c r="J237" s="3"/>
      <c r="K237" s="3"/>
      <c r="L237" s="3"/>
      <c r="M237" s="1" t="s">
        <v>95</v>
      </c>
      <c r="P237" s="1" t="s">
        <v>96</v>
      </c>
      <c r="Q237" s="1" t="str">
        <f t="shared" si="7"/>
        <v>*/Consignment/HouseConsignment[0]/TransportDocument[0]/sequenceNumber</v>
      </c>
    </row>
    <row r="238" spans="1:17" ht="12" customHeight="1" outlineLevel="4" x14ac:dyDescent="0.25">
      <c r="A238" s="1" t="str">
        <f t="shared" si="6"/>
        <v>CC013C
CC015C</v>
      </c>
      <c r="B238" s="1">
        <v>4</v>
      </c>
      <c r="C238" s="1" t="s">
        <v>17</v>
      </c>
      <c r="D238" s="1" t="s">
        <v>18</v>
      </c>
      <c r="E238" s="11" t="s">
        <v>2</v>
      </c>
      <c r="F238" s="3" t="s">
        <v>306</v>
      </c>
      <c r="G238" s="3" t="s">
        <v>21</v>
      </c>
      <c r="H238" s="3" t="s">
        <v>505</v>
      </c>
      <c r="I238" s="3"/>
      <c r="J238" s="3" t="s">
        <v>517</v>
      </c>
      <c r="K238" s="3"/>
      <c r="L238" s="3" t="s">
        <v>514</v>
      </c>
      <c r="M238" s="1" t="s">
        <v>98</v>
      </c>
      <c r="P238" s="1" t="s">
        <v>307</v>
      </c>
      <c r="Q238" s="1" t="str">
        <f t="shared" si="7"/>
        <v>*/Consignment/HouseConsignment[0]/TransportDocument[0]/type</v>
      </c>
    </row>
    <row r="239" spans="1:17" ht="12" customHeight="1" outlineLevel="4" x14ac:dyDescent="0.25">
      <c r="A239" s="1" t="str">
        <f t="shared" si="6"/>
        <v>CC013C
CC015C</v>
      </c>
      <c r="B239" s="1">
        <v>4</v>
      </c>
      <c r="C239" s="1" t="s">
        <v>17</v>
      </c>
      <c r="D239" s="1" t="s">
        <v>18</v>
      </c>
      <c r="E239" s="11" t="s">
        <v>100</v>
      </c>
      <c r="F239" s="3" t="s">
        <v>126</v>
      </c>
      <c r="G239" s="3" t="s">
        <v>21</v>
      </c>
      <c r="H239" s="3" t="s">
        <v>481</v>
      </c>
      <c r="I239" s="3"/>
      <c r="J239" s="3"/>
      <c r="K239" s="3"/>
      <c r="L239" s="3" t="s">
        <v>515</v>
      </c>
      <c r="M239" s="1" t="s">
        <v>102</v>
      </c>
      <c r="P239" s="1" t="s">
        <v>308</v>
      </c>
      <c r="Q239" s="1" t="str">
        <f t="shared" si="7"/>
        <v>*/Consignment/HouseConsignment[0]/TransportDocument[0]/referenceNumber</v>
      </c>
    </row>
    <row r="240" spans="1:17" ht="12" customHeight="1" outlineLevel="3" x14ac:dyDescent="0.25">
      <c r="A240" s="4" t="str">
        <f t="shared" si="6"/>
        <v>CC013C
CC015C</v>
      </c>
      <c r="B240" s="4">
        <v>3</v>
      </c>
      <c r="C240" s="4" t="s">
        <v>41</v>
      </c>
      <c r="D240" s="4" t="s">
        <v>164</v>
      </c>
      <c r="E240" s="10" t="s">
        <v>319</v>
      </c>
      <c r="F240" s="6"/>
      <c r="G240" s="6" t="s">
        <v>38</v>
      </c>
      <c r="H240" s="6" t="s">
        <v>511</v>
      </c>
      <c r="I240" s="6"/>
      <c r="J240" s="6"/>
      <c r="K240" s="6"/>
      <c r="L240" s="6" t="s">
        <v>508</v>
      </c>
      <c r="M240" s="4" t="s">
        <v>320</v>
      </c>
      <c r="N240" s="4"/>
      <c r="O240" s="4"/>
      <c r="Q240" s="1" t="str">
        <f t="shared" si="7"/>
        <v>*/Consignment/HouseConsignment[0]/AdditionalReference[0]</v>
      </c>
    </row>
    <row r="241" spans="1:17" ht="12" customHeight="1" outlineLevel="4" x14ac:dyDescent="0.25">
      <c r="A241" s="1" t="str">
        <f t="shared" si="6"/>
        <v>CC013C
CC015C</v>
      </c>
      <c r="B241" s="1">
        <v>4</v>
      </c>
      <c r="C241" s="1" t="s">
        <v>17</v>
      </c>
      <c r="D241" s="1" t="s">
        <v>18</v>
      </c>
      <c r="E241" s="11" t="s">
        <v>93</v>
      </c>
      <c r="F241" s="3" t="s">
        <v>483</v>
      </c>
      <c r="G241" s="3" t="s">
        <v>21</v>
      </c>
      <c r="H241" s="3" t="s">
        <v>475</v>
      </c>
      <c r="I241" s="3"/>
      <c r="J241" s="3"/>
      <c r="K241" s="3"/>
      <c r="L241" s="3"/>
      <c r="M241" s="1" t="s">
        <v>95</v>
      </c>
      <c r="P241" s="1" t="s">
        <v>96</v>
      </c>
      <c r="Q241" s="1" t="str">
        <f t="shared" si="7"/>
        <v>*/Consignment/HouseConsignment[0]/AdditionalReference[0]/sequenceNumber</v>
      </c>
    </row>
    <row r="242" spans="1:17" ht="12" customHeight="1" outlineLevel="4" x14ac:dyDescent="0.25">
      <c r="A242" s="1" t="str">
        <f t="shared" si="6"/>
        <v>CC013C
CC015C</v>
      </c>
      <c r="B242" s="1">
        <v>4</v>
      </c>
      <c r="C242" s="1" t="s">
        <v>17</v>
      </c>
      <c r="D242" s="1" t="s">
        <v>18</v>
      </c>
      <c r="E242" s="11" t="s">
        <v>2</v>
      </c>
      <c r="F242" s="3" t="s">
        <v>306</v>
      </c>
      <c r="G242" s="3" t="s">
        <v>21</v>
      </c>
      <c r="H242" s="3" t="s">
        <v>505</v>
      </c>
      <c r="I242" s="3"/>
      <c r="J242" s="3" t="s">
        <v>512</v>
      </c>
      <c r="K242" s="3"/>
      <c r="L242" s="3" t="s">
        <v>509</v>
      </c>
      <c r="M242" s="1" t="s">
        <v>98</v>
      </c>
      <c r="P242" s="1" t="s">
        <v>307</v>
      </c>
      <c r="Q242" s="1" t="str">
        <f t="shared" si="7"/>
        <v>*/Consignment/HouseConsignment[0]/AdditionalReference[0]/type</v>
      </c>
    </row>
    <row r="243" spans="1:17" ht="12" customHeight="1" outlineLevel="4" x14ac:dyDescent="0.25">
      <c r="A243" s="1" t="str">
        <f t="shared" si="6"/>
        <v>CC013C
CC015C</v>
      </c>
      <c r="B243" s="1">
        <v>4</v>
      </c>
      <c r="C243" s="1" t="s">
        <v>17</v>
      </c>
      <c r="D243" s="1" t="s">
        <v>36</v>
      </c>
      <c r="E243" s="11" t="s">
        <v>100</v>
      </c>
      <c r="F243" s="3" t="s">
        <v>126</v>
      </c>
      <c r="G243" s="3" t="s">
        <v>38</v>
      </c>
      <c r="H243" s="3" t="s">
        <v>481</v>
      </c>
      <c r="I243" s="3"/>
      <c r="J243" s="3"/>
      <c r="K243" s="3"/>
      <c r="L243" s="3" t="s">
        <v>510</v>
      </c>
      <c r="M243" s="1" t="s">
        <v>102</v>
      </c>
      <c r="P243" s="1" t="s">
        <v>308</v>
      </c>
      <c r="Q243" s="1" t="str">
        <f t="shared" si="7"/>
        <v>*/Consignment/HouseConsignment[0]/AdditionalReference[0]/referenceNumber</v>
      </c>
    </row>
    <row r="244" spans="1:17" ht="12" customHeight="1" outlineLevel="3" x14ac:dyDescent="0.25">
      <c r="A244" s="4" t="str">
        <f t="shared" si="6"/>
        <v>CC013C
CC015C</v>
      </c>
      <c r="B244" s="4">
        <v>3</v>
      </c>
      <c r="C244" s="4" t="s">
        <v>41</v>
      </c>
      <c r="D244" s="4" t="s">
        <v>164</v>
      </c>
      <c r="E244" s="10" t="s">
        <v>321</v>
      </c>
      <c r="F244" s="6"/>
      <c r="G244" s="6" t="s">
        <v>38</v>
      </c>
      <c r="H244" s="6" t="s">
        <v>467</v>
      </c>
      <c r="I244" s="6"/>
      <c r="J244" s="6"/>
      <c r="K244" s="6"/>
      <c r="L244" s="6" t="s">
        <v>493</v>
      </c>
      <c r="M244" s="4" t="s">
        <v>322</v>
      </c>
      <c r="N244" s="4"/>
      <c r="O244" s="4"/>
      <c r="Q244" s="1" t="str">
        <f t="shared" si="7"/>
        <v>*/Consignment/HouseConsignment[0]/AdditionalInformation[0]</v>
      </c>
    </row>
    <row r="245" spans="1:17" ht="12" customHeight="1" outlineLevel="4" x14ac:dyDescent="0.25">
      <c r="A245" s="1" t="str">
        <f t="shared" si="6"/>
        <v>CC013C
CC015C</v>
      </c>
      <c r="B245" s="1">
        <v>4</v>
      </c>
      <c r="C245" s="1" t="s">
        <v>17</v>
      </c>
      <c r="D245" s="1" t="s">
        <v>18</v>
      </c>
      <c r="E245" s="11" t="s">
        <v>93</v>
      </c>
      <c r="F245" s="3" t="s">
        <v>483</v>
      </c>
      <c r="G245" s="3" t="s">
        <v>21</v>
      </c>
      <c r="H245" s="3" t="s">
        <v>475</v>
      </c>
      <c r="I245" s="3"/>
      <c r="J245" s="3"/>
      <c r="K245" s="3"/>
      <c r="L245" s="3"/>
      <c r="M245" s="1" t="s">
        <v>95</v>
      </c>
      <c r="P245" s="1" t="s">
        <v>96</v>
      </c>
      <c r="Q245" s="1" t="str">
        <f t="shared" si="7"/>
        <v>*/Consignment/HouseConsignment[0]/AdditionalInformation[0]/sequenceNumber</v>
      </c>
    </row>
    <row r="246" spans="1:17" ht="12" customHeight="1" outlineLevel="4" x14ac:dyDescent="0.25">
      <c r="A246" s="1" t="str">
        <f t="shared" si="6"/>
        <v>CC013C
CC015C</v>
      </c>
      <c r="B246" s="1">
        <v>4</v>
      </c>
      <c r="C246" s="1" t="s">
        <v>17</v>
      </c>
      <c r="D246" s="1" t="s">
        <v>18</v>
      </c>
      <c r="E246" s="11" t="s">
        <v>323</v>
      </c>
      <c r="F246" s="3" t="s">
        <v>324</v>
      </c>
      <c r="G246" s="3" t="s">
        <v>21</v>
      </c>
      <c r="H246" s="3" t="s">
        <v>497</v>
      </c>
      <c r="I246" s="3"/>
      <c r="J246" s="3"/>
      <c r="K246" s="3"/>
      <c r="L246" s="3" t="s">
        <v>495</v>
      </c>
      <c r="M246" s="1" t="s">
        <v>325</v>
      </c>
      <c r="P246" s="1" t="s">
        <v>326</v>
      </c>
      <c r="Q246" s="1" t="str">
        <f t="shared" si="7"/>
        <v>*/Consignment/HouseConsignment[0]/AdditionalInformation[0]/code</v>
      </c>
    </row>
    <row r="247" spans="1:17" ht="12" customHeight="1" outlineLevel="4" x14ac:dyDescent="0.25">
      <c r="A247" s="1" t="str">
        <f t="shared" si="6"/>
        <v>CC013C
CC015C</v>
      </c>
      <c r="B247" s="1">
        <v>4</v>
      </c>
      <c r="C247" s="1" t="s">
        <v>17</v>
      </c>
      <c r="D247" s="1" t="s">
        <v>36</v>
      </c>
      <c r="E247" s="11" t="s">
        <v>327</v>
      </c>
      <c r="F247" s="3" t="s">
        <v>328</v>
      </c>
      <c r="G247" s="3" t="s">
        <v>38</v>
      </c>
      <c r="H247" s="3"/>
      <c r="I247" s="3"/>
      <c r="J247" s="3"/>
      <c r="K247" s="3"/>
      <c r="L247" s="3" t="s">
        <v>496</v>
      </c>
      <c r="M247" s="1" t="s">
        <v>329</v>
      </c>
      <c r="P247" s="1" t="s">
        <v>330</v>
      </c>
      <c r="Q247" s="1" t="str">
        <f t="shared" si="7"/>
        <v>*/Consignment/HouseConsignment[0]/AdditionalInformation[0]/text</v>
      </c>
    </row>
    <row r="248" spans="1:17" ht="12" customHeight="1" outlineLevel="3" x14ac:dyDescent="0.25">
      <c r="A248" s="4" t="str">
        <f t="shared" si="6"/>
        <v>CC013C
CC015C</v>
      </c>
      <c r="B248" s="4">
        <v>3</v>
      </c>
      <c r="C248" s="4" t="s">
        <v>41</v>
      </c>
      <c r="D248" s="4" t="s">
        <v>36</v>
      </c>
      <c r="E248" s="10" t="s">
        <v>331</v>
      </c>
      <c r="F248" s="6"/>
      <c r="G248" s="6" t="s">
        <v>450</v>
      </c>
      <c r="H248" s="6" t="s">
        <v>604</v>
      </c>
      <c r="I248" s="6" t="s">
        <v>603</v>
      </c>
      <c r="J248" s="6"/>
      <c r="K248" s="6"/>
      <c r="L248" s="6" t="s">
        <v>600</v>
      </c>
      <c r="M248" s="4" t="s">
        <v>332</v>
      </c>
      <c r="N248" s="4"/>
      <c r="O248" s="4"/>
      <c r="Q248" s="1" t="str">
        <f t="shared" si="7"/>
        <v>*/Consignment/HouseConsignment[0]/TransportCharges</v>
      </c>
    </row>
    <row r="249" spans="1:17" ht="12" customHeight="1" outlineLevel="4" x14ac:dyDescent="0.25">
      <c r="A249" s="1" t="str">
        <f t="shared" si="6"/>
        <v>CC013C
CC015C</v>
      </c>
      <c r="B249" s="1">
        <v>4</v>
      </c>
      <c r="C249" s="1" t="s">
        <v>17</v>
      </c>
      <c r="D249" s="1" t="s">
        <v>18</v>
      </c>
      <c r="E249" s="11" t="s">
        <v>333</v>
      </c>
      <c r="F249" s="3" t="s">
        <v>334</v>
      </c>
      <c r="G249" s="3" t="s">
        <v>21</v>
      </c>
      <c r="H249" s="3"/>
      <c r="I249" s="3"/>
      <c r="J249" s="3" t="s">
        <v>602</v>
      </c>
      <c r="K249" s="3"/>
      <c r="L249" s="3" t="s">
        <v>601</v>
      </c>
      <c r="M249" s="1" t="s">
        <v>335</v>
      </c>
      <c r="P249" s="1" t="s">
        <v>336</v>
      </c>
      <c r="Q249" s="1" t="str">
        <f t="shared" si="7"/>
        <v>*/Consignment/HouseConsignment[0]/TransportCharges/methodOfPayment</v>
      </c>
    </row>
    <row r="250" spans="1:17" ht="12" customHeight="1" outlineLevel="3" x14ac:dyDescent="0.25">
      <c r="A250" s="4" t="str">
        <f t="shared" si="6"/>
        <v>CC013C
CC015C</v>
      </c>
      <c r="B250" s="4">
        <v>3</v>
      </c>
      <c r="C250" s="4" t="s">
        <v>41</v>
      </c>
      <c r="D250" s="4" t="s">
        <v>340</v>
      </c>
      <c r="E250" s="10" t="s">
        <v>341</v>
      </c>
      <c r="F250" s="6"/>
      <c r="G250" s="6" t="s">
        <v>21</v>
      </c>
      <c r="H250" s="6"/>
      <c r="I250" s="6"/>
      <c r="J250" s="6"/>
      <c r="K250" s="6"/>
      <c r="L250" s="6" t="s">
        <v>464</v>
      </c>
      <c r="M250" s="4" t="s">
        <v>342</v>
      </c>
      <c r="N250" s="4"/>
      <c r="O250" s="4"/>
      <c r="Q250" s="1" t="str">
        <f t="shared" si="7"/>
        <v>*/Consignment/HouseConsignment[0]/ConsignmentItem[0]</v>
      </c>
    </row>
    <row r="251" spans="1:17" ht="12" customHeight="1" outlineLevel="4" x14ac:dyDescent="0.25">
      <c r="A251" s="1" t="str">
        <f t="shared" si="6"/>
        <v>CC013C
CC015C</v>
      </c>
      <c r="B251" s="1">
        <v>4</v>
      </c>
      <c r="C251" s="1" t="s">
        <v>17</v>
      </c>
      <c r="D251" s="1" t="s">
        <v>18</v>
      </c>
      <c r="E251" s="11" t="s">
        <v>343</v>
      </c>
      <c r="F251" s="3" t="s">
        <v>94</v>
      </c>
      <c r="G251" s="3" t="s">
        <v>21</v>
      </c>
      <c r="H251" s="3" t="s">
        <v>466</v>
      </c>
      <c r="I251" s="3"/>
      <c r="J251" s="3"/>
      <c r="K251" s="3"/>
      <c r="L251" s="3" t="s">
        <v>465</v>
      </c>
      <c r="M251" s="1" t="s">
        <v>344</v>
      </c>
      <c r="P251" s="1" t="s">
        <v>345</v>
      </c>
      <c r="Q251" s="1" t="str">
        <f t="shared" si="7"/>
        <v>*/Consignment/HouseConsignment[0]/ConsignmentItem[0]/goodsItemNumber</v>
      </c>
    </row>
    <row r="252" spans="1:17" ht="12" customHeight="1" outlineLevel="4" x14ac:dyDescent="0.25">
      <c r="A252" s="1" t="str">
        <f t="shared" si="6"/>
        <v>CC013C
CC015C</v>
      </c>
      <c r="B252" s="1">
        <v>4</v>
      </c>
      <c r="C252" s="1" t="s">
        <v>17</v>
      </c>
      <c r="D252" s="1" t="s">
        <v>18</v>
      </c>
      <c r="E252" s="11" t="s">
        <v>234</v>
      </c>
      <c r="F252" s="3" t="s">
        <v>235</v>
      </c>
      <c r="G252" s="3" t="s">
        <v>21</v>
      </c>
      <c r="H252" s="3" t="s">
        <v>751</v>
      </c>
      <c r="I252" s="3"/>
      <c r="J252" s="3"/>
      <c r="K252" s="3"/>
      <c r="L252" s="3" t="s">
        <v>752</v>
      </c>
      <c r="M252" s="1" t="s">
        <v>236</v>
      </c>
      <c r="P252" s="1" t="s">
        <v>237</v>
      </c>
      <c r="Q252" s="1" t="str">
        <f t="shared" si="7"/>
        <v>*/Consignment/HouseConsignment[0]/ConsignmentItem[0]/declarationGoodsItemNumber</v>
      </c>
    </row>
    <row r="253" spans="1:17" ht="12" customHeight="1" outlineLevel="4" x14ac:dyDescent="0.25">
      <c r="A253" s="1" t="str">
        <f t="shared" si="6"/>
        <v>CC013C
CC015C</v>
      </c>
      <c r="B253" s="1">
        <v>4</v>
      </c>
      <c r="C253" s="1" t="s">
        <v>17</v>
      </c>
      <c r="D253" s="1" t="s">
        <v>36</v>
      </c>
      <c r="E253" s="11" t="s">
        <v>52</v>
      </c>
      <c r="F253" s="3" t="s">
        <v>53</v>
      </c>
      <c r="G253" s="3" t="s">
        <v>38</v>
      </c>
      <c r="H253" s="3"/>
      <c r="I253" s="3"/>
      <c r="J253" s="3"/>
      <c r="K253" s="3"/>
      <c r="L253" s="3" t="s">
        <v>460</v>
      </c>
      <c r="M253" s="1" t="s">
        <v>54</v>
      </c>
      <c r="P253" s="1" t="s">
        <v>55</v>
      </c>
      <c r="Q253" s="1" t="str">
        <f t="shared" si="7"/>
        <v>*/Consignment/HouseConsignment[0]/ConsignmentItem[0]/declarationType</v>
      </c>
    </row>
    <row r="254" spans="1:17" ht="12" customHeight="1" outlineLevel="4" x14ac:dyDescent="0.25">
      <c r="A254" s="1" t="str">
        <f t="shared" si="6"/>
        <v>CC013C
CC015C</v>
      </c>
      <c r="B254" s="1">
        <v>4</v>
      </c>
      <c r="C254" s="1" t="s">
        <v>17</v>
      </c>
      <c r="D254" s="1" t="s">
        <v>36</v>
      </c>
      <c r="E254" s="11" t="s">
        <v>184</v>
      </c>
      <c r="F254" s="3" t="s">
        <v>140</v>
      </c>
      <c r="G254" s="3" t="s">
        <v>450</v>
      </c>
      <c r="H254" s="3" t="s">
        <v>611</v>
      </c>
      <c r="I254" s="3" t="s">
        <v>610</v>
      </c>
      <c r="J254" s="3" t="s">
        <v>606</v>
      </c>
      <c r="K254" s="3"/>
      <c r="L254" s="3" t="s">
        <v>609</v>
      </c>
      <c r="M254" s="1" t="s">
        <v>185</v>
      </c>
      <c r="P254" s="1" t="s">
        <v>186</v>
      </c>
      <c r="Q254" s="1" t="str">
        <f t="shared" si="7"/>
        <v>*/Consignment/HouseConsignment[0]/ConsignmentItem[0]/countryOfDispatch</v>
      </c>
    </row>
    <row r="255" spans="1:17" ht="12" customHeight="1" outlineLevel="4" x14ac:dyDescent="0.25">
      <c r="A255" s="1" t="str">
        <f t="shared" si="6"/>
        <v>CC013C
CC015C</v>
      </c>
      <c r="B255" s="1">
        <v>4</v>
      </c>
      <c r="C255" s="1" t="s">
        <v>17</v>
      </c>
      <c r="D255" s="1" t="s">
        <v>36</v>
      </c>
      <c r="E255" s="11" t="s">
        <v>187</v>
      </c>
      <c r="F255" s="3" t="s">
        <v>140</v>
      </c>
      <c r="G255" s="3" t="s">
        <v>450</v>
      </c>
      <c r="H255" s="3" t="s">
        <v>608</v>
      </c>
      <c r="I255" s="3" t="s">
        <v>607</v>
      </c>
      <c r="J255" s="3" t="s">
        <v>606</v>
      </c>
      <c r="K255" s="3"/>
      <c r="L255" s="3" t="s">
        <v>605</v>
      </c>
      <c r="M255" s="1" t="s">
        <v>188</v>
      </c>
      <c r="P255" s="1" t="s">
        <v>189</v>
      </c>
      <c r="Q255" s="1" t="str">
        <f t="shared" si="7"/>
        <v>*/Consignment/HouseConsignment[0]/ConsignmentItem[0]/countryOfDestination</v>
      </c>
    </row>
    <row r="256" spans="1:17" ht="12" customHeight="1" outlineLevel="4" x14ac:dyDescent="0.25">
      <c r="A256" s="1" t="str">
        <f t="shared" si="6"/>
        <v>CC013C
CC015C</v>
      </c>
      <c r="B256" s="1">
        <v>4</v>
      </c>
      <c r="C256" s="1" t="s">
        <v>17</v>
      </c>
      <c r="D256" s="1" t="s">
        <v>36</v>
      </c>
      <c r="E256" s="11" t="s">
        <v>202</v>
      </c>
      <c r="F256" s="3" t="s">
        <v>203</v>
      </c>
      <c r="G256" s="3" t="s">
        <v>450</v>
      </c>
      <c r="H256" s="3" t="s">
        <v>523</v>
      </c>
      <c r="I256" s="3" t="s">
        <v>522</v>
      </c>
      <c r="J256" s="3"/>
      <c r="K256" s="3"/>
      <c r="L256" s="3" t="s">
        <v>521</v>
      </c>
      <c r="M256" s="1" t="s">
        <v>204</v>
      </c>
      <c r="P256" s="1" t="s">
        <v>205</v>
      </c>
      <c r="Q256" s="1" t="str">
        <f t="shared" si="7"/>
        <v>*/Consignment/HouseConsignment[0]/ConsignmentItem[0]/referenceNumberUCR</v>
      </c>
    </row>
    <row r="257" spans="1:17" ht="12" customHeight="1" outlineLevel="4" x14ac:dyDescent="0.25">
      <c r="A257" s="4" t="str">
        <f t="shared" ref="A257:A294" si="8">$E$2</f>
        <v>CC013C
CC015C</v>
      </c>
      <c r="B257" s="4">
        <v>4</v>
      </c>
      <c r="C257" s="4" t="s">
        <v>41</v>
      </c>
      <c r="D257" s="4" t="s">
        <v>164</v>
      </c>
      <c r="E257" s="12" t="s">
        <v>210</v>
      </c>
      <c r="F257" s="6"/>
      <c r="G257" s="6" t="s">
        <v>38</v>
      </c>
      <c r="H257" s="6" t="s">
        <v>467</v>
      </c>
      <c r="I257" s="6"/>
      <c r="J257" s="6"/>
      <c r="K257" s="6"/>
      <c r="L257" s="6" t="s">
        <v>596</v>
      </c>
      <c r="M257" s="4" t="s">
        <v>211</v>
      </c>
      <c r="N257" s="4"/>
      <c r="O257" s="4"/>
      <c r="Q257" s="1" t="str">
        <f>IF($B257=0,$M257,_xlfn.TEXTBEFORE(Q256,"/",$B257,,,Q256)&amp;"/"&amp;$M257)&amp;IF(_xlfn.TEXTAFTER($D257,"..",,,,1)&lt;&gt;"1","[0]","")</f>
        <v>*/Consignment/HouseConsignment[0]/ConsignmentItem[0]/AdditionalSupplyChainActor[0]</v>
      </c>
    </row>
    <row r="258" spans="1:17" ht="12" customHeight="1" outlineLevel="5" x14ac:dyDescent="0.25">
      <c r="A258" s="1" t="str">
        <f t="shared" si="8"/>
        <v>CC013C
CC015C</v>
      </c>
      <c r="B258" s="1">
        <v>5</v>
      </c>
      <c r="C258" s="1" t="s">
        <v>17</v>
      </c>
      <c r="D258" s="1" t="s">
        <v>18</v>
      </c>
      <c r="E258" s="13" t="s">
        <v>93</v>
      </c>
      <c r="F258" s="3" t="s">
        <v>483</v>
      </c>
      <c r="G258" s="3" t="s">
        <v>21</v>
      </c>
      <c r="H258" s="3" t="s">
        <v>475</v>
      </c>
      <c r="I258" s="3"/>
      <c r="J258" s="3"/>
      <c r="K258" s="3"/>
      <c r="L258" s="3"/>
      <c r="M258" s="1" t="s">
        <v>95</v>
      </c>
      <c r="P258" s="1" t="s">
        <v>96</v>
      </c>
      <c r="Q258" s="1" t="str">
        <f t="shared" ref="Q258:Q303" si="9">IF($B258=0,$M258,_xlfn.TEXTBEFORE(Q257,"/",$B258,,,Q257)&amp;"/"&amp;$M258)&amp;IF(_xlfn.TEXTAFTER($D258,"..",,,,1)&lt;&gt;"1","[0]","")</f>
        <v>*/Consignment/HouseConsignment[0]/ConsignmentItem[0]/AdditionalSupplyChainActor[0]/sequenceNumber</v>
      </c>
    </row>
    <row r="259" spans="1:17" ht="12" customHeight="1" outlineLevel="5" x14ac:dyDescent="0.25">
      <c r="A259" s="1" t="str">
        <f t="shared" si="8"/>
        <v>CC013C
CC015C</v>
      </c>
      <c r="B259" s="1">
        <v>5</v>
      </c>
      <c r="C259" s="1" t="s">
        <v>17</v>
      </c>
      <c r="D259" s="1" t="s">
        <v>18</v>
      </c>
      <c r="E259" s="13" t="s">
        <v>212</v>
      </c>
      <c r="F259" s="3" t="s">
        <v>213</v>
      </c>
      <c r="G259" s="3" t="s">
        <v>21</v>
      </c>
      <c r="H259" s="3"/>
      <c r="I259" s="3"/>
      <c r="J259" s="3" t="s">
        <v>599</v>
      </c>
      <c r="K259" s="3"/>
      <c r="L259" s="3" t="s">
        <v>598</v>
      </c>
      <c r="M259" s="1" t="s">
        <v>214</v>
      </c>
      <c r="P259" s="1" t="s">
        <v>215</v>
      </c>
      <c r="Q259" s="1" t="str">
        <f t="shared" si="9"/>
        <v>*/Consignment/HouseConsignment[0]/ConsignmentItem[0]/AdditionalSupplyChainActor[0]/role</v>
      </c>
    </row>
    <row r="260" spans="1:17" ht="12" customHeight="1" outlineLevel="5" x14ac:dyDescent="0.25">
      <c r="A260" s="1" t="str">
        <f t="shared" si="8"/>
        <v>CC013C
CC015C</v>
      </c>
      <c r="B260" s="1">
        <v>5</v>
      </c>
      <c r="C260" s="1" t="s">
        <v>17</v>
      </c>
      <c r="D260" s="1" t="s">
        <v>18</v>
      </c>
      <c r="E260" s="13" t="s">
        <v>119</v>
      </c>
      <c r="F260" s="3" t="s">
        <v>140</v>
      </c>
      <c r="G260" s="3" t="s">
        <v>21</v>
      </c>
      <c r="H260" s="3" t="s">
        <v>595</v>
      </c>
      <c r="I260" s="3"/>
      <c r="J260" s="3"/>
      <c r="K260" s="3"/>
      <c r="L260" s="3" t="s">
        <v>597</v>
      </c>
      <c r="M260" s="1" t="s">
        <v>121</v>
      </c>
      <c r="P260" s="1" t="s">
        <v>207</v>
      </c>
      <c r="Q260" s="1" t="str">
        <f t="shared" si="9"/>
        <v>*/Consignment/HouseConsignment[0]/ConsignmentItem[0]/AdditionalSupplyChainActor[0]/identificationNumber</v>
      </c>
    </row>
    <row r="261" spans="1:17" ht="12" customHeight="1" outlineLevel="4" x14ac:dyDescent="0.25">
      <c r="A261" s="4" t="str">
        <f t="shared" si="8"/>
        <v>CC013C
CC015C</v>
      </c>
      <c r="B261" s="4">
        <v>4</v>
      </c>
      <c r="C261" s="4" t="s">
        <v>41</v>
      </c>
      <c r="D261" s="4" t="s">
        <v>18</v>
      </c>
      <c r="E261" s="12" t="s">
        <v>346</v>
      </c>
      <c r="F261" s="6"/>
      <c r="G261" s="6" t="s">
        <v>21</v>
      </c>
      <c r="H261" s="6"/>
      <c r="I261" s="6"/>
      <c r="J261" s="6"/>
      <c r="K261" s="6"/>
      <c r="L261" s="6" t="s">
        <v>694</v>
      </c>
      <c r="M261" s="4" t="s">
        <v>346</v>
      </c>
      <c r="N261" s="4"/>
      <c r="O261" s="4"/>
      <c r="Q261" s="1" t="str">
        <f t="shared" si="9"/>
        <v>*/Consignment/HouseConsignment[0]/ConsignmentItem[0]/Commodity</v>
      </c>
    </row>
    <row r="262" spans="1:17" ht="12" customHeight="1" outlineLevel="5" x14ac:dyDescent="0.25">
      <c r="A262" s="1" t="str">
        <f t="shared" si="8"/>
        <v>CC013C
CC015C</v>
      </c>
      <c r="B262" s="1">
        <v>5</v>
      </c>
      <c r="C262" s="1" t="s">
        <v>17</v>
      </c>
      <c r="D262" s="1" t="s">
        <v>18</v>
      </c>
      <c r="E262" s="13" t="s">
        <v>347</v>
      </c>
      <c r="F262" s="3" t="s">
        <v>328</v>
      </c>
      <c r="G262" s="3" t="s">
        <v>21</v>
      </c>
      <c r="H262" s="3"/>
      <c r="I262" s="3"/>
      <c r="J262" s="3"/>
      <c r="K262" s="3"/>
      <c r="L262" s="3" t="s">
        <v>695</v>
      </c>
      <c r="M262" s="1" t="s">
        <v>348</v>
      </c>
      <c r="P262" s="1" t="s">
        <v>349</v>
      </c>
      <c r="Q262" s="1" t="str">
        <f t="shared" si="9"/>
        <v>*/Consignment/HouseConsignment[0]/ConsignmentItem[0]/Commodity/descriptionOfGoods</v>
      </c>
    </row>
    <row r="263" spans="1:17" ht="12" customHeight="1" outlineLevel="5" x14ac:dyDescent="0.25">
      <c r="A263" s="1" t="str">
        <f t="shared" si="8"/>
        <v>CC013C
CC015C</v>
      </c>
      <c r="B263" s="1">
        <v>5</v>
      </c>
      <c r="C263" s="1" t="s">
        <v>17</v>
      </c>
      <c r="D263" s="1" t="s">
        <v>36</v>
      </c>
      <c r="E263" s="13" t="s">
        <v>350</v>
      </c>
      <c r="F263" s="3" t="s">
        <v>351</v>
      </c>
      <c r="G263" s="3" t="s">
        <v>38</v>
      </c>
      <c r="H263" s="3" t="s">
        <v>709</v>
      </c>
      <c r="I263" s="3"/>
      <c r="J263" s="3" t="s">
        <v>710</v>
      </c>
      <c r="K263" s="3"/>
      <c r="L263" s="3" t="s">
        <v>708</v>
      </c>
      <c r="M263" s="1" t="s">
        <v>352</v>
      </c>
      <c r="P263" s="1" t="s">
        <v>353</v>
      </c>
      <c r="Q263" s="1" t="str">
        <f t="shared" si="9"/>
        <v>*/Consignment/HouseConsignment[0]/ConsignmentItem[0]/Commodity/cusCode</v>
      </c>
    </row>
    <row r="264" spans="1:17" ht="12" customHeight="1" outlineLevel="5" x14ac:dyDescent="0.25">
      <c r="A264" s="4" t="str">
        <f t="shared" si="8"/>
        <v>CC013C
CC015C</v>
      </c>
      <c r="B264" s="4">
        <v>5</v>
      </c>
      <c r="C264" s="4" t="s">
        <v>41</v>
      </c>
      <c r="D264" s="4" t="s">
        <v>36</v>
      </c>
      <c r="E264" s="14" t="s">
        <v>354</v>
      </c>
      <c r="F264" s="6"/>
      <c r="G264" s="6" t="s">
        <v>450</v>
      </c>
      <c r="H264" s="6" t="s">
        <v>706</v>
      </c>
      <c r="I264" s="6" t="s">
        <v>707</v>
      </c>
      <c r="J264" s="6"/>
      <c r="K264" s="6"/>
      <c r="L264" s="6" t="s">
        <v>705</v>
      </c>
      <c r="M264" s="4" t="s">
        <v>355</v>
      </c>
      <c r="N264" s="4"/>
      <c r="O264" s="4"/>
      <c r="Q264" s="1" t="str">
        <f t="shared" si="9"/>
        <v>*/Consignment/HouseConsignment[0]/ConsignmentItem[0]/Commodity/CommodityCode</v>
      </c>
    </row>
    <row r="265" spans="1:17" ht="12" customHeight="1" outlineLevel="6" x14ac:dyDescent="0.25">
      <c r="A265" s="1" t="str">
        <f t="shared" si="8"/>
        <v>CC013C
CC015C</v>
      </c>
      <c r="B265" s="1">
        <v>6</v>
      </c>
      <c r="C265" s="1" t="s">
        <v>17</v>
      </c>
      <c r="D265" s="1" t="s">
        <v>18</v>
      </c>
      <c r="E265" s="15" t="s">
        <v>356</v>
      </c>
      <c r="F265" s="3" t="s">
        <v>357</v>
      </c>
      <c r="G265" s="3" t="s">
        <v>21</v>
      </c>
      <c r="H265" s="3"/>
      <c r="I265" s="3"/>
      <c r="J265" s="3" t="s">
        <v>712</v>
      </c>
      <c r="K265" s="3"/>
      <c r="L265" s="3" t="s">
        <v>711</v>
      </c>
      <c r="M265" s="1" t="s">
        <v>358</v>
      </c>
      <c r="P265" s="1" t="s">
        <v>359</v>
      </c>
      <c r="Q265" s="1" t="str">
        <f t="shared" si="9"/>
        <v>*/Consignment/HouseConsignment[0]/ConsignmentItem[0]/Commodity/CommodityCode/harmonizedSystemSubHeadingCode</v>
      </c>
    </row>
    <row r="266" spans="1:17" ht="12" customHeight="1" outlineLevel="6" x14ac:dyDescent="0.25">
      <c r="A266" s="1" t="str">
        <f t="shared" si="8"/>
        <v>CC013C
CC015C</v>
      </c>
      <c r="B266" s="1">
        <v>6</v>
      </c>
      <c r="C266" s="1" t="s">
        <v>17</v>
      </c>
      <c r="D266" s="1" t="s">
        <v>36</v>
      </c>
      <c r="E266" s="15" t="s">
        <v>360</v>
      </c>
      <c r="F266" s="3" t="s">
        <v>361</v>
      </c>
      <c r="G266" s="3" t="s">
        <v>450</v>
      </c>
      <c r="H266" s="3" t="s">
        <v>714</v>
      </c>
      <c r="I266" s="3" t="s">
        <v>715</v>
      </c>
      <c r="J266" s="3"/>
      <c r="K266" s="3"/>
      <c r="L266" s="3" t="s">
        <v>713</v>
      </c>
      <c r="M266" s="1" t="s">
        <v>362</v>
      </c>
      <c r="P266" s="1" t="s">
        <v>363</v>
      </c>
      <c r="Q266" s="1" t="str">
        <f t="shared" si="9"/>
        <v>*/Consignment/HouseConsignment[0]/ConsignmentItem[0]/Commodity/CommodityCode/combinedNomenclatureCode</v>
      </c>
    </row>
    <row r="267" spans="1:17" ht="12" customHeight="1" outlineLevel="5" x14ac:dyDescent="0.25">
      <c r="A267" s="4" t="str">
        <f t="shared" si="8"/>
        <v>CC013C
CC015C</v>
      </c>
      <c r="B267" s="4">
        <v>5</v>
      </c>
      <c r="C267" s="4" t="s">
        <v>41</v>
      </c>
      <c r="D267" s="4" t="s">
        <v>164</v>
      </c>
      <c r="E267" s="14" t="s">
        <v>364</v>
      </c>
      <c r="F267" s="6"/>
      <c r="G267" s="6" t="s">
        <v>38</v>
      </c>
      <c r="H267" s="6"/>
      <c r="I267" s="6"/>
      <c r="J267" s="6"/>
      <c r="K267" s="6"/>
      <c r="L267" s="6" t="s">
        <v>703</v>
      </c>
      <c r="M267" s="4" t="s">
        <v>365</v>
      </c>
      <c r="N267" s="4"/>
      <c r="O267" s="4"/>
      <c r="Q267" s="1" t="str">
        <f t="shared" si="9"/>
        <v>*/Consignment/HouseConsignment[0]/ConsignmentItem[0]/Commodity/DangerousGoods[0]</v>
      </c>
    </row>
    <row r="268" spans="1:17" ht="12" customHeight="1" outlineLevel="6" x14ac:dyDescent="0.25">
      <c r="A268" s="1" t="str">
        <f t="shared" si="8"/>
        <v>CC013C
CC015C</v>
      </c>
      <c r="B268" s="1">
        <v>6</v>
      </c>
      <c r="C268" s="1" t="s">
        <v>17</v>
      </c>
      <c r="D268" s="1" t="s">
        <v>18</v>
      </c>
      <c r="E268" s="15" t="s">
        <v>93</v>
      </c>
      <c r="F268" s="3" t="s">
        <v>483</v>
      </c>
      <c r="G268" s="3" t="s">
        <v>21</v>
      </c>
      <c r="H268" s="3"/>
      <c r="I268" s="3"/>
      <c r="J268" s="3"/>
      <c r="K268" s="3"/>
      <c r="L268" s="3"/>
      <c r="M268" s="1" t="s">
        <v>95</v>
      </c>
      <c r="P268" s="1" t="s">
        <v>96</v>
      </c>
      <c r="Q268" s="1" t="str">
        <f t="shared" si="9"/>
        <v>*/Consignment/HouseConsignment[0]/ConsignmentItem[0]/Commodity/DangerousGoods[0]/sequenceNumber</v>
      </c>
    </row>
    <row r="269" spans="1:17" ht="12" customHeight="1" outlineLevel="6" x14ac:dyDescent="0.25">
      <c r="A269" s="1" t="str">
        <f t="shared" si="8"/>
        <v>CC013C
CC015C</v>
      </c>
      <c r="B269" s="1">
        <v>6</v>
      </c>
      <c r="C269" s="1" t="s">
        <v>17</v>
      </c>
      <c r="D269" s="1" t="s">
        <v>18</v>
      </c>
      <c r="E269" s="15" t="s">
        <v>366</v>
      </c>
      <c r="F269" s="3" t="s">
        <v>306</v>
      </c>
      <c r="G269" s="3" t="s">
        <v>21</v>
      </c>
      <c r="H269" s="3"/>
      <c r="I269" s="3"/>
      <c r="J269" s="3"/>
      <c r="K269" s="3"/>
      <c r="L269" s="3" t="s">
        <v>704</v>
      </c>
      <c r="M269" s="1" t="s">
        <v>367</v>
      </c>
      <c r="P269" s="1" t="s">
        <v>368</v>
      </c>
      <c r="Q269" s="1" t="str">
        <f t="shared" si="9"/>
        <v>*/Consignment/HouseConsignment[0]/ConsignmentItem[0]/Commodity/DangerousGoods[0]/UNNumber</v>
      </c>
    </row>
    <row r="270" spans="1:17" ht="12" customHeight="1" outlineLevel="5" x14ac:dyDescent="0.25">
      <c r="A270" s="4" t="str">
        <f t="shared" si="8"/>
        <v>CC013C
CC015C</v>
      </c>
      <c r="B270" s="4">
        <v>5</v>
      </c>
      <c r="C270" s="4" t="s">
        <v>41</v>
      </c>
      <c r="D270" s="4" t="s">
        <v>18</v>
      </c>
      <c r="E270" s="14" t="s">
        <v>369</v>
      </c>
      <c r="F270" s="6"/>
      <c r="G270" s="6" t="s">
        <v>21</v>
      </c>
      <c r="H270" s="6"/>
      <c r="I270" s="6"/>
      <c r="J270" s="6"/>
      <c r="K270" s="6"/>
      <c r="L270" s="6" t="s">
        <v>691</v>
      </c>
      <c r="M270" s="4" t="s">
        <v>370</v>
      </c>
      <c r="N270" s="4"/>
      <c r="O270" s="4"/>
      <c r="Q270" s="1" t="str">
        <f t="shared" si="9"/>
        <v>*/Consignment/HouseConsignment[0]/ConsignmentItem[0]/Commodity/GoodsMeasure</v>
      </c>
    </row>
    <row r="271" spans="1:17" ht="12" customHeight="1" outlineLevel="6" x14ac:dyDescent="0.25">
      <c r="A271" s="1" t="str">
        <f t="shared" si="8"/>
        <v>CC013C
CC015C</v>
      </c>
      <c r="B271" s="1">
        <v>6</v>
      </c>
      <c r="C271" s="1" t="s">
        <v>17</v>
      </c>
      <c r="D271" s="1" t="s">
        <v>18</v>
      </c>
      <c r="E271" s="15" t="s">
        <v>198</v>
      </c>
      <c r="F271" s="3" t="s">
        <v>371</v>
      </c>
      <c r="G271" s="3" t="s">
        <v>21</v>
      </c>
      <c r="H271" s="3" t="s">
        <v>693</v>
      </c>
      <c r="I271" s="3"/>
      <c r="J271" s="3"/>
      <c r="K271" s="3"/>
      <c r="L271" s="3" t="s">
        <v>692</v>
      </c>
      <c r="M271" s="1" t="s">
        <v>200</v>
      </c>
      <c r="P271" s="1" t="s">
        <v>372</v>
      </c>
      <c r="Q271" s="1" t="str">
        <f t="shared" si="9"/>
        <v>*/Consignment/HouseConsignment[0]/ConsignmentItem[0]/Commodity/GoodsMeasure/grossMass</v>
      </c>
    </row>
    <row r="272" spans="1:17" ht="12" customHeight="1" outlineLevel="6" x14ac:dyDescent="0.25">
      <c r="A272" s="1" t="str">
        <f t="shared" si="8"/>
        <v>CC013C
CC015C</v>
      </c>
      <c r="B272" s="1">
        <v>6</v>
      </c>
      <c r="C272" s="1" t="s">
        <v>17</v>
      </c>
      <c r="D272" s="1" t="s">
        <v>36</v>
      </c>
      <c r="E272" s="15" t="s">
        <v>373</v>
      </c>
      <c r="F272" s="3" t="s">
        <v>199</v>
      </c>
      <c r="G272" s="3" t="s">
        <v>38</v>
      </c>
      <c r="H272" s="3" t="s">
        <v>689</v>
      </c>
      <c r="I272" s="3" t="s">
        <v>687</v>
      </c>
      <c r="J272" s="3"/>
      <c r="K272" s="3"/>
      <c r="L272" s="3" t="s">
        <v>688</v>
      </c>
      <c r="M272" s="1" t="s">
        <v>374</v>
      </c>
      <c r="P272" s="1" t="s">
        <v>375</v>
      </c>
      <c r="Q272" s="1" t="str">
        <f t="shared" si="9"/>
        <v>*/Consignment/HouseConsignment[0]/ConsignmentItem[0]/Commodity/GoodsMeasure/netMass</v>
      </c>
    </row>
    <row r="273" spans="1:17" ht="12" customHeight="1" outlineLevel="6" x14ac:dyDescent="0.25">
      <c r="A273" s="1" t="str">
        <f t="shared" si="8"/>
        <v>CC013C
CC015C</v>
      </c>
      <c r="B273" s="1">
        <v>6</v>
      </c>
      <c r="C273" s="1" t="s">
        <v>17</v>
      </c>
      <c r="D273" s="1" t="s">
        <v>36</v>
      </c>
      <c r="E273" s="15" t="s">
        <v>376</v>
      </c>
      <c r="F273" s="3" t="s">
        <v>199</v>
      </c>
      <c r="G273" s="3" t="s">
        <v>38</v>
      </c>
      <c r="H273" s="3"/>
      <c r="I273" s="3"/>
      <c r="J273" s="3"/>
      <c r="K273" s="3"/>
      <c r="L273" s="3" t="s">
        <v>690</v>
      </c>
      <c r="M273" s="1" t="s">
        <v>377</v>
      </c>
      <c r="P273" s="1" t="s">
        <v>378</v>
      </c>
      <c r="Q273" s="1" t="str">
        <f t="shared" si="9"/>
        <v>*/Consignment/HouseConsignment[0]/ConsignmentItem[0]/Commodity/GoodsMeasure/supplementaryUnits</v>
      </c>
    </row>
    <row r="274" spans="1:17" ht="12" customHeight="1" outlineLevel="4" x14ac:dyDescent="0.25">
      <c r="A274" s="4" t="str">
        <f t="shared" si="8"/>
        <v>CC013C
CC015C</v>
      </c>
      <c r="B274" s="4">
        <v>4</v>
      </c>
      <c r="C274" s="4" t="s">
        <v>41</v>
      </c>
      <c r="D274" s="4" t="s">
        <v>379</v>
      </c>
      <c r="E274" s="12" t="s">
        <v>380</v>
      </c>
      <c r="F274" s="6"/>
      <c r="G274" s="6" t="s">
        <v>21</v>
      </c>
      <c r="H274" s="6"/>
      <c r="I274" s="6"/>
      <c r="J274" s="6"/>
      <c r="K274" s="6"/>
      <c r="L274" s="6" t="s">
        <v>696</v>
      </c>
      <c r="M274" s="4" t="s">
        <v>380</v>
      </c>
      <c r="N274" s="4"/>
      <c r="O274" s="4"/>
      <c r="Q274" s="1" t="str">
        <f t="shared" si="9"/>
        <v>*/Consignment/HouseConsignment[0]/ConsignmentItem[0]/Packaging[0]</v>
      </c>
    </row>
    <row r="275" spans="1:17" ht="12" customHeight="1" outlineLevel="5" x14ac:dyDescent="0.25">
      <c r="A275" s="1" t="str">
        <f t="shared" si="8"/>
        <v>CC013C
CC015C</v>
      </c>
      <c r="B275" s="1">
        <v>5</v>
      </c>
      <c r="C275" s="1" t="s">
        <v>17</v>
      </c>
      <c r="D275" s="1" t="s">
        <v>18</v>
      </c>
      <c r="E275" s="13" t="s">
        <v>93</v>
      </c>
      <c r="F275" s="3" t="s">
        <v>483</v>
      </c>
      <c r="G275" s="3" t="s">
        <v>21</v>
      </c>
      <c r="H275" s="3" t="s">
        <v>475</v>
      </c>
      <c r="I275" s="3"/>
      <c r="J275" s="3"/>
      <c r="K275" s="3"/>
      <c r="L275" s="3"/>
      <c r="M275" s="1" t="s">
        <v>95</v>
      </c>
      <c r="P275" s="1" t="s">
        <v>96</v>
      </c>
      <c r="Q275" s="1" t="str">
        <f t="shared" si="9"/>
        <v>*/Consignment/HouseConsignment[0]/ConsignmentItem[0]/Packaging[0]/sequenceNumber</v>
      </c>
    </row>
    <row r="276" spans="1:17" ht="12" customHeight="1" outlineLevel="5" x14ac:dyDescent="0.25">
      <c r="A276" s="1" t="str">
        <f t="shared" si="8"/>
        <v>CC013C
CC015C</v>
      </c>
      <c r="B276" s="1">
        <v>5</v>
      </c>
      <c r="C276" s="1" t="s">
        <v>17</v>
      </c>
      <c r="D276" s="1" t="s">
        <v>18</v>
      </c>
      <c r="E276" s="13" t="s">
        <v>381</v>
      </c>
      <c r="F276" s="3" t="s">
        <v>382</v>
      </c>
      <c r="G276" s="3" t="s">
        <v>21</v>
      </c>
      <c r="H276" s="3"/>
      <c r="I276" s="3"/>
      <c r="J276" s="3" t="s">
        <v>487</v>
      </c>
      <c r="K276" s="3"/>
      <c r="L276" s="3" t="s">
        <v>697</v>
      </c>
      <c r="M276" s="1" t="s">
        <v>383</v>
      </c>
      <c r="P276" s="1" t="s">
        <v>384</v>
      </c>
      <c r="Q276" s="1" t="str">
        <f t="shared" si="9"/>
        <v>*/Consignment/HouseConsignment[0]/ConsignmentItem[0]/Packaging[0]/typeOfPackages</v>
      </c>
    </row>
    <row r="277" spans="1:17" ht="12" customHeight="1" outlineLevel="5" x14ac:dyDescent="0.25">
      <c r="A277" s="1" t="str">
        <f t="shared" si="8"/>
        <v>CC013C
CC015C</v>
      </c>
      <c r="B277" s="1">
        <v>5</v>
      </c>
      <c r="C277" s="1" t="s">
        <v>17</v>
      </c>
      <c r="D277" s="1" t="s">
        <v>36</v>
      </c>
      <c r="E277" s="13" t="s">
        <v>385</v>
      </c>
      <c r="F277" s="3" t="s">
        <v>386</v>
      </c>
      <c r="G277" s="3" t="s">
        <v>450</v>
      </c>
      <c r="H277" s="3" t="s">
        <v>700</v>
      </c>
      <c r="I277" s="3" t="s">
        <v>701</v>
      </c>
      <c r="J277" s="3"/>
      <c r="K277" s="3"/>
      <c r="L277" s="3" t="s">
        <v>698</v>
      </c>
      <c r="M277" s="1" t="s">
        <v>387</v>
      </c>
      <c r="P277" s="1" t="s">
        <v>388</v>
      </c>
      <c r="Q277" s="1" t="str">
        <f t="shared" si="9"/>
        <v>*/Consignment/HouseConsignment[0]/ConsignmentItem[0]/Packaging[0]/numberOfPackages</v>
      </c>
    </row>
    <row r="278" spans="1:17" ht="12" customHeight="1" outlineLevel="5" x14ac:dyDescent="0.25">
      <c r="A278" s="1" t="str">
        <f t="shared" si="8"/>
        <v>CC013C
CC015C</v>
      </c>
      <c r="B278" s="1">
        <v>5</v>
      </c>
      <c r="C278" s="1" t="s">
        <v>17</v>
      </c>
      <c r="D278" s="1" t="s">
        <v>36</v>
      </c>
      <c r="E278" s="13" t="s">
        <v>389</v>
      </c>
      <c r="F278" s="3" t="s">
        <v>328</v>
      </c>
      <c r="G278" s="3" t="s">
        <v>450</v>
      </c>
      <c r="H278" s="3" t="s">
        <v>702</v>
      </c>
      <c r="I278" s="3" t="s">
        <v>701</v>
      </c>
      <c r="J278" s="3"/>
      <c r="K278" s="3"/>
      <c r="L278" s="3" t="s">
        <v>699</v>
      </c>
      <c r="M278" s="1" t="s">
        <v>390</v>
      </c>
      <c r="P278" s="1" t="s">
        <v>391</v>
      </c>
      <c r="Q278" s="1" t="str">
        <f t="shared" si="9"/>
        <v>*/Consignment/HouseConsignment[0]/ConsignmentItem[0]/Packaging[0]/shippingMarks</v>
      </c>
    </row>
    <row r="279" spans="1:17" ht="12" customHeight="1" outlineLevel="4" x14ac:dyDescent="0.25">
      <c r="A279" s="4" t="str">
        <f t="shared" si="8"/>
        <v>CC013C
CC015C</v>
      </c>
      <c r="B279" s="4">
        <v>4</v>
      </c>
      <c r="C279" s="4" t="s">
        <v>41</v>
      </c>
      <c r="D279" s="4" t="s">
        <v>164</v>
      </c>
      <c r="E279" s="12" t="s">
        <v>304</v>
      </c>
      <c r="F279" s="6"/>
      <c r="G279" s="6" t="s">
        <v>38</v>
      </c>
      <c r="H279" s="6"/>
      <c r="I279" s="6"/>
      <c r="J279" s="6"/>
      <c r="K279" s="6"/>
      <c r="L279" s="6" t="s">
        <v>477</v>
      </c>
      <c r="M279" s="4" t="s">
        <v>305</v>
      </c>
      <c r="N279" s="4"/>
      <c r="O279" s="4"/>
      <c r="Q279" s="1" t="str">
        <f t="shared" si="9"/>
        <v>*/Consignment/HouseConsignment[0]/ConsignmentItem[0]/PreviousDocument[0]</v>
      </c>
    </row>
    <row r="280" spans="1:17" ht="12" customHeight="1" outlineLevel="5" x14ac:dyDescent="0.25">
      <c r="A280" s="1" t="str">
        <f t="shared" si="8"/>
        <v>CC013C
CC015C</v>
      </c>
      <c r="B280" s="1">
        <v>5</v>
      </c>
      <c r="C280" s="1" t="s">
        <v>17</v>
      </c>
      <c r="D280" s="1" t="s">
        <v>18</v>
      </c>
      <c r="E280" s="13" t="s">
        <v>93</v>
      </c>
      <c r="F280" s="3" t="s">
        <v>483</v>
      </c>
      <c r="G280" s="3" t="s">
        <v>21</v>
      </c>
      <c r="H280" s="3" t="s">
        <v>475</v>
      </c>
      <c r="I280" s="3"/>
      <c r="J280" s="3"/>
      <c r="K280" s="3"/>
      <c r="L280" s="3"/>
      <c r="M280" s="1" t="s">
        <v>95</v>
      </c>
      <c r="P280" s="1" t="s">
        <v>96</v>
      </c>
      <c r="Q280" s="1" t="str">
        <f t="shared" si="9"/>
        <v>*/Consignment/HouseConsignment[0]/ConsignmentItem[0]/PreviousDocument[0]/sequenceNumber</v>
      </c>
    </row>
    <row r="281" spans="1:17" ht="12" customHeight="1" outlineLevel="5" x14ac:dyDescent="0.25">
      <c r="A281" s="1" t="str">
        <f t="shared" si="8"/>
        <v>CC013C
CC015C</v>
      </c>
      <c r="B281" s="1">
        <v>5</v>
      </c>
      <c r="C281" s="1" t="s">
        <v>17</v>
      </c>
      <c r="D281" s="1" t="s">
        <v>18</v>
      </c>
      <c r="E281" s="13" t="s">
        <v>2</v>
      </c>
      <c r="F281" s="3" t="s">
        <v>306</v>
      </c>
      <c r="G281" s="3" t="s">
        <v>21</v>
      </c>
      <c r="H281" s="3" t="s">
        <v>479</v>
      </c>
      <c r="I281" s="3"/>
      <c r="J281" s="3" t="s">
        <v>478</v>
      </c>
      <c r="K281" s="3"/>
      <c r="L281" s="3" t="s">
        <v>476</v>
      </c>
      <c r="M281" s="1" t="s">
        <v>98</v>
      </c>
      <c r="P281" s="1" t="s">
        <v>307</v>
      </c>
      <c r="Q281" s="1" t="str">
        <f t="shared" si="9"/>
        <v>*/Consignment/HouseConsignment[0]/ConsignmentItem[0]/PreviousDocument[0]/type</v>
      </c>
    </row>
    <row r="282" spans="1:17" ht="12" customHeight="1" outlineLevel="5" x14ac:dyDescent="0.25">
      <c r="A282" s="1" t="str">
        <f t="shared" si="8"/>
        <v>CC013C
CC015C</v>
      </c>
      <c r="B282" s="1">
        <v>5</v>
      </c>
      <c r="C282" s="1" t="s">
        <v>17</v>
      </c>
      <c r="D282" s="1" t="s">
        <v>18</v>
      </c>
      <c r="E282" s="13" t="s">
        <v>100</v>
      </c>
      <c r="F282" s="3" t="s">
        <v>126</v>
      </c>
      <c r="G282" s="3" t="s">
        <v>21</v>
      </c>
      <c r="H282" s="3" t="s">
        <v>481</v>
      </c>
      <c r="I282" s="3"/>
      <c r="J282" s="3"/>
      <c r="K282" s="3"/>
      <c r="L282" s="3" t="s">
        <v>480</v>
      </c>
      <c r="M282" s="1" t="s">
        <v>102</v>
      </c>
      <c r="P282" s="1" t="s">
        <v>308</v>
      </c>
      <c r="Q282" s="1" t="str">
        <f t="shared" si="9"/>
        <v>*/Consignment/HouseConsignment[0]/ConsignmentItem[0]/PreviousDocument[0]/referenceNumber</v>
      </c>
    </row>
    <row r="283" spans="1:17" ht="12" customHeight="1" outlineLevel="5" x14ac:dyDescent="0.25">
      <c r="A283" s="1" t="str">
        <f t="shared" si="8"/>
        <v>CC013C
CC015C</v>
      </c>
      <c r="B283" s="1">
        <v>5</v>
      </c>
      <c r="C283" s="1" t="s">
        <v>17</v>
      </c>
      <c r="D283" s="1" t="s">
        <v>36</v>
      </c>
      <c r="E283" s="13" t="s">
        <v>343</v>
      </c>
      <c r="F283" s="3" t="s">
        <v>94</v>
      </c>
      <c r="G283" s="3" t="s">
        <v>38</v>
      </c>
      <c r="H283" s="3" t="s">
        <v>485</v>
      </c>
      <c r="I283" s="3"/>
      <c r="J283" s="3"/>
      <c r="K283" s="3"/>
      <c r="L283" s="3" t="s">
        <v>484</v>
      </c>
      <c r="M283" s="1" t="s">
        <v>344</v>
      </c>
      <c r="P283" s="1" t="s">
        <v>345</v>
      </c>
      <c r="Q283" s="1" t="str">
        <f t="shared" si="9"/>
        <v>*/Consignment/HouseConsignment[0]/ConsignmentItem[0]/PreviousDocument[0]/goodsItemNumber</v>
      </c>
    </row>
    <row r="284" spans="1:17" ht="12" customHeight="1" outlineLevel="5" x14ac:dyDescent="0.25">
      <c r="A284" s="1" t="str">
        <f t="shared" si="8"/>
        <v>CC013C
CC015C</v>
      </c>
      <c r="B284" s="1">
        <v>5</v>
      </c>
      <c r="C284" s="1" t="s">
        <v>17</v>
      </c>
      <c r="D284" s="1" t="s">
        <v>36</v>
      </c>
      <c r="E284" s="13" t="s">
        <v>381</v>
      </c>
      <c r="F284" s="3" t="s">
        <v>382</v>
      </c>
      <c r="G284" s="3" t="s">
        <v>38</v>
      </c>
      <c r="H284" s="3"/>
      <c r="I284" s="3"/>
      <c r="J284" s="3" t="s">
        <v>487</v>
      </c>
      <c r="K284" s="3"/>
      <c r="L284" s="3" t="s">
        <v>486</v>
      </c>
      <c r="M284" s="1" t="s">
        <v>383</v>
      </c>
      <c r="P284" s="1" t="s">
        <v>384</v>
      </c>
      <c r="Q284" s="1" t="str">
        <f t="shared" si="9"/>
        <v>*/Consignment/HouseConsignment[0]/ConsignmentItem[0]/PreviousDocument[0]/typeOfPackages</v>
      </c>
    </row>
    <row r="285" spans="1:17" ht="12" customHeight="1" outlineLevel="5" x14ac:dyDescent="0.25">
      <c r="A285" s="1" t="str">
        <f t="shared" si="8"/>
        <v>CC013C
CC015C</v>
      </c>
      <c r="B285" s="1">
        <v>5</v>
      </c>
      <c r="C285" s="1" t="s">
        <v>17</v>
      </c>
      <c r="D285" s="1" t="s">
        <v>36</v>
      </c>
      <c r="E285" s="13" t="s">
        <v>385</v>
      </c>
      <c r="F285" s="3" t="s">
        <v>392</v>
      </c>
      <c r="G285" s="3" t="s">
        <v>38</v>
      </c>
      <c r="H285" s="3"/>
      <c r="I285" s="3"/>
      <c r="J285" s="3"/>
      <c r="K285" s="3"/>
      <c r="L285" s="3" t="s">
        <v>488</v>
      </c>
      <c r="M285" s="1" t="s">
        <v>387</v>
      </c>
      <c r="P285" s="1" t="s">
        <v>393</v>
      </c>
      <c r="Q285" s="1" t="str">
        <f t="shared" si="9"/>
        <v>*/Consignment/HouseConsignment[0]/ConsignmentItem[0]/PreviousDocument[0]/numberOfPackages</v>
      </c>
    </row>
    <row r="286" spans="1:17" ht="12" customHeight="1" outlineLevel="5" x14ac:dyDescent="0.25">
      <c r="A286" s="1" t="str">
        <f t="shared" si="8"/>
        <v>CC013C
CC015C</v>
      </c>
      <c r="B286" s="1">
        <v>5</v>
      </c>
      <c r="C286" s="1" t="s">
        <v>17</v>
      </c>
      <c r="D286" s="1" t="s">
        <v>36</v>
      </c>
      <c r="E286" s="13" t="s">
        <v>394</v>
      </c>
      <c r="F286" s="3" t="s">
        <v>97</v>
      </c>
      <c r="G286" s="3" t="s">
        <v>450</v>
      </c>
      <c r="H286" s="3"/>
      <c r="I286" s="3" t="s">
        <v>490</v>
      </c>
      <c r="J286" s="3" t="s">
        <v>491</v>
      </c>
      <c r="K286" s="3"/>
      <c r="L286" s="3" t="s">
        <v>489</v>
      </c>
      <c r="M286" s="1" t="s">
        <v>395</v>
      </c>
      <c r="P286" s="1" t="s">
        <v>396</v>
      </c>
      <c r="Q286" s="1" t="str">
        <f t="shared" si="9"/>
        <v>*/Consignment/HouseConsignment[0]/ConsignmentItem[0]/PreviousDocument[0]/measurementUnitAndQualifier</v>
      </c>
    </row>
    <row r="287" spans="1:17" ht="12" customHeight="1" outlineLevel="5" x14ac:dyDescent="0.25">
      <c r="A287" s="1" t="str">
        <f t="shared" si="8"/>
        <v>CC013C
CC015C</v>
      </c>
      <c r="B287" s="1">
        <v>5</v>
      </c>
      <c r="C287" s="1" t="s">
        <v>17</v>
      </c>
      <c r="D287" s="1" t="s">
        <v>36</v>
      </c>
      <c r="E287" s="13" t="s">
        <v>397</v>
      </c>
      <c r="F287" s="3" t="s">
        <v>199</v>
      </c>
      <c r="G287" s="3" t="s">
        <v>38</v>
      </c>
      <c r="H287" s="3"/>
      <c r="I287" s="3"/>
      <c r="J287" s="3"/>
      <c r="K287" s="3"/>
      <c r="L287" s="3" t="s">
        <v>492</v>
      </c>
      <c r="M287" s="1" t="s">
        <v>398</v>
      </c>
      <c r="P287" s="1" t="s">
        <v>399</v>
      </c>
      <c r="Q287" s="1" t="str">
        <f t="shared" si="9"/>
        <v>*/Consignment/HouseConsignment[0]/ConsignmentItem[0]/PreviousDocument[0]/quantity</v>
      </c>
    </row>
    <row r="288" spans="1:17" ht="12" customHeight="1" outlineLevel="5" x14ac:dyDescent="0.25">
      <c r="A288" s="1" t="str">
        <f t="shared" si="8"/>
        <v>CC013C
CC015C</v>
      </c>
      <c r="B288" s="1">
        <v>5</v>
      </c>
      <c r="C288" s="1" t="s">
        <v>17</v>
      </c>
      <c r="D288" s="1" t="s">
        <v>36</v>
      </c>
      <c r="E288" s="13" t="s">
        <v>309</v>
      </c>
      <c r="F288" s="3" t="s">
        <v>101</v>
      </c>
      <c r="G288" s="3" t="s">
        <v>38</v>
      </c>
      <c r="H288" s="3"/>
      <c r="I288" s="3"/>
      <c r="J288" s="3"/>
      <c r="K288" s="3"/>
      <c r="L288" s="3" t="s">
        <v>482</v>
      </c>
      <c r="M288" s="1" t="s">
        <v>310</v>
      </c>
      <c r="P288" s="1" t="s">
        <v>311</v>
      </c>
      <c r="Q288" s="1" t="str">
        <f t="shared" si="9"/>
        <v>*/Consignment/HouseConsignment[0]/ConsignmentItem[0]/PreviousDocument[0]/complementOfInformation</v>
      </c>
    </row>
    <row r="289" spans="1:17" ht="12" customHeight="1" outlineLevel="4" x14ac:dyDescent="0.25">
      <c r="A289" s="4" t="str">
        <f t="shared" si="8"/>
        <v>CC013C
CC015C</v>
      </c>
      <c r="B289" s="4">
        <v>4</v>
      </c>
      <c r="C289" s="4" t="s">
        <v>41</v>
      </c>
      <c r="D289" s="4" t="s">
        <v>164</v>
      </c>
      <c r="E289" s="12" t="s">
        <v>312</v>
      </c>
      <c r="F289" s="6"/>
      <c r="G289" s="6" t="s">
        <v>38</v>
      </c>
      <c r="H289" s="6" t="s">
        <v>506</v>
      </c>
      <c r="I289" s="6"/>
      <c r="J289" s="6"/>
      <c r="K289" s="6"/>
      <c r="L289" s="6" t="s">
        <v>498</v>
      </c>
      <c r="M289" s="4" t="s">
        <v>313</v>
      </c>
      <c r="N289" s="4"/>
      <c r="O289" s="4"/>
      <c r="Q289" s="1" t="str">
        <f t="shared" si="9"/>
        <v>*/Consignment/HouseConsignment[0]/ConsignmentItem[0]/SupportingDocument[0]</v>
      </c>
    </row>
    <row r="290" spans="1:17" ht="12" customHeight="1" outlineLevel="5" x14ac:dyDescent="0.25">
      <c r="A290" s="1" t="str">
        <f t="shared" si="8"/>
        <v>CC013C
CC015C</v>
      </c>
      <c r="B290" s="1">
        <v>5</v>
      </c>
      <c r="C290" s="1" t="s">
        <v>17</v>
      </c>
      <c r="D290" s="1" t="s">
        <v>18</v>
      </c>
      <c r="E290" s="13" t="s">
        <v>93</v>
      </c>
      <c r="F290" s="3" t="s">
        <v>483</v>
      </c>
      <c r="G290" s="3" t="s">
        <v>21</v>
      </c>
      <c r="H290" s="3" t="s">
        <v>475</v>
      </c>
      <c r="I290" s="3"/>
      <c r="J290" s="3"/>
      <c r="K290" s="3"/>
      <c r="L290" s="3"/>
      <c r="M290" s="1" t="s">
        <v>95</v>
      </c>
      <c r="P290" s="1" t="s">
        <v>96</v>
      </c>
      <c r="Q290" s="1" t="str">
        <f t="shared" si="9"/>
        <v>*/Consignment/HouseConsignment[0]/ConsignmentItem[0]/SupportingDocument[0]/sequenceNumber</v>
      </c>
    </row>
    <row r="291" spans="1:17" ht="12" customHeight="1" outlineLevel="5" x14ac:dyDescent="0.25">
      <c r="A291" s="1" t="str">
        <f t="shared" si="8"/>
        <v>CC013C
CC015C</v>
      </c>
      <c r="B291" s="1">
        <v>5</v>
      </c>
      <c r="C291" s="1" t="s">
        <v>17</v>
      </c>
      <c r="D291" s="1" t="s">
        <v>18</v>
      </c>
      <c r="E291" s="13" t="s">
        <v>2</v>
      </c>
      <c r="F291" s="3" t="s">
        <v>306</v>
      </c>
      <c r="G291" s="3" t="s">
        <v>21</v>
      </c>
      <c r="H291" s="3" t="s">
        <v>505</v>
      </c>
      <c r="I291" s="3"/>
      <c r="J291" s="3" t="s">
        <v>507</v>
      </c>
      <c r="K291" s="3"/>
      <c r="L291" s="3" t="s">
        <v>500</v>
      </c>
      <c r="M291" s="1" t="s">
        <v>98</v>
      </c>
      <c r="P291" s="1" t="s">
        <v>307</v>
      </c>
      <c r="Q291" s="1" t="str">
        <f t="shared" si="9"/>
        <v>*/Consignment/HouseConsignment[0]/ConsignmentItem[0]/SupportingDocument[0]/type</v>
      </c>
    </row>
    <row r="292" spans="1:17" ht="12" customHeight="1" outlineLevel="5" x14ac:dyDescent="0.25">
      <c r="A292" s="1" t="str">
        <f t="shared" si="8"/>
        <v>CC013C
CC015C</v>
      </c>
      <c r="B292" s="1">
        <v>5</v>
      </c>
      <c r="C292" s="1" t="s">
        <v>17</v>
      </c>
      <c r="D292" s="1" t="s">
        <v>18</v>
      </c>
      <c r="E292" s="13" t="s">
        <v>100</v>
      </c>
      <c r="F292" s="3" t="s">
        <v>126</v>
      </c>
      <c r="G292" s="3" t="s">
        <v>21</v>
      </c>
      <c r="H292" s="3" t="s">
        <v>481</v>
      </c>
      <c r="I292" s="3"/>
      <c r="J292" s="3"/>
      <c r="K292" s="3"/>
      <c r="L292" s="3" t="s">
        <v>499</v>
      </c>
      <c r="M292" s="1" t="s">
        <v>102</v>
      </c>
      <c r="P292" s="1" t="s">
        <v>308</v>
      </c>
      <c r="Q292" s="1" t="str">
        <f t="shared" si="9"/>
        <v>*/Consignment/HouseConsignment[0]/ConsignmentItem[0]/SupportingDocument[0]/referenceNumber</v>
      </c>
    </row>
    <row r="293" spans="1:17" ht="12" customHeight="1" outlineLevel="5" x14ac:dyDescent="0.25">
      <c r="A293" s="1" t="str">
        <f t="shared" si="8"/>
        <v>CC013C
CC015C</v>
      </c>
      <c r="B293" s="1">
        <v>5</v>
      </c>
      <c r="C293" s="1" t="s">
        <v>17</v>
      </c>
      <c r="D293" s="1" t="s">
        <v>36</v>
      </c>
      <c r="E293" s="13" t="s">
        <v>314</v>
      </c>
      <c r="F293" s="3" t="s">
        <v>94</v>
      </c>
      <c r="G293" s="3" t="s">
        <v>38</v>
      </c>
      <c r="H293" s="3"/>
      <c r="I293" s="3"/>
      <c r="J293" s="3"/>
      <c r="K293" s="3"/>
      <c r="L293" s="3" t="s">
        <v>501</v>
      </c>
      <c r="M293" s="1" t="s">
        <v>315</v>
      </c>
      <c r="P293" s="1" t="s">
        <v>316</v>
      </c>
      <c r="Q293" s="1" t="str">
        <f t="shared" si="9"/>
        <v>*/Consignment/HouseConsignment[0]/ConsignmentItem[0]/SupportingDocument[0]/documentLineItemNumber</v>
      </c>
    </row>
    <row r="294" spans="1:17" ht="12" customHeight="1" outlineLevel="5" x14ac:dyDescent="0.25">
      <c r="A294" s="1" t="str">
        <f t="shared" si="8"/>
        <v>CC013C
CC015C</v>
      </c>
      <c r="B294" s="1">
        <v>5</v>
      </c>
      <c r="C294" s="1" t="s">
        <v>17</v>
      </c>
      <c r="D294" s="1" t="s">
        <v>36</v>
      </c>
      <c r="E294" s="13" t="s">
        <v>309</v>
      </c>
      <c r="F294" s="3" t="s">
        <v>101</v>
      </c>
      <c r="G294" s="3" t="s">
        <v>38</v>
      </c>
      <c r="H294" s="3"/>
      <c r="I294" s="3"/>
      <c r="J294" s="3"/>
      <c r="K294" s="3"/>
      <c r="L294" s="3" t="s">
        <v>502</v>
      </c>
      <c r="M294" s="1" t="s">
        <v>310</v>
      </c>
      <c r="P294" s="1" t="s">
        <v>311</v>
      </c>
      <c r="Q294" s="1" t="str">
        <f t="shared" si="9"/>
        <v>*/Consignment/HouseConsignment[0]/ConsignmentItem[0]/SupportingDocument[0]/complementOfInformation</v>
      </c>
    </row>
    <row r="295" spans="1:17" ht="12" customHeight="1" outlineLevel="4" x14ac:dyDescent="0.25">
      <c r="A295" s="4" t="str">
        <f t="shared" ref="A295:A302" si="10">$E$2</f>
        <v>CC013C
CC015C</v>
      </c>
      <c r="B295" s="4">
        <v>4</v>
      </c>
      <c r="C295" s="4" t="s">
        <v>41</v>
      </c>
      <c r="D295" s="4" t="s">
        <v>164</v>
      </c>
      <c r="E295" s="12" t="s">
        <v>319</v>
      </c>
      <c r="F295" s="6"/>
      <c r="G295" s="6" t="s">
        <v>38</v>
      </c>
      <c r="H295" s="6" t="s">
        <v>511</v>
      </c>
      <c r="I295" s="6"/>
      <c r="J295" s="6"/>
      <c r="K295" s="6"/>
      <c r="L295" s="6" t="s">
        <v>508</v>
      </c>
      <c r="M295" s="4" t="s">
        <v>320</v>
      </c>
      <c r="N295" s="4"/>
      <c r="O295" s="4"/>
      <c r="Q295" s="1" t="str">
        <f>IF($B295=0,$M295,_xlfn.TEXTBEFORE(Q294,"/",$B295,,,Q294)&amp;"/"&amp;$M295)&amp;IF(_xlfn.TEXTAFTER($D295,"..",,,,1)&lt;&gt;"1","[0]","")</f>
        <v>*/Consignment/HouseConsignment[0]/ConsignmentItem[0]/AdditionalReference[0]</v>
      </c>
    </row>
    <row r="296" spans="1:17" ht="12" customHeight="1" outlineLevel="5" x14ac:dyDescent="0.25">
      <c r="A296" s="1" t="str">
        <f t="shared" si="10"/>
        <v>CC013C
CC015C</v>
      </c>
      <c r="B296" s="1">
        <v>5</v>
      </c>
      <c r="C296" s="1" t="s">
        <v>17</v>
      </c>
      <c r="D296" s="1" t="s">
        <v>18</v>
      </c>
      <c r="E296" s="13" t="s">
        <v>93</v>
      </c>
      <c r="F296" s="3" t="s">
        <v>483</v>
      </c>
      <c r="G296" s="3" t="s">
        <v>21</v>
      </c>
      <c r="H296" s="3" t="s">
        <v>475</v>
      </c>
      <c r="I296" s="3"/>
      <c r="J296" s="3"/>
      <c r="K296" s="3"/>
      <c r="L296" s="3"/>
      <c r="M296" s="1" t="s">
        <v>95</v>
      </c>
      <c r="P296" s="1" t="s">
        <v>96</v>
      </c>
      <c r="Q296" s="1" t="str">
        <f t="shared" si="9"/>
        <v>*/Consignment/HouseConsignment[0]/ConsignmentItem[0]/AdditionalReference[0]/sequenceNumber</v>
      </c>
    </row>
    <row r="297" spans="1:17" ht="12" customHeight="1" outlineLevel="5" x14ac:dyDescent="0.25">
      <c r="A297" s="1" t="str">
        <f t="shared" si="10"/>
        <v>CC013C
CC015C</v>
      </c>
      <c r="B297" s="1">
        <v>5</v>
      </c>
      <c r="C297" s="1" t="s">
        <v>17</v>
      </c>
      <c r="D297" s="1" t="s">
        <v>18</v>
      </c>
      <c r="E297" s="13" t="s">
        <v>2</v>
      </c>
      <c r="F297" s="3" t="s">
        <v>306</v>
      </c>
      <c r="G297" s="3" t="s">
        <v>21</v>
      </c>
      <c r="H297" s="3" t="s">
        <v>505</v>
      </c>
      <c r="I297" s="3"/>
      <c r="J297" s="3" t="s">
        <v>512</v>
      </c>
      <c r="K297" s="3"/>
      <c r="L297" s="3" t="s">
        <v>509</v>
      </c>
      <c r="M297" s="1" t="s">
        <v>98</v>
      </c>
      <c r="P297" s="1" t="s">
        <v>307</v>
      </c>
      <c r="Q297" s="1" t="str">
        <f t="shared" si="9"/>
        <v>*/Consignment/HouseConsignment[0]/ConsignmentItem[0]/AdditionalReference[0]/type</v>
      </c>
    </row>
    <row r="298" spans="1:17" ht="12" customHeight="1" outlineLevel="5" x14ac:dyDescent="0.25">
      <c r="A298" s="1" t="str">
        <f t="shared" si="10"/>
        <v>CC013C
CC015C</v>
      </c>
      <c r="B298" s="1">
        <v>5</v>
      </c>
      <c r="C298" s="1" t="s">
        <v>17</v>
      </c>
      <c r="D298" s="1" t="s">
        <v>36</v>
      </c>
      <c r="E298" s="13" t="s">
        <v>100</v>
      </c>
      <c r="F298" s="3" t="s">
        <v>126</v>
      </c>
      <c r="G298" s="3" t="s">
        <v>38</v>
      </c>
      <c r="H298" s="3" t="s">
        <v>481</v>
      </c>
      <c r="I298" s="3"/>
      <c r="J298" s="3"/>
      <c r="K298" s="3"/>
      <c r="L298" s="3" t="s">
        <v>510</v>
      </c>
      <c r="M298" s="1" t="s">
        <v>102</v>
      </c>
      <c r="P298" s="1" t="s">
        <v>308</v>
      </c>
      <c r="Q298" s="1" t="str">
        <f t="shared" si="9"/>
        <v>*/Consignment/HouseConsignment[0]/ConsignmentItem[0]/AdditionalReference[0]/referenceNumber</v>
      </c>
    </row>
    <row r="299" spans="1:17" ht="12" customHeight="1" outlineLevel="4" x14ac:dyDescent="0.25">
      <c r="A299" s="4" t="str">
        <f t="shared" si="10"/>
        <v>CC013C
CC015C</v>
      </c>
      <c r="B299" s="4">
        <v>4</v>
      </c>
      <c r="C299" s="4" t="s">
        <v>41</v>
      </c>
      <c r="D299" s="4" t="s">
        <v>164</v>
      </c>
      <c r="E299" s="12" t="s">
        <v>321</v>
      </c>
      <c r="F299" s="6"/>
      <c r="G299" s="6" t="s">
        <v>38</v>
      </c>
      <c r="H299" s="6" t="s">
        <v>467</v>
      </c>
      <c r="I299" s="6"/>
      <c r="J299" s="6"/>
      <c r="K299" s="6"/>
      <c r="L299" s="6" t="s">
        <v>493</v>
      </c>
      <c r="M299" s="4" t="s">
        <v>322</v>
      </c>
      <c r="N299" s="4"/>
      <c r="O299" s="4"/>
      <c r="Q299" s="1" t="str">
        <f t="shared" si="9"/>
        <v>*/Consignment/HouseConsignment[0]/ConsignmentItem[0]/AdditionalInformation[0]</v>
      </c>
    </row>
    <row r="300" spans="1:17" ht="12" customHeight="1" outlineLevel="5" x14ac:dyDescent="0.25">
      <c r="A300" s="1" t="str">
        <f t="shared" si="10"/>
        <v>CC013C
CC015C</v>
      </c>
      <c r="B300" s="1">
        <v>5</v>
      </c>
      <c r="C300" s="1" t="s">
        <v>17</v>
      </c>
      <c r="D300" s="1" t="s">
        <v>18</v>
      </c>
      <c r="E300" s="13" t="s">
        <v>93</v>
      </c>
      <c r="F300" s="3" t="s">
        <v>483</v>
      </c>
      <c r="G300" s="3" t="s">
        <v>21</v>
      </c>
      <c r="H300" s="3" t="s">
        <v>475</v>
      </c>
      <c r="I300" s="3"/>
      <c r="J300" s="3"/>
      <c r="K300" s="3"/>
      <c r="L300" s="3"/>
      <c r="M300" s="1" t="s">
        <v>95</v>
      </c>
      <c r="P300" s="1" t="s">
        <v>96</v>
      </c>
      <c r="Q300" s="1" t="str">
        <f t="shared" si="9"/>
        <v>*/Consignment/HouseConsignment[0]/ConsignmentItem[0]/AdditionalInformation[0]/sequenceNumber</v>
      </c>
    </row>
    <row r="301" spans="1:17" ht="12" customHeight="1" outlineLevel="5" x14ac:dyDescent="0.25">
      <c r="A301" s="1" t="str">
        <f t="shared" si="10"/>
        <v>CC013C
CC015C</v>
      </c>
      <c r="B301" s="1">
        <v>5</v>
      </c>
      <c r="C301" s="1" t="s">
        <v>17</v>
      </c>
      <c r="D301" s="1" t="s">
        <v>18</v>
      </c>
      <c r="E301" s="13" t="s">
        <v>323</v>
      </c>
      <c r="F301" s="3" t="s">
        <v>324</v>
      </c>
      <c r="G301" s="3" t="s">
        <v>21</v>
      </c>
      <c r="H301" s="3" t="s">
        <v>497</v>
      </c>
      <c r="I301" s="3"/>
      <c r="J301" s="3"/>
      <c r="K301" s="3"/>
      <c r="L301" s="3" t="s">
        <v>495</v>
      </c>
      <c r="M301" s="1" t="s">
        <v>325</v>
      </c>
      <c r="P301" s="1" t="s">
        <v>326</v>
      </c>
      <c r="Q301" s="1" t="str">
        <f t="shared" si="9"/>
        <v>*/Consignment/HouseConsignment[0]/ConsignmentItem[0]/AdditionalInformation[0]/code</v>
      </c>
    </row>
    <row r="302" spans="1:17" ht="12" customHeight="1" outlineLevel="5" x14ac:dyDescent="0.25">
      <c r="A302" s="1" t="str">
        <f t="shared" si="10"/>
        <v>CC013C
CC015C</v>
      </c>
      <c r="B302" s="1">
        <v>5</v>
      </c>
      <c r="C302" s="1" t="s">
        <v>17</v>
      </c>
      <c r="D302" s="1" t="s">
        <v>36</v>
      </c>
      <c r="E302" s="13" t="s">
        <v>327</v>
      </c>
      <c r="F302" s="3" t="s">
        <v>328</v>
      </c>
      <c r="G302" s="3" t="s">
        <v>38</v>
      </c>
      <c r="H302" s="3"/>
      <c r="I302" s="3"/>
      <c r="J302" s="3"/>
      <c r="K302" s="3"/>
      <c r="L302" s="3" t="s">
        <v>496</v>
      </c>
      <c r="M302" s="1" t="s">
        <v>329</v>
      </c>
      <c r="P302" s="1" t="s">
        <v>330</v>
      </c>
      <c r="Q302" s="1" t="str">
        <f t="shared" si="9"/>
        <v>*/Consignment/HouseConsignment[0]/ConsignmentItem[0]/AdditionalInformation[0]/text</v>
      </c>
    </row>
    <row r="303" spans="1:17" ht="12" customHeight="1" x14ac:dyDescent="0.25">
      <c r="Q303" s="1" t="str">
        <f t="shared" si="9"/>
        <v/>
      </c>
    </row>
  </sheetData>
  <conditionalFormatting sqref="A1:P303">
    <cfRule type="cellIs" priority="1" stopIfTrue="1" operator="equal">
      <formula>INDIRECT(ADDRESS(ROW(),COLUMN(),1,1,"compare"))</formula>
    </cfRule>
    <cfRule type="cellIs" dxfId="8" priority="2" stopIfTrue="1" operator="equal">
      <formula>""</formula>
    </cfRule>
    <cfRule type="expression" dxfId="7" priority="3" stopIfTrue="1">
      <formula>INDIRECT(ADDRESS(ROW(),COLUMN(),1,1,"compare"))=""</formula>
    </cfRule>
    <cfRule type="cellIs" dxfId="6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C7E05-4566-401A-8269-A84016CC967A}">
  <sheetPr codeName="Ark6">
    <tabColor rgb="FF00B0F0"/>
    <outlinePr summaryBelow="0" summaryRight="0"/>
  </sheetPr>
  <dimension ref="A1:T303"/>
  <sheetViews>
    <sheetView zoomScaleNormal="100" workbookViewId="0">
      <pane xSplit="1" ySplit="1" topLeftCell="D2" activePane="bottomRight" state="frozen"/>
      <selection activeCell="E2" sqref="E2"/>
      <selection pane="topRight" activeCell="E2" sqref="E2"/>
      <selection pane="bottomLeft" activeCell="E2" sqref="E2"/>
      <selection pane="bottomRight" activeCell="E2" sqref="E2"/>
    </sheetView>
  </sheetViews>
  <sheetFormatPr defaultColWidth="11.5703125" defaultRowHeight="12" outlineLevelRow="6" x14ac:dyDescent="0.25"/>
  <cols>
    <col min="1" max="3" width="0" style="1" hidden="1" customWidth="1"/>
    <col min="4" max="4" width="6.7109375" style="1" customWidth="1"/>
    <col min="5" max="5" width="70.7109375" style="1" customWidth="1"/>
    <col min="6" max="11" width="8.7109375" style="1" customWidth="1"/>
    <col min="12" max="14" width="24.7109375" style="1" customWidth="1"/>
    <col min="15" max="15" width="24.7109375" style="1" hidden="1" customWidth="1"/>
    <col min="16" max="17" width="24.7109375" style="1" customWidth="1"/>
    <col min="18" max="16384" width="11.5703125" style="1"/>
  </cols>
  <sheetData>
    <row r="1" spans="1:20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409</v>
      </c>
      <c r="K1" s="3" t="s">
        <v>9</v>
      </c>
      <c r="L1" s="3" t="s">
        <v>410</v>
      </c>
      <c r="M1" s="1" t="s">
        <v>10</v>
      </c>
      <c r="N1" s="1" t="s">
        <v>411</v>
      </c>
      <c r="P1" s="1" t="s">
        <v>11</v>
      </c>
      <c r="Q1" s="1" t="s">
        <v>12</v>
      </c>
      <c r="R1" s="1" t="s">
        <v>412</v>
      </c>
    </row>
    <row r="2" spans="1:20" ht="12" customHeight="1" x14ac:dyDescent="0.25">
      <c r="A2" s="19" t="str">
        <f>$E$2</f>
        <v>CC013C
CC015C</v>
      </c>
      <c r="B2" s="1">
        <v>0</v>
      </c>
      <c r="C2" s="19" t="s">
        <v>13</v>
      </c>
      <c r="E2" s="24" t="s">
        <v>787</v>
      </c>
      <c r="F2" s="3"/>
      <c r="G2" s="3"/>
      <c r="H2" s="3"/>
      <c r="I2" s="3"/>
      <c r="J2" s="3"/>
      <c r="K2" s="3"/>
      <c r="L2" s="3"/>
      <c r="M2" s="19" t="s">
        <v>15</v>
      </c>
      <c r="P2" s="19" t="s">
        <v>16</v>
      </c>
      <c r="Q2" s="1" t="str">
        <f>IF($B2=0,$M2,_xlfn.TEXTBEFORE(Q1,"/",$B2,,,Q1)&amp;"/"&amp;$M2)&amp;IF(_xlfn.TEXTAFTER($D2,"..",,,,1)&lt;&gt;"1","[0]","")</f>
        <v>*</v>
      </c>
    </row>
    <row r="3" spans="1:20" ht="12" customHeight="1" outlineLevel="1" x14ac:dyDescent="0.25">
      <c r="A3" s="19" t="str">
        <f>$E$2</f>
        <v>CC013C
CC015C</v>
      </c>
      <c r="B3" s="1">
        <v>1</v>
      </c>
      <c r="C3" s="1" t="s">
        <v>17</v>
      </c>
      <c r="D3" s="19" t="s">
        <v>18</v>
      </c>
      <c r="E3" s="20" t="s">
        <v>19</v>
      </c>
      <c r="F3" s="24" t="s">
        <v>20</v>
      </c>
      <c r="G3" s="24" t="s">
        <v>21</v>
      </c>
      <c r="H3" s="3"/>
      <c r="I3" s="3"/>
      <c r="J3" s="3"/>
      <c r="K3" s="3"/>
      <c r="L3" s="3"/>
      <c r="M3" s="19" t="s">
        <v>22</v>
      </c>
      <c r="P3" s="19" t="s">
        <v>23</v>
      </c>
      <c r="Q3" s="1" t="str">
        <f>IF($B3=0,$M3,_xlfn.TEXTBEFORE(Q2,"/",$B3,,,Q2)&amp;"/"&amp;$M3)&amp;IF(_xlfn.TEXTAFTER($D3,"..",,,,1)&lt;&gt;"1","[0]","")</f>
        <v>*/messageSender</v>
      </c>
      <c r="T3" s="19" t="s">
        <v>413</v>
      </c>
    </row>
    <row r="4" spans="1:20" ht="12" customHeight="1" outlineLevel="1" x14ac:dyDescent="0.25">
      <c r="A4" s="19" t="str">
        <f>$E$2</f>
        <v>CC013C
CC015C</v>
      </c>
      <c r="B4" s="1">
        <v>1</v>
      </c>
      <c r="C4" s="1" t="s">
        <v>17</v>
      </c>
      <c r="D4" s="19" t="s">
        <v>18</v>
      </c>
      <c r="E4" s="20" t="s">
        <v>24</v>
      </c>
      <c r="F4" s="24" t="s">
        <v>20</v>
      </c>
      <c r="G4" s="24" t="s">
        <v>21</v>
      </c>
      <c r="H4" s="3"/>
      <c r="I4" s="3"/>
      <c r="J4" s="3"/>
      <c r="K4" s="3"/>
      <c r="L4" s="3"/>
      <c r="M4" s="19" t="s">
        <v>25</v>
      </c>
      <c r="P4" s="19" t="s">
        <v>26</v>
      </c>
      <c r="Q4" s="1" t="str">
        <f>IF($B4=0,$M4,_xlfn.TEXTBEFORE(Q3,"/",$B4,,,Q3)&amp;"/"&amp;$M4)&amp;IF(_xlfn.TEXTAFTER($D4,"..",,,,1)&lt;&gt;"1","[0]","")</f>
        <v>*/messageRecipient</v>
      </c>
      <c r="T4" s="19" t="s">
        <v>413</v>
      </c>
    </row>
    <row r="5" spans="1:20" ht="12" customHeight="1" outlineLevel="1" x14ac:dyDescent="0.25">
      <c r="A5" s="19" t="str">
        <f>$E$2</f>
        <v>CC013C
CC015C</v>
      </c>
      <c r="B5" s="1">
        <v>1</v>
      </c>
      <c r="C5" s="1" t="s">
        <v>17</v>
      </c>
      <c r="D5" s="19" t="s">
        <v>18</v>
      </c>
      <c r="E5" s="20" t="s">
        <v>27</v>
      </c>
      <c r="F5" s="24" t="s">
        <v>65</v>
      </c>
      <c r="G5" s="24" t="s">
        <v>21</v>
      </c>
      <c r="H5" s="3"/>
      <c r="I5" s="3"/>
      <c r="J5" s="3"/>
      <c r="K5" s="3"/>
      <c r="L5" s="3"/>
      <c r="M5" s="19" t="s">
        <v>28</v>
      </c>
      <c r="P5" s="19" t="s">
        <v>29</v>
      </c>
      <c r="Q5" s="1" t="str">
        <f>IF($B5=0,$M5,_xlfn.TEXTBEFORE(Q4,"/",$B5,,,Q4)&amp;"/"&amp;$M5)&amp;IF(_xlfn.TEXTAFTER($D5,"..",,,,1)&lt;&gt;"1","[0]","")</f>
        <v>*/preparationDateAndTime</v>
      </c>
      <c r="T5" s="19" t="s">
        <v>414</v>
      </c>
    </row>
    <row r="6" spans="1:20" ht="12" customHeight="1" outlineLevel="1" x14ac:dyDescent="0.25">
      <c r="A6" s="19" t="str">
        <f>$E$2</f>
        <v>CC013C
CC015C</v>
      </c>
      <c r="B6" s="1">
        <v>1</v>
      </c>
      <c r="C6" s="1" t="s">
        <v>17</v>
      </c>
      <c r="D6" s="19" t="s">
        <v>18</v>
      </c>
      <c r="E6" s="20" t="s">
        <v>30</v>
      </c>
      <c r="F6" s="24" t="s">
        <v>20</v>
      </c>
      <c r="G6" s="24" t="s">
        <v>21</v>
      </c>
      <c r="H6" s="3"/>
      <c r="I6" s="3"/>
      <c r="J6" s="3"/>
      <c r="K6" s="3"/>
      <c r="L6" s="3"/>
      <c r="M6" s="19" t="s">
        <v>31</v>
      </c>
      <c r="P6" s="19" t="s">
        <v>32</v>
      </c>
      <c r="Q6" s="1" t="str">
        <f>IF($B6=0,$M6,_xlfn.TEXTBEFORE(Q5,"/",$B6,,,Q5)&amp;"/"&amp;$M6)&amp;IF(_xlfn.TEXTAFTER($D6,"..",,,,1)&lt;&gt;"1","[0]","")</f>
        <v>*/messageIdentification</v>
      </c>
      <c r="T6" s="19" t="s">
        <v>413</v>
      </c>
    </row>
    <row r="7" spans="1:20" ht="12" customHeight="1" outlineLevel="1" x14ac:dyDescent="0.25">
      <c r="A7" s="19" t="str">
        <f>$E$2</f>
        <v>CC013C
CC015C</v>
      </c>
      <c r="B7" s="1">
        <v>1</v>
      </c>
      <c r="C7" s="1" t="s">
        <v>17</v>
      </c>
      <c r="D7" s="19" t="s">
        <v>18</v>
      </c>
      <c r="E7" s="20" t="s">
        <v>33</v>
      </c>
      <c r="F7" s="3" t="s">
        <v>452</v>
      </c>
      <c r="G7" s="24" t="s">
        <v>21</v>
      </c>
      <c r="H7" s="3"/>
      <c r="I7" s="3"/>
      <c r="J7" s="3" t="s">
        <v>451</v>
      </c>
      <c r="K7" s="3"/>
      <c r="L7" s="3"/>
      <c r="M7" s="19" t="s">
        <v>34</v>
      </c>
      <c r="P7" s="19" t="s">
        <v>35</v>
      </c>
      <c r="Q7" s="1" t="str">
        <f>IF($B7=0,$M7,_xlfn.TEXTBEFORE(Q6,"/",$B7,,,Q6)&amp;"/"&amp;$M7)&amp;IF(_xlfn.TEXTAFTER($D7,"..",,,,1)&lt;&gt;"1","[0]","")</f>
        <v>*/messageType</v>
      </c>
    </row>
    <row r="8" spans="1:20" ht="12" customHeight="1" outlineLevel="1" x14ac:dyDescent="0.25">
      <c r="A8" s="19" t="str">
        <f>$E$2</f>
        <v>CC013C
CC015C</v>
      </c>
      <c r="B8" s="1">
        <v>1</v>
      </c>
      <c r="C8" s="1" t="s">
        <v>17</v>
      </c>
      <c r="D8" s="19" t="s">
        <v>36</v>
      </c>
      <c r="E8" s="20" t="s">
        <v>37</v>
      </c>
      <c r="F8" s="24" t="s">
        <v>20</v>
      </c>
      <c r="G8" s="24" t="s">
        <v>450</v>
      </c>
      <c r="H8" s="3" t="s">
        <v>454</v>
      </c>
      <c r="I8" s="3" t="s">
        <v>453</v>
      </c>
      <c r="J8" s="3"/>
      <c r="K8" s="3"/>
      <c r="L8" s="3"/>
      <c r="M8" s="19" t="s">
        <v>39</v>
      </c>
      <c r="P8" s="19" t="s">
        <v>40</v>
      </c>
      <c r="Q8" s="1" t="str">
        <f>IF($B8=0,$M8,_xlfn.TEXTBEFORE(Q7,"/",$B8,,,Q7)&amp;"/"&amp;$M8)&amp;IF(_xlfn.TEXTAFTER($D8,"..",,,,1)&lt;&gt;"1","[0]","")</f>
        <v>*/correlationIdentifier</v>
      </c>
      <c r="T8" s="19" t="s">
        <v>413</v>
      </c>
    </row>
    <row r="9" spans="1:20" ht="12" customHeight="1" outlineLevel="1" x14ac:dyDescent="0.25">
      <c r="A9" s="21" t="str">
        <f>$E$2</f>
        <v>CC013C
CC015C</v>
      </c>
      <c r="B9" s="4">
        <v>1</v>
      </c>
      <c r="C9" s="21" t="s">
        <v>41</v>
      </c>
      <c r="D9" s="21" t="s">
        <v>18</v>
      </c>
      <c r="E9" s="22" t="s">
        <v>42</v>
      </c>
      <c r="F9" s="6"/>
      <c r="G9" s="33" t="s">
        <v>21</v>
      </c>
      <c r="H9" s="6"/>
      <c r="I9" s="6"/>
      <c r="J9" s="6"/>
      <c r="K9" s="6"/>
      <c r="L9" s="6"/>
      <c r="M9" s="21" t="s">
        <v>43</v>
      </c>
      <c r="N9" s="4"/>
      <c r="O9" s="4"/>
      <c r="P9" s="4"/>
      <c r="Q9" s="1" t="str">
        <f>IF($B9=0,$M9,_xlfn.TEXTBEFORE(Q8,"/",$B9,,,Q8)&amp;"/"&amp;$M9)&amp;IF(_xlfn.TEXTAFTER($D9,"..",,,,1)&lt;&gt;"1","[0]","")</f>
        <v>*/TransitOperation</v>
      </c>
    </row>
    <row r="10" spans="1:20" ht="12" customHeight="1" outlineLevel="2" x14ac:dyDescent="0.25">
      <c r="A10" s="19" t="str">
        <f>$E$2</f>
        <v>CC013C
CC015C</v>
      </c>
      <c r="B10" s="1">
        <v>2</v>
      </c>
      <c r="C10" s="1" t="s">
        <v>17</v>
      </c>
      <c r="D10" s="19" t="s">
        <v>36</v>
      </c>
      <c r="E10" s="23" t="s">
        <v>44</v>
      </c>
      <c r="F10" s="24" t="s">
        <v>45</v>
      </c>
      <c r="G10" s="24" t="s">
        <v>450</v>
      </c>
      <c r="H10" s="3"/>
      <c r="I10" s="3"/>
      <c r="J10" s="3"/>
      <c r="K10" s="3"/>
      <c r="L10" s="3" t="s">
        <v>524</v>
      </c>
      <c r="M10" s="19" t="s">
        <v>46</v>
      </c>
      <c r="P10" s="19" t="s">
        <v>47</v>
      </c>
      <c r="Q10" s="1" t="str">
        <f>IF($B10=0,$M10,_xlfn.TEXTBEFORE(Q9,"/",$B10,,,Q9)&amp;"/"&amp;$M10)&amp;IF(_xlfn.TEXTAFTER($D10,"..",,,,1)&lt;&gt;"1","[0]","")</f>
        <v>*/TransitOperation/LRN</v>
      </c>
      <c r="T10" s="24" t="s">
        <v>415</v>
      </c>
    </row>
    <row r="11" spans="1:20" ht="12" customHeight="1" outlineLevel="2" x14ac:dyDescent="0.25">
      <c r="A11" s="19" t="str">
        <f>$E$2</f>
        <v>CC013C
CC015C</v>
      </c>
      <c r="B11" s="1">
        <v>2</v>
      </c>
      <c r="C11" s="1" t="s">
        <v>17</v>
      </c>
      <c r="D11" s="19" t="s">
        <v>36</v>
      </c>
      <c r="E11" s="23" t="s">
        <v>48</v>
      </c>
      <c r="F11" s="3" t="s">
        <v>49</v>
      </c>
      <c r="G11" s="24" t="s">
        <v>38</v>
      </c>
      <c r="H11" s="3" t="s">
        <v>459</v>
      </c>
      <c r="I11" s="3"/>
      <c r="J11" s="3"/>
      <c r="K11" s="3"/>
      <c r="L11" s="3"/>
      <c r="M11" s="19" t="s">
        <v>50</v>
      </c>
      <c r="P11" s="19" t="s">
        <v>51</v>
      </c>
      <c r="Q11" s="1" t="str">
        <f>IF($B11=0,$M11,_xlfn.TEXTBEFORE(Q10,"/",$B11,,,Q10)&amp;"/"&amp;$M11)&amp;IF(_xlfn.TEXTAFTER($D11,"..",,,,1)&lt;&gt;"1","[0]","")</f>
        <v>*/TransitOperation/MRN</v>
      </c>
      <c r="T11" s="24" t="s">
        <v>416</v>
      </c>
    </row>
    <row r="12" spans="1:20" ht="12" customHeight="1" outlineLevel="2" x14ac:dyDescent="0.25">
      <c r="A12" s="19" t="str">
        <f>$E$2</f>
        <v>CC013C
CC015C</v>
      </c>
      <c r="B12" s="1">
        <v>2</v>
      </c>
      <c r="C12" s="1" t="s">
        <v>17</v>
      </c>
      <c r="D12" s="19" t="s">
        <v>18</v>
      </c>
      <c r="E12" s="23" t="s">
        <v>52</v>
      </c>
      <c r="F12" s="24" t="s">
        <v>53</v>
      </c>
      <c r="G12" s="24" t="s">
        <v>21</v>
      </c>
      <c r="H12" s="3"/>
      <c r="I12" s="3"/>
      <c r="J12" s="3" t="s">
        <v>461</v>
      </c>
      <c r="K12" s="3"/>
      <c r="L12" s="3" t="s">
        <v>460</v>
      </c>
      <c r="M12" s="19" t="s">
        <v>54</v>
      </c>
      <c r="P12" s="19" t="s">
        <v>55</v>
      </c>
      <c r="Q12" s="1" t="str">
        <f>IF($B12=0,$M12,_xlfn.TEXTBEFORE(Q11,"/",$B12,,,Q11)&amp;"/"&amp;$M12)&amp;IF(_xlfn.TEXTAFTER($D12,"..",,,,1)&lt;&gt;"1","[0]","")</f>
        <v>*/TransitOperation/declarationType</v>
      </c>
      <c r="T12" s="19" t="s">
        <v>413</v>
      </c>
    </row>
    <row r="13" spans="1:20" ht="12" customHeight="1" outlineLevel="2" x14ac:dyDescent="0.25">
      <c r="A13" s="19" t="str">
        <f>$E$2</f>
        <v>CC013C
CC015C</v>
      </c>
      <c r="B13" s="1">
        <v>2</v>
      </c>
      <c r="C13" s="1" t="s">
        <v>17</v>
      </c>
      <c r="D13" s="19" t="s">
        <v>18</v>
      </c>
      <c r="E13" s="23" t="s">
        <v>56</v>
      </c>
      <c r="F13" s="24" t="s">
        <v>57</v>
      </c>
      <c r="G13" s="24" t="s">
        <v>21</v>
      </c>
      <c r="H13" s="3"/>
      <c r="I13" s="3"/>
      <c r="J13" s="3" t="s">
        <v>462</v>
      </c>
      <c r="K13" s="3"/>
      <c r="L13" s="3" t="s">
        <v>463</v>
      </c>
      <c r="M13" s="19" t="s">
        <v>58</v>
      </c>
      <c r="P13" s="19" t="s">
        <v>59</v>
      </c>
      <c r="Q13" s="1" t="str">
        <f>IF($B13=0,$M13,_xlfn.TEXTBEFORE(Q12,"/",$B13,,,Q12)&amp;"/"&amp;$M13)&amp;IF(_xlfn.TEXTAFTER($D13,"..",,,,1)&lt;&gt;"1","[0]","")</f>
        <v>*/TransitOperation/additionalDeclarationType</v>
      </c>
      <c r="T13" s="19" t="s">
        <v>413</v>
      </c>
    </row>
    <row r="14" spans="1:20" ht="12" customHeight="1" outlineLevel="2" x14ac:dyDescent="0.25">
      <c r="A14" s="19" t="str">
        <f>$E$2</f>
        <v>CC013C
CC015C</v>
      </c>
      <c r="B14" s="1">
        <v>2</v>
      </c>
      <c r="C14" s="1" t="s">
        <v>17</v>
      </c>
      <c r="D14" s="19" t="s">
        <v>36</v>
      </c>
      <c r="E14" s="23" t="s">
        <v>60</v>
      </c>
      <c r="F14" s="3" t="s">
        <v>61</v>
      </c>
      <c r="G14" s="24" t="s">
        <v>450</v>
      </c>
      <c r="H14" s="3" t="s">
        <v>520</v>
      </c>
      <c r="I14" s="3" t="s">
        <v>519</v>
      </c>
      <c r="J14" s="3"/>
      <c r="K14" s="3"/>
      <c r="L14" s="3" t="s">
        <v>518</v>
      </c>
      <c r="M14" s="19" t="s">
        <v>62</v>
      </c>
      <c r="P14" s="19" t="s">
        <v>63</v>
      </c>
      <c r="Q14" s="1" t="str">
        <f>IF($B14=0,$M14,_xlfn.TEXTBEFORE(Q13,"/",$B14,,,Q13)&amp;"/"&amp;$M14)&amp;IF(_xlfn.TEXTAFTER($D14,"..",,,,1)&lt;&gt;"1","[0]","")</f>
        <v>*/TransitOperation/TIRCarnetNumber</v>
      </c>
      <c r="T14" s="24" t="s">
        <v>417</v>
      </c>
    </row>
    <row r="15" spans="1:20" ht="12" customHeight="1" outlineLevel="2" x14ac:dyDescent="0.25">
      <c r="A15" s="19" t="str">
        <f>$E$2</f>
        <v>CC013C
CC015C</v>
      </c>
      <c r="B15" s="1">
        <v>2</v>
      </c>
      <c r="C15" s="1" t="s">
        <v>17</v>
      </c>
      <c r="D15" s="19" t="s">
        <v>36</v>
      </c>
      <c r="E15" s="23" t="s">
        <v>64</v>
      </c>
      <c r="F15" s="3" t="s">
        <v>65</v>
      </c>
      <c r="G15" s="24" t="s">
        <v>38</v>
      </c>
      <c r="H15" s="3"/>
      <c r="I15" s="3"/>
      <c r="J15" s="3"/>
      <c r="K15" s="3"/>
      <c r="L15" s="3" t="s">
        <v>786</v>
      </c>
      <c r="M15" s="19" t="s">
        <v>66</v>
      </c>
      <c r="P15" s="19" t="s">
        <v>67</v>
      </c>
      <c r="Q15" s="1" t="str">
        <f>IF($B15=0,$M15,_xlfn.TEXTBEFORE(Q14,"/",$B15,,,Q14)&amp;"/"&amp;$M15)&amp;IF(_xlfn.TEXTAFTER($D15,"..",,,,1)&lt;&gt;"1","[0]","")</f>
        <v>*/TransitOperation/presentationOfTheGoodsDateAndTime</v>
      </c>
      <c r="T15" s="24" t="s">
        <v>418</v>
      </c>
    </row>
    <row r="16" spans="1:20" ht="12" customHeight="1" outlineLevel="2" x14ac:dyDescent="0.25">
      <c r="A16" s="19" t="str">
        <f>$E$2</f>
        <v>CC013C
CC015C</v>
      </c>
      <c r="B16" s="1">
        <v>2</v>
      </c>
      <c r="C16" s="1" t="s">
        <v>17</v>
      </c>
      <c r="D16" s="19" t="s">
        <v>18</v>
      </c>
      <c r="E16" s="23" t="s">
        <v>68</v>
      </c>
      <c r="F16" s="24" t="s">
        <v>69</v>
      </c>
      <c r="G16" s="24" t="s">
        <v>21</v>
      </c>
      <c r="H16" s="3"/>
      <c r="I16" s="3"/>
      <c r="J16" s="3" t="s">
        <v>471</v>
      </c>
      <c r="K16" s="3"/>
      <c r="L16" s="3" t="s">
        <v>470</v>
      </c>
      <c r="M16" s="19" t="s">
        <v>70</v>
      </c>
      <c r="P16" s="19" t="s">
        <v>71</v>
      </c>
      <c r="Q16" s="1" t="str">
        <f>IF($B16=0,$M16,_xlfn.TEXTBEFORE(Q15,"/",$B16,,,Q15)&amp;"/"&amp;$M16)&amp;IF(_xlfn.TEXTAFTER($D16,"..",,,,1)&lt;&gt;"1","[0]","")</f>
        <v>*/TransitOperation/security</v>
      </c>
      <c r="T16" s="19" t="s">
        <v>413</v>
      </c>
    </row>
    <row r="17" spans="1:20" ht="12" customHeight="1" outlineLevel="2" x14ac:dyDescent="0.25">
      <c r="A17" s="19" t="str">
        <f>$E$2</f>
        <v>CC013C
CC015C</v>
      </c>
      <c r="B17" s="1">
        <v>2</v>
      </c>
      <c r="C17" s="1" t="s">
        <v>17</v>
      </c>
      <c r="D17" s="19" t="s">
        <v>18</v>
      </c>
      <c r="E17" s="23" t="s">
        <v>72</v>
      </c>
      <c r="F17" s="3" t="s">
        <v>400</v>
      </c>
      <c r="G17" s="24" t="s">
        <v>21</v>
      </c>
      <c r="H17" s="3" t="s">
        <v>474</v>
      </c>
      <c r="I17" s="3"/>
      <c r="J17" s="3" t="s">
        <v>473</v>
      </c>
      <c r="K17" s="3"/>
      <c r="L17" s="3" t="s">
        <v>472</v>
      </c>
      <c r="M17" s="19" t="s">
        <v>73</v>
      </c>
      <c r="P17" s="19" t="s">
        <v>74</v>
      </c>
      <c r="Q17" s="1" t="str">
        <f>IF($B17=0,$M17,_xlfn.TEXTBEFORE(Q16,"/",$B17,,,Q16)&amp;"/"&amp;$M17)&amp;IF(_xlfn.TEXTAFTER($D17,"..",,,,1)&lt;&gt;"1","[0]","")</f>
        <v>*/TransitOperation/reducedDatasetIndicator</v>
      </c>
    </row>
    <row r="18" spans="1:20" ht="12" customHeight="1" outlineLevel="2" x14ac:dyDescent="0.25">
      <c r="A18" s="19" t="str">
        <f>$E$2</f>
        <v>CC013C
CC015C</v>
      </c>
      <c r="B18" s="1">
        <v>2</v>
      </c>
      <c r="C18" s="1" t="s">
        <v>17</v>
      </c>
      <c r="D18" s="19" t="s">
        <v>36</v>
      </c>
      <c r="E18" s="23" t="s">
        <v>75</v>
      </c>
      <c r="F18" s="24" t="s">
        <v>76</v>
      </c>
      <c r="G18" s="24" t="s">
        <v>38</v>
      </c>
      <c r="H18" s="3"/>
      <c r="I18" s="3"/>
      <c r="J18" s="3" t="s">
        <v>469</v>
      </c>
      <c r="K18" s="3"/>
      <c r="L18" s="3" t="s">
        <v>468</v>
      </c>
      <c r="M18" s="19" t="s">
        <v>77</v>
      </c>
      <c r="P18" s="19" t="s">
        <v>78</v>
      </c>
      <c r="Q18" s="1" t="str">
        <f>IF($B18=0,$M18,_xlfn.TEXTBEFORE(Q17,"/",$B18,,,Q17)&amp;"/"&amp;$M18)&amp;IF(_xlfn.TEXTAFTER($D18,"..",,,,1)&lt;&gt;"1","[0]","")</f>
        <v>*/TransitOperation/specificCircumstanceIndicator</v>
      </c>
      <c r="T18" s="19" t="s">
        <v>413</v>
      </c>
    </row>
    <row r="19" spans="1:20" ht="12" customHeight="1" outlineLevel="2" x14ac:dyDescent="0.25">
      <c r="A19" s="19" t="str">
        <f>$E$2</f>
        <v>CC013C
CC015C</v>
      </c>
      <c r="B19" s="1">
        <v>2</v>
      </c>
      <c r="C19" s="1" t="s">
        <v>17</v>
      </c>
      <c r="D19" s="19" t="s">
        <v>36</v>
      </c>
      <c r="E19" s="23" t="s">
        <v>79</v>
      </c>
      <c r="F19" s="3" t="s">
        <v>80</v>
      </c>
      <c r="G19" s="24" t="s">
        <v>38</v>
      </c>
      <c r="H19" s="3" t="s">
        <v>456</v>
      </c>
      <c r="I19" s="3"/>
      <c r="J19" s="3" t="s">
        <v>455</v>
      </c>
      <c r="K19" s="3"/>
      <c r="L19" s="3"/>
      <c r="M19" s="19" t="s">
        <v>81</v>
      </c>
      <c r="P19" s="19" t="s">
        <v>82</v>
      </c>
      <c r="Q19" s="1" t="str">
        <f>IF($B19=0,$M19,_xlfn.TEXTBEFORE(Q18,"/",$B19,,,Q18)&amp;"/"&amp;$M19)&amp;IF(_xlfn.TEXTAFTER($D19,"..",,,,1)&lt;&gt;"1","[0]","")</f>
        <v>*/TransitOperation/communicationLanguageAtDeparture</v>
      </c>
      <c r="T19" s="24" t="s">
        <v>419</v>
      </c>
    </row>
    <row r="20" spans="1:20" ht="12" customHeight="1" outlineLevel="2" x14ac:dyDescent="0.25">
      <c r="A20" s="19" t="str">
        <f>$E$2</f>
        <v>CC013C
CC015C</v>
      </c>
      <c r="B20" s="1">
        <v>2</v>
      </c>
      <c r="C20" s="1" t="s">
        <v>17</v>
      </c>
      <c r="D20" s="19" t="s">
        <v>18</v>
      </c>
      <c r="E20" s="23" t="s">
        <v>83</v>
      </c>
      <c r="F20" s="3" t="s">
        <v>400</v>
      </c>
      <c r="G20" s="24" t="s">
        <v>21</v>
      </c>
      <c r="H20" s="3"/>
      <c r="I20" s="3"/>
      <c r="J20" s="3" t="s">
        <v>473</v>
      </c>
      <c r="K20" s="3"/>
      <c r="L20" s="3" t="s">
        <v>668</v>
      </c>
      <c r="M20" s="19" t="s">
        <v>84</v>
      </c>
      <c r="P20" s="19" t="s">
        <v>74</v>
      </c>
      <c r="Q20" s="1" t="str">
        <f>IF($B20=0,$M20,_xlfn.TEXTBEFORE(Q19,"/",$B20,,,Q19)&amp;"/"&amp;$M20)&amp;IF(_xlfn.TEXTAFTER($D20,"..",,,,1)&lt;&gt;"1","[0]","")</f>
        <v>*/TransitOperation/bindingItinerary</v>
      </c>
    </row>
    <row r="21" spans="1:20" ht="12" customHeight="1" outlineLevel="2" x14ac:dyDescent="0.25">
      <c r="A21" s="19" t="str">
        <f>$E$2</f>
        <v>CC013C
CC015C</v>
      </c>
      <c r="B21" s="1">
        <v>2</v>
      </c>
      <c r="C21" s="1" t="s">
        <v>17</v>
      </c>
      <c r="D21" s="19" t="s">
        <v>18</v>
      </c>
      <c r="E21" s="23" t="s">
        <v>85</v>
      </c>
      <c r="F21" s="3"/>
      <c r="G21" s="24" t="s">
        <v>21</v>
      </c>
      <c r="H21" s="3"/>
      <c r="I21" s="3"/>
      <c r="J21" s="3"/>
      <c r="K21" s="3"/>
      <c r="L21" s="3"/>
      <c r="M21" s="19" t="s">
        <v>86</v>
      </c>
      <c r="P21" s="19" t="s">
        <v>74</v>
      </c>
      <c r="Q21" s="1" t="str">
        <f>IF($B21=0,$M21,_xlfn.TEXTBEFORE(Q20,"/",$B21,,,Q20)&amp;"/"&amp;$M21)&amp;IF(_xlfn.TEXTAFTER($D21,"..",,,,1)&lt;&gt;"1","[0]","")</f>
        <v>*/TransitOperation/amendmentTypeFlag</v>
      </c>
    </row>
    <row r="22" spans="1:20" ht="12" customHeight="1" outlineLevel="2" x14ac:dyDescent="0.25">
      <c r="A22" s="19" t="str">
        <f>$E$2</f>
        <v>CC013C
CC015C</v>
      </c>
      <c r="B22" s="1">
        <v>2</v>
      </c>
      <c r="C22" s="1" t="s">
        <v>17</v>
      </c>
      <c r="D22" s="19" t="s">
        <v>36</v>
      </c>
      <c r="E22" s="23" t="s">
        <v>87</v>
      </c>
      <c r="F22" s="3" t="s">
        <v>88</v>
      </c>
      <c r="G22" s="24" t="s">
        <v>450</v>
      </c>
      <c r="H22" s="3" t="s">
        <v>458</v>
      </c>
      <c r="I22" s="3" t="s">
        <v>457</v>
      </c>
      <c r="J22" s="3"/>
      <c r="K22" s="3"/>
      <c r="L22" s="3"/>
      <c r="M22" s="19" t="s">
        <v>89</v>
      </c>
      <c r="P22" s="19" t="s">
        <v>90</v>
      </c>
      <c r="Q22" s="1" t="str">
        <f>IF($B22=0,$M22,_xlfn.TEXTBEFORE(Q21,"/",$B22,,,Q21)&amp;"/"&amp;$M22)&amp;IF(_xlfn.TEXTAFTER($D22,"..",,,,1)&lt;&gt;"1","[0]","")</f>
        <v>*/TransitOperation/limitDate</v>
      </c>
      <c r="T22" s="24" t="s">
        <v>420</v>
      </c>
    </row>
    <row r="23" spans="1:20" ht="12" customHeight="1" outlineLevel="1" x14ac:dyDescent="0.25">
      <c r="A23" s="21" t="str">
        <f>$E$2</f>
        <v>CC013C
CC015C</v>
      </c>
      <c r="B23" s="4">
        <v>1</v>
      </c>
      <c r="C23" s="21" t="s">
        <v>41</v>
      </c>
      <c r="D23" s="21" t="s">
        <v>91</v>
      </c>
      <c r="E23" s="22" t="s">
        <v>92</v>
      </c>
      <c r="F23" s="6"/>
      <c r="G23" s="33" t="s">
        <v>450</v>
      </c>
      <c r="H23" s="6" t="s">
        <v>529</v>
      </c>
      <c r="I23" s="6" t="s">
        <v>528</v>
      </c>
      <c r="J23" s="6"/>
      <c r="K23" s="6"/>
      <c r="L23" s="6" t="s">
        <v>525</v>
      </c>
      <c r="M23" s="21" t="s">
        <v>92</v>
      </c>
      <c r="N23" s="4"/>
      <c r="O23" s="4"/>
      <c r="P23" s="4"/>
      <c r="Q23" s="1" t="str">
        <f>IF($B23=0,$M23,_xlfn.TEXTBEFORE(Q22,"/",$B23,,,Q22)&amp;"/"&amp;$M23)&amp;IF(_xlfn.TEXTAFTER($D23,"..",,,,1)&lt;&gt;"1","[0]","")</f>
        <v>*/Authorisation[0]</v>
      </c>
    </row>
    <row r="24" spans="1:20" ht="12" customHeight="1" outlineLevel="2" x14ac:dyDescent="0.25">
      <c r="A24" s="19" t="str">
        <f>$E$2</f>
        <v>CC013C
CC015C</v>
      </c>
      <c r="B24" s="1">
        <v>2</v>
      </c>
      <c r="C24" s="1" t="s">
        <v>17</v>
      </c>
      <c r="D24" s="19" t="s">
        <v>18</v>
      </c>
      <c r="E24" s="23" t="s">
        <v>93</v>
      </c>
      <c r="F24" s="24" t="s">
        <v>530</v>
      </c>
      <c r="G24" s="24" t="s">
        <v>21</v>
      </c>
      <c r="H24" s="3" t="s">
        <v>475</v>
      </c>
      <c r="I24" s="3"/>
      <c r="J24" s="3"/>
      <c r="K24" s="3"/>
      <c r="L24" s="3"/>
      <c r="M24" s="19" t="s">
        <v>95</v>
      </c>
      <c r="P24" s="19" t="s">
        <v>96</v>
      </c>
      <c r="Q24" s="1" t="str">
        <f>IF($B24=0,$M24,_xlfn.TEXTBEFORE(Q23,"/",$B24,,,Q23)&amp;"/"&amp;$M24)&amp;IF(_xlfn.TEXTAFTER($D24,"..",,,,1)&lt;&gt;"1","[0]","")</f>
        <v>*/Authorisation[0]/sequenceNumber</v>
      </c>
      <c r="T24" s="24" t="s">
        <v>421</v>
      </c>
    </row>
    <row r="25" spans="1:20" ht="12" customHeight="1" outlineLevel="2" x14ac:dyDescent="0.25">
      <c r="A25" s="19" t="str">
        <f>$E$2</f>
        <v>CC013C
CC015C</v>
      </c>
      <c r="B25" s="1">
        <v>2</v>
      </c>
      <c r="C25" s="1" t="s">
        <v>17</v>
      </c>
      <c r="D25" s="19" t="s">
        <v>18</v>
      </c>
      <c r="E25" s="23" t="s">
        <v>2</v>
      </c>
      <c r="F25" s="24" t="s">
        <v>97</v>
      </c>
      <c r="G25" s="24" t="s">
        <v>21</v>
      </c>
      <c r="H25" s="3" t="s">
        <v>533</v>
      </c>
      <c r="I25" s="3"/>
      <c r="J25" s="3" t="s">
        <v>531</v>
      </c>
      <c r="K25" s="3"/>
      <c r="L25" s="3" t="s">
        <v>526</v>
      </c>
      <c r="M25" s="19" t="s">
        <v>98</v>
      </c>
      <c r="P25" s="19" t="s">
        <v>99</v>
      </c>
      <c r="Q25" s="1" t="str">
        <f>IF($B25=0,$M25,_xlfn.TEXTBEFORE(Q24,"/",$B25,,,Q24)&amp;"/"&amp;$M25)&amp;IF(_xlfn.TEXTAFTER($D25,"..",,,,1)&lt;&gt;"1","[0]","")</f>
        <v>*/Authorisation[0]/type</v>
      </c>
      <c r="T25" s="19" t="s">
        <v>413</v>
      </c>
    </row>
    <row r="26" spans="1:20" ht="12" customHeight="1" outlineLevel="2" x14ac:dyDescent="0.25">
      <c r="A26" s="19" t="str">
        <f>$E$2</f>
        <v>CC013C
CC015C</v>
      </c>
      <c r="B26" s="1">
        <v>2</v>
      </c>
      <c r="C26" s="1" t="s">
        <v>17</v>
      </c>
      <c r="D26" s="19" t="s">
        <v>18</v>
      </c>
      <c r="E26" s="23" t="s">
        <v>100</v>
      </c>
      <c r="F26" s="24" t="s">
        <v>101</v>
      </c>
      <c r="G26" s="24" t="s">
        <v>21</v>
      </c>
      <c r="H26" s="3" t="s">
        <v>532</v>
      </c>
      <c r="I26" s="3"/>
      <c r="J26" s="3"/>
      <c r="K26" s="3"/>
      <c r="L26" s="3" t="s">
        <v>527</v>
      </c>
      <c r="M26" s="19" t="s">
        <v>102</v>
      </c>
      <c r="P26" s="19" t="s">
        <v>103</v>
      </c>
      <c r="Q26" s="1" t="str">
        <f>IF($B26=0,$M26,_xlfn.TEXTBEFORE(Q25,"/",$B26,,,Q25)&amp;"/"&amp;$M26)&amp;IF(_xlfn.TEXTAFTER($D26,"..",,,,1)&lt;&gt;"1","[0]","")</f>
        <v>*/Authorisation[0]/referenceNumber</v>
      </c>
      <c r="T26" s="24" t="s">
        <v>422</v>
      </c>
    </row>
    <row r="27" spans="1:20" ht="12" customHeight="1" outlineLevel="1" x14ac:dyDescent="0.25">
      <c r="A27" s="21" t="str">
        <f>$E$2</f>
        <v>CC013C
CC015C</v>
      </c>
      <c r="B27" s="4">
        <v>1</v>
      </c>
      <c r="C27" s="21" t="s">
        <v>41</v>
      </c>
      <c r="D27" s="21" t="s">
        <v>18</v>
      </c>
      <c r="E27" s="22" t="s">
        <v>104</v>
      </c>
      <c r="F27" s="6"/>
      <c r="G27" s="33" t="s">
        <v>21</v>
      </c>
      <c r="H27" s="6"/>
      <c r="I27" s="6"/>
      <c r="J27" s="6"/>
      <c r="K27" s="6"/>
      <c r="L27" s="6" t="s">
        <v>669</v>
      </c>
      <c r="M27" s="21" t="s">
        <v>105</v>
      </c>
      <c r="N27" s="4"/>
      <c r="O27" s="4"/>
      <c r="P27" s="4"/>
      <c r="Q27" s="1" t="str">
        <f>IF($B27=0,$M27,_xlfn.TEXTBEFORE(Q26,"/",$B27,,,Q26)&amp;"/"&amp;$M27)&amp;IF(_xlfn.TEXTAFTER($D27,"..",,,,1)&lt;&gt;"1","[0]","")</f>
        <v>*/CustomsOfficeOfDeparture</v>
      </c>
    </row>
    <row r="28" spans="1:20" ht="12" customHeight="1" outlineLevel="2" x14ac:dyDescent="0.25">
      <c r="A28" s="19" t="str">
        <f>$E$2</f>
        <v>CC013C
CC015C</v>
      </c>
      <c r="B28" s="1">
        <v>2</v>
      </c>
      <c r="C28" s="1" t="s">
        <v>17</v>
      </c>
      <c r="D28" s="19" t="s">
        <v>18</v>
      </c>
      <c r="E28" s="23" t="s">
        <v>100</v>
      </c>
      <c r="F28" s="24" t="s">
        <v>106</v>
      </c>
      <c r="G28" s="24" t="s">
        <v>21</v>
      </c>
      <c r="H28" s="3" t="s">
        <v>671</v>
      </c>
      <c r="I28" s="3"/>
      <c r="J28" s="3" t="s">
        <v>645</v>
      </c>
      <c r="K28" s="3"/>
      <c r="L28" s="3" t="s">
        <v>670</v>
      </c>
      <c r="M28" s="19" t="s">
        <v>102</v>
      </c>
      <c r="P28" s="19" t="s">
        <v>107</v>
      </c>
      <c r="Q28" s="1" t="str">
        <f>IF($B28=0,$M28,_xlfn.TEXTBEFORE(Q27,"/",$B28,,,Q27)&amp;"/"&amp;$M28)&amp;IF(_xlfn.TEXTAFTER($D28,"..",,,,1)&lt;&gt;"1","[0]","")</f>
        <v>*/CustomsOfficeOfDeparture/referenceNumber</v>
      </c>
      <c r="T28" s="24" t="s">
        <v>423</v>
      </c>
    </row>
    <row r="29" spans="1:20" ht="12" customHeight="1" outlineLevel="1" x14ac:dyDescent="0.25">
      <c r="A29" s="21" t="str">
        <f>$E$2</f>
        <v>CC013C
CC015C</v>
      </c>
      <c r="B29" s="4">
        <v>1</v>
      </c>
      <c r="C29" s="21" t="s">
        <v>41</v>
      </c>
      <c r="D29" s="21" t="s">
        <v>18</v>
      </c>
      <c r="E29" s="22" t="s">
        <v>108</v>
      </c>
      <c r="F29" s="6"/>
      <c r="G29" s="33" t="s">
        <v>21</v>
      </c>
      <c r="H29" s="6"/>
      <c r="I29" s="6"/>
      <c r="J29" s="6"/>
      <c r="K29" s="6"/>
      <c r="L29" s="6" t="s">
        <v>677</v>
      </c>
      <c r="M29" s="21" t="s">
        <v>109</v>
      </c>
      <c r="N29" s="4"/>
      <c r="O29" s="4"/>
      <c r="P29" s="4"/>
      <c r="Q29" s="1" t="str">
        <f>IF($B29=0,$M29,_xlfn.TEXTBEFORE(Q28,"/",$B29,,,Q28)&amp;"/"&amp;$M29)&amp;IF(_xlfn.TEXTAFTER($D29,"..",,,,1)&lt;&gt;"1","[0]","")</f>
        <v>*/CustomsOfficeOfDestinationDeclared</v>
      </c>
    </row>
    <row r="30" spans="1:20" ht="12" customHeight="1" outlineLevel="2" x14ac:dyDescent="0.25">
      <c r="A30" s="19" t="str">
        <f>$E$2</f>
        <v>CC013C
CC015C</v>
      </c>
      <c r="B30" s="1">
        <v>2</v>
      </c>
      <c r="C30" s="1" t="s">
        <v>17</v>
      </c>
      <c r="D30" s="19" t="s">
        <v>18</v>
      </c>
      <c r="E30" s="23" t="s">
        <v>100</v>
      </c>
      <c r="F30" s="24" t="s">
        <v>106</v>
      </c>
      <c r="G30" s="24" t="s">
        <v>21</v>
      </c>
      <c r="H30" s="3" t="s">
        <v>680</v>
      </c>
      <c r="I30" s="3"/>
      <c r="J30" s="3" t="s">
        <v>679</v>
      </c>
      <c r="K30" s="3"/>
      <c r="L30" s="3" t="s">
        <v>678</v>
      </c>
      <c r="M30" s="19" t="s">
        <v>102</v>
      </c>
      <c r="P30" s="19" t="s">
        <v>107</v>
      </c>
      <c r="Q30" s="1" t="str">
        <f>IF($B30=0,$M30,_xlfn.TEXTBEFORE(Q29,"/",$B30,,,Q29)&amp;"/"&amp;$M30)&amp;IF(_xlfn.TEXTAFTER($D30,"..",,,,1)&lt;&gt;"1","[0]","")</f>
        <v>*/CustomsOfficeOfDestinationDeclared/referenceNumber</v>
      </c>
      <c r="T30" s="24" t="s">
        <v>423</v>
      </c>
    </row>
    <row r="31" spans="1:20" ht="12" customHeight="1" outlineLevel="1" x14ac:dyDescent="0.25">
      <c r="A31" s="21" t="str">
        <f>$E$2</f>
        <v>CC013C
CC015C</v>
      </c>
      <c r="B31" s="4">
        <v>1</v>
      </c>
      <c r="C31" s="21" t="s">
        <v>41</v>
      </c>
      <c r="D31" s="21" t="s">
        <v>91</v>
      </c>
      <c r="E31" s="22" t="s">
        <v>110</v>
      </c>
      <c r="F31" s="6"/>
      <c r="G31" s="33" t="s">
        <v>450</v>
      </c>
      <c r="H31" s="6"/>
      <c r="I31" s="6" t="s">
        <v>673</v>
      </c>
      <c r="J31" s="6"/>
      <c r="K31" s="6"/>
      <c r="L31" s="6" t="s">
        <v>672</v>
      </c>
      <c r="M31" s="21" t="s">
        <v>111</v>
      </c>
      <c r="N31" s="4"/>
      <c r="O31" s="4"/>
      <c r="P31" s="4"/>
      <c r="Q31" s="1" t="str">
        <f>IF($B31=0,$M31,_xlfn.TEXTBEFORE(Q30,"/",$B31,,,Q30)&amp;"/"&amp;$M31)&amp;IF(_xlfn.TEXTAFTER($D31,"..",,,,1)&lt;&gt;"1","[0]","")</f>
        <v>*/CustomsOfficeOfTransitDeclared[0]</v>
      </c>
    </row>
    <row r="32" spans="1:20" ht="12" customHeight="1" outlineLevel="2" x14ac:dyDescent="0.25">
      <c r="A32" s="19" t="str">
        <f>$E$2</f>
        <v>CC013C
CC015C</v>
      </c>
      <c r="B32" s="1">
        <v>2</v>
      </c>
      <c r="C32" s="1" t="s">
        <v>17</v>
      </c>
      <c r="D32" s="19" t="s">
        <v>18</v>
      </c>
      <c r="E32" s="23" t="s">
        <v>93</v>
      </c>
      <c r="F32" s="24" t="s">
        <v>530</v>
      </c>
      <c r="G32" s="24" t="s">
        <v>21</v>
      </c>
      <c r="H32" s="3" t="s">
        <v>475</v>
      </c>
      <c r="I32" s="3"/>
      <c r="J32" s="3"/>
      <c r="K32" s="3"/>
      <c r="L32" s="3"/>
      <c r="M32" s="19" t="s">
        <v>95</v>
      </c>
      <c r="P32" s="19" t="s">
        <v>96</v>
      </c>
      <c r="Q32" s="1" t="str">
        <f>IF($B32=0,$M32,_xlfn.TEXTBEFORE(Q31,"/",$B32,,,Q31)&amp;"/"&amp;$M32)&amp;IF(_xlfn.TEXTAFTER($D32,"..",,,,1)&lt;&gt;"1","[0]","")</f>
        <v>*/CustomsOfficeOfTransitDeclared[0]/sequenceNumber</v>
      </c>
      <c r="T32" s="24" t="s">
        <v>421</v>
      </c>
    </row>
    <row r="33" spans="1:20" ht="12" customHeight="1" outlineLevel="2" x14ac:dyDescent="0.25">
      <c r="A33" s="19" t="str">
        <f>$E$2</f>
        <v>CC013C
CC015C</v>
      </c>
      <c r="B33" s="1">
        <v>2</v>
      </c>
      <c r="C33" s="1" t="s">
        <v>17</v>
      </c>
      <c r="D33" s="19" t="s">
        <v>18</v>
      </c>
      <c r="E33" s="23" t="s">
        <v>100</v>
      </c>
      <c r="F33" s="24" t="s">
        <v>106</v>
      </c>
      <c r="G33" s="24" t="s">
        <v>21</v>
      </c>
      <c r="H33" s="3" t="s">
        <v>676</v>
      </c>
      <c r="I33" s="3"/>
      <c r="J33" s="3" t="s">
        <v>674</v>
      </c>
      <c r="K33" s="3"/>
      <c r="L33" s="3" t="s">
        <v>675</v>
      </c>
      <c r="M33" s="19" t="s">
        <v>102</v>
      </c>
      <c r="P33" s="19" t="s">
        <v>107</v>
      </c>
      <c r="Q33" s="1" t="str">
        <f>IF($B33=0,$M33,_xlfn.TEXTBEFORE(Q32,"/",$B33,,,Q32)&amp;"/"&amp;$M33)&amp;IF(_xlfn.TEXTAFTER($D33,"..",,,,1)&lt;&gt;"1","[0]","")</f>
        <v>*/CustomsOfficeOfTransitDeclared[0]/referenceNumber</v>
      </c>
      <c r="T33" s="24" t="s">
        <v>423</v>
      </c>
    </row>
    <row r="34" spans="1:20" ht="12" customHeight="1" outlineLevel="2" x14ac:dyDescent="0.25">
      <c r="A34" s="19" t="str">
        <f>$E$2</f>
        <v>CC013C
CC015C</v>
      </c>
      <c r="B34" s="1">
        <v>2</v>
      </c>
      <c r="C34" s="1" t="s">
        <v>17</v>
      </c>
      <c r="D34" s="19" t="s">
        <v>36</v>
      </c>
      <c r="E34" s="23" t="s">
        <v>112</v>
      </c>
      <c r="F34" s="3" t="s">
        <v>65</v>
      </c>
      <c r="G34" s="24" t="s">
        <v>38</v>
      </c>
      <c r="H34" s="3"/>
      <c r="I34" s="3"/>
      <c r="J34" s="3"/>
      <c r="K34" s="3"/>
      <c r="L34" s="3"/>
      <c r="M34" s="19" t="s">
        <v>113</v>
      </c>
      <c r="P34" s="19" t="s">
        <v>114</v>
      </c>
      <c r="Q34" s="1" t="str">
        <f>IF($B34=0,$M34,_xlfn.TEXTBEFORE(Q33,"/",$B34,,,Q33)&amp;"/"&amp;$M34)&amp;IF(_xlfn.TEXTAFTER($D34,"..",,,,1)&lt;&gt;"1","[0]","")</f>
        <v>*/CustomsOfficeOfTransitDeclared[0]/arrivalDateAndTimeEstimated</v>
      </c>
      <c r="T34" s="24" t="s">
        <v>418</v>
      </c>
    </row>
    <row r="35" spans="1:20" ht="12" customHeight="1" outlineLevel="1" x14ac:dyDescent="0.25">
      <c r="A35" s="21" t="str">
        <f>$E$2</f>
        <v>CC013C
CC015C</v>
      </c>
      <c r="B35" s="4">
        <v>1</v>
      </c>
      <c r="C35" s="21" t="s">
        <v>41</v>
      </c>
      <c r="D35" s="21" t="s">
        <v>91</v>
      </c>
      <c r="E35" s="22" t="s">
        <v>115</v>
      </c>
      <c r="F35" s="6"/>
      <c r="G35" s="33" t="s">
        <v>450</v>
      </c>
      <c r="H35" s="6" t="s">
        <v>686</v>
      </c>
      <c r="I35" s="6" t="s">
        <v>685</v>
      </c>
      <c r="J35" s="6"/>
      <c r="K35" s="6"/>
      <c r="L35" s="6" t="s">
        <v>681</v>
      </c>
      <c r="M35" s="21" t="s">
        <v>116</v>
      </c>
      <c r="N35" s="4"/>
      <c r="O35" s="4"/>
      <c r="P35" s="4"/>
      <c r="Q35" s="1" t="str">
        <f>IF($B35=0,$M35,_xlfn.TEXTBEFORE(Q34,"/",$B35,,,Q34)&amp;"/"&amp;$M35)&amp;IF(_xlfn.TEXTAFTER($D35,"..",,,,1)&lt;&gt;"1","[0]","")</f>
        <v>*/CustomsOfficeOfExitForTransitDeclared[0]</v>
      </c>
    </row>
    <row r="36" spans="1:20" ht="12" customHeight="1" outlineLevel="2" x14ac:dyDescent="0.25">
      <c r="A36" s="19" t="str">
        <f>$E$2</f>
        <v>CC013C
CC015C</v>
      </c>
      <c r="B36" s="1">
        <v>2</v>
      </c>
      <c r="C36" s="1" t="s">
        <v>17</v>
      </c>
      <c r="D36" s="19" t="s">
        <v>18</v>
      </c>
      <c r="E36" s="23" t="s">
        <v>93</v>
      </c>
      <c r="F36" s="24" t="s">
        <v>530</v>
      </c>
      <c r="G36" s="24" t="s">
        <v>21</v>
      </c>
      <c r="H36" s="3" t="s">
        <v>475</v>
      </c>
      <c r="I36" s="3"/>
      <c r="J36" s="3"/>
      <c r="K36" s="3"/>
      <c r="L36" s="3"/>
      <c r="M36" s="19" t="s">
        <v>95</v>
      </c>
      <c r="P36" s="19" t="s">
        <v>96</v>
      </c>
      <c r="Q36" s="1" t="str">
        <f>IF($B36=0,$M36,_xlfn.TEXTBEFORE(Q35,"/",$B36,,,Q35)&amp;"/"&amp;$M36)&amp;IF(_xlfn.TEXTAFTER($D36,"..",,,,1)&lt;&gt;"1","[0]","")</f>
        <v>*/CustomsOfficeOfExitForTransitDeclared[0]/sequenceNumber</v>
      </c>
      <c r="T36" s="24" t="s">
        <v>421</v>
      </c>
    </row>
    <row r="37" spans="1:20" ht="12" customHeight="1" outlineLevel="2" x14ac:dyDescent="0.25">
      <c r="A37" s="19" t="str">
        <f>$E$2</f>
        <v>CC013C
CC015C</v>
      </c>
      <c r="B37" s="1">
        <v>2</v>
      </c>
      <c r="C37" s="1" t="s">
        <v>17</v>
      </c>
      <c r="D37" s="19" t="s">
        <v>18</v>
      </c>
      <c r="E37" s="23" t="s">
        <v>100</v>
      </c>
      <c r="F37" s="24" t="s">
        <v>106</v>
      </c>
      <c r="G37" s="24" t="s">
        <v>21</v>
      </c>
      <c r="H37" s="3" t="s">
        <v>684</v>
      </c>
      <c r="I37" s="3"/>
      <c r="J37" s="3" t="s">
        <v>683</v>
      </c>
      <c r="K37" s="3"/>
      <c r="L37" s="3" t="s">
        <v>682</v>
      </c>
      <c r="M37" s="19" t="s">
        <v>102</v>
      </c>
      <c r="P37" s="19" t="s">
        <v>107</v>
      </c>
      <c r="Q37" s="1" t="str">
        <f>IF($B37=0,$M37,_xlfn.TEXTBEFORE(Q36,"/",$B37,,,Q36)&amp;"/"&amp;$M37)&amp;IF(_xlfn.TEXTAFTER($D37,"..",,,,1)&lt;&gt;"1","[0]","")</f>
        <v>*/CustomsOfficeOfExitForTransitDeclared[0]/referenceNumber</v>
      </c>
      <c r="T37" s="24" t="s">
        <v>423</v>
      </c>
    </row>
    <row r="38" spans="1:20" ht="12" customHeight="1" outlineLevel="1" x14ac:dyDescent="0.25">
      <c r="A38" s="21" t="str">
        <f>$E$2</f>
        <v>CC013C
CC015C</v>
      </c>
      <c r="B38" s="4">
        <v>1</v>
      </c>
      <c r="C38" s="21" t="s">
        <v>41</v>
      </c>
      <c r="D38" s="21" t="s">
        <v>18</v>
      </c>
      <c r="E38" s="22" t="s">
        <v>117</v>
      </c>
      <c r="F38" s="6"/>
      <c r="G38" s="33" t="s">
        <v>21</v>
      </c>
      <c r="H38" s="6"/>
      <c r="I38" s="6"/>
      <c r="J38" s="6"/>
      <c r="K38" s="6"/>
      <c r="L38" s="6" t="s">
        <v>573</v>
      </c>
      <c r="M38" s="21" t="s">
        <v>118</v>
      </c>
      <c r="N38" s="4"/>
      <c r="O38" s="4"/>
      <c r="P38" s="4"/>
      <c r="Q38" s="1" t="str">
        <f>IF($B38=0,$M38,_xlfn.TEXTBEFORE(Q37,"/",$B38,,,Q37)&amp;"/"&amp;$M38)&amp;IF(_xlfn.TEXTAFTER($D38,"..",,,,1)&lt;&gt;"1","[0]","")</f>
        <v>*/HolderOfTheTransitProcedure</v>
      </c>
    </row>
    <row r="39" spans="1:20" ht="12" customHeight="1" outlineLevel="2" x14ac:dyDescent="0.25">
      <c r="A39" s="19" t="str">
        <f>$E$2</f>
        <v>CC013C
CC015C</v>
      </c>
      <c r="B39" s="1">
        <v>2</v>
      </c>
      <c r="C39" s="1" t="s">
        <v>17</v>
      </c>
      <c r="D39" s="19" t="s">
        <v>36</v>
      </c>
      <c r="E39" s="23" t="s">
        <v>119</v>
      </c>
      <c r="F39" s="24" t="s">
        <v>120</v>
      </c>
      <c r="G39" s="24" t="s">
        <v>38</v>
      </c>
      <c r="H39" s="3" t="s">
        <v>575</v>
      </c>
      <c r="I39" s="3"/>
      <c r="J39" s="3"/>
      <c r="K39" s="3"/>
      <c r="L39" s="3" t="s">
        <v>574</v>
      </c>
      <c r="M39" s="19" t="s">
        <v>121</v>
      </c>
      <c r="P39" s="19" t="s">
        <v>122</v>
      </c>
      <c r="Q39" s="1" t="str">
        <f>IF($B39=0,$M39,_xlfn.TEXTBEFORE(Q38,"/",$B39,,,Q38)&amp;"/"&amp;$M39)&amp;IF(_xlfn.TEXTAFTER($D39,"..",,,,1)&lt;&gt;"1","[0]","")</f>
        <v>*/HolderOfTheTransitProcedure/identificationNumber</v>
      </c>
      <c r="T39" s="24" t="s">
        <v>424</v>
      </c>
    </row>
    <row r="40" spans="1:20" ht="12" customHeight="1" outlineLevel="2" x14ac:dyDescent="0.25">
      <c r="A40" s="19" t="str">
        <f>$E$2</f>
        <v>CC013C
CC015C</v>
      </c>
      <c r="B40" s="1">
        <v>2</v>
      </c>
      <c r="C40" s="1" t="s">
        <v>17</v>
      </c>
      <c r="D40" s="19" t="s">
        <v>36</v>
      </c>
      <c r="E40" s="23" t="s">
        <v>123</v>
      </c>
      <c r="F40" s="24" t="s">
        <v>120</v>
      </c>
      <c r="G40" s="24" t="s">
        <v>450</v>
      </c>
      <c r="H40" s="3" t="s">
        <v>458</v>
      </c>
      <c r="I40" s="3" t="s">
        <v>578</v>
      </c>
      <c r="J40" s="3"/>
      <c r="K40" s="3"/>
      <c r="L40" s="3" t="s">
        <v>576</v>
      </c>
      <c r="M40" s="19" t="s">
        <v>124</v>
      </c>
      <c r="P40" s="19" t="s">
        <v>125</v>
      </c>
      <c r="Q40" s="1" t="str">
        <f>IF($B40=0,$M40,_xlfn.TEXTBEFORE(Q39,"/",$B40,,,Q39)&amp;"/"&amp;$M40)&amp;IF(_xlfn.TEXTAFTER($D40,"..",,,,1)&lt;&gt;"1","[0]","")</f>
        <v>*/HolderOfTheTransitProcedure/TIRHolderIdentificationNumber</v>
      </c>
      <c r="T40" s="24" t="s">
        <v>424</v>
      </c>
    </row>
    <row r="41" spans="1:20" ht="12" customHeight="1" outlineLevel="2" x14ac:dyDescent="0.25">
      <c r="A41" s="19" t="str">
        <f>$E$2</f>
        <v>CC013C
CC015C</v>
      </c>
      <c r="B41" s="1">
        <v>2</v>
      </c>
      <c r="C41" s="1" t="s">
        <v>17</v>
      </c>
      <c r="D41" s="19" t="s">
        <v>36</v>
      </c>
      <c r="E41" s="23" t="s">
        <v>4</v>
      </c>
      <c r="F41" s="24" t="s">
        <v>126</v>
      </c>
      <c r="G41" s="24" t="s">
        <v>450</v>
      </c>
      <c r="H41" s="3"/>
      <c r="I41" s="3" t="s">
        <v>541</v>
      </c>
      <c r="J41" s="3"/>
      <c r="K41" s="3"/>
      <c r="L41" s="3" t="s">
        <v>577</v>
      </c>
      <c r="M41" s="19" t="s">
        <v>127</v>
      </c>
      <c r="P41" s="19" t="s">
        <v>128</v>
      </c>
      <c r="Q41" s="1" t="str">
        <f>IF($B41=0,$M41,_xlfn.TEXTBEFORE(Q40,"/",$B41,,,Q40)&amp;"/"&amp;$M41)&amp;IF(_xlfn.TEXTAFTER($D41,"..",,,,1)&lt;&gt;"1","[0]","")</f>
        <v>*/HolderOfTheTransitProcedure/name</v>
      </c>
      <c r="T41" s="24" t="s">
        <v>425</v>
      </c>
    </row>
    <row r="42" spans="1:20" ht="12" customHeight="1" outlineLevel="2" x14ac:dyDescent="0.25">
      <c r="A42" s="21" t="str">
        <f>$E$2</f>
        <v>CC013C
CC015C</v>
      </c>
      <c r="B42" s="4">
        <v>2</v>
      </c>
      <c r="C42" s="21" t="s">
        <v>41</v>
      </c>
      <c r="D42" s="21" t="s">
        <v>36</v>
      </c>
      <c r="E42" s="25" t="s">
        <v>129</v>
      </c>
      <c r="F42" s="6"/>
      <c r="G42" s="33" t="s">
        <v>450</v>
      </c>
      <c r="H42" s="6"/>
      <c r="I42" s="6" t="s">
        <v>541</v>
      </c>
      <c r="J42" s="6"/>
      <c r="K42" s="6"/>
      <c r="L42" s="6" t="s">
        <v>579</v>
      </c>
      <c r="M42" s="21" t="s">
        <v>129</v>
      </c>
      <c r="N42" s="4"/>
      <c r="O42" s="4"/>
      <c r="P42" s="4"/>
      <c r="Q42" s="1" t="str">
        <f>IF($B42=0,$M42,_xlfn.TEXTBEFORE(Q41,"/",$B42,,,Q41)&amp;"/"&amp;$M42)&amp;IF(_xlfn.TEXTAFTER($D42,"..",,,,1)&lt;&gt;"1","[0]","")</f>
        <v>*/HolderOfTheTransitProcedure/Address</v>
      </c>
    </row>
    <row r="43" spans="1:20" ht="12" customHeight="1" outlineLevel="3" x14ac:dyDescent="0.25">
      <c r="A43" s="19" t="str">
        <f>$E$2</f>
        <v>CC013C
CC015C</v>
      </c>
      <c r="B43" s="1">
        <v>3</v>
      </c>
      <c r="C43" s="1" t="s">
        <v>17</v>
      </c>
      <c r="D43" s="19" t="s">
        <v>18</v>
      </c>
      <c r="E43" s="26" t="s">
        <v>130</v>
      </c>
      <c r="F43" s="24" t="s">
        <v>126</v>
      </c>
      <c r="G43" s="24" t="s">
        <v>21</v>
      </c>
      <c r="H43" s="3"/>
      <c r="I43" s="3"/>
      <c r="J43" s="3"/>
      <c r="K43" s="3"/>
      <c r="L43" s="3" t="s">
        <v>580</v>
      </c>
      <c r="M43" s="19" t="s">
        <v>131</v>
      </c>
      <c r="P43" s="19" t="s">
        <v>132</v>
      </c>
      <c r="Q43" s="1" t="str">
        <f>IF($B43=0,$M43,_xlfn.TEXTBEFORE(Q42,"/",$B43,,,Q42)&amp;"/"&amp;$M43)&amp;IF(_xlfn.TEXTAFTER($D43,"..",,,,1)&lt;&gt;"1","[0]","")</f>
        <v>*/HolderOfTheTransitProcedure/Address/streetAndNumber</v>
      </c>
      <c r="T43" s="24" t="s">
        <v>425</v>
      </c>
    </row>
    <row r="44" spans="1:20" ht="12" customHeight="1" outlineLevel="3" x14ac:dyDescent="0.25">
      <c r="A44" s="19" t="str">
        <f>$E$2</f>
        <v>CC013C
CC015C</v>
      </c>
      <c r="B44" s="1">
        <v>3</v>
      </c>
      <c r="C44" s="1" t="s">
        <v>17</v>
      </c>
      <c r="D44" s="19" t="s">
        <v>36</v>
      </c>
      <c r="E44" s="26" t="s">
        <v>133</v>
      </c>
      <c r="F44" s="24" t="s">
        <v>120</v>
      </c>
      <c r="G44" s="24" t="s">
        <v>450</v>
      </c>
      <c r="H44" s="3"/>
      <c r="I44" s="3" t="s">
        <v>544</v>
      </c>
      <c r="J44" s="3"/>
      <c r="K44" s="3"/>
      <c r="L44" s="3" t="s">
        <v>581</v>
      </c>
      <c r="M44" s="19" t="s">
        <v>134</v>
      </c>
      <c r="P44" s="19" t="s">
        <v>135</v>
      </c>
      <c r="Q44" s="1" t="str">
        <f>IF($B44=0,$M44,_xlfn.TEXTBEFORE(Q43,"/",$B44,,,Q43)&amp;"/"&amp;$M44)&amp;IF(_xlfn.TEXTAFTER($D44,"..",,,,1)&lt;&gt;"1","[0]","")</f>
        <v>*/HolderOfTheTransitProcedure/Address/postcode</v>
      </c>
      <c r="T44" s="24" t="s">
        <v>424</v>
      </c>
    </row>
    <row r="45" spans="1:20" ht="12" customHeight="1" outlineLevel="3" x14ac:dyDescent="0.25">
      <c r="A45" s="19" t="str">
        <f>$E$2</f>
        <v>CC013C
CC015C</v>
      </c>
      <c r="B45" s="1">
        <v>3</v>
      </c>
      <c r="C45" s="1" t="s">
        <v>17</v>
      </c>
      <c r="D45" s="19" t="s">
        <v>18</v>
      </c>
      <c r="E45" s="26" t="s">
        <v>136</v>
      </c>
      <c r="F45" s="24" t="s">
        <v>101</v>
      </c>
      <c r="G45" s="24" t="s">
        <v>21</v>
      </c>
      <c r="H45" s="3"/>
      <c r="I45" s="3"/>
      <c r="J45" s="3"/>
      <c r="K45" s="3"/>
      <c r="L45" s="3" t="s">
        <v>582</v>
      </c>
      <c r="M45" s="19" t="s">
        <v>137</v>
      </c>
      <c r="P45" s="19" t="s">
        <v>138</v>
      </c>
      <c r="Q45" s="1" t="str">
        <f>IF($B45=0,$M45,_xlfn.TEXTBEFORE(Q44,"/",$B45,,,Q44)&amp;"/"&amp;$M45)&amp;IF(_xlfn.TEXTAFTER($D45,"..",,,,1)&lt;&gt;"1","[0]","")</f>
        <v>*/HolderOfTheTransitProcedure/Address/city</v>
      </c>
      <c r="T45" s="24" t="s">
        <v>422</v>
      </c>
    </row>
    <row r="46" spans="1:20" ht="12" customHeight="1" outlineLevel="3" x14ac:dyDescent="0.25">
      <c r="A46" s="19" t="str">
        <f>$E$2</f>
        <v>CC013C
CC015C</v>
      </c>
      <c r="B46" s="1">
        <v>3</v>
      </c>
      <c r="C46" s="1" t="s">
        <v>17</v>
      </c>
      <c r="D46" s="19" t="s">
        <v>18</v>
      </c>
      <c r="E46" s="26" t="s">
        <v>139</v>
      </c>
      <c r="F46" s="3" t="s">
        <v>140</v>
      </c>
      <c r="G46" s="24" t="s">
        <v>21</v>
      </c>
      <c r="H46" s="3"/>
      <c r="I46" s="3"/>
      <c r="J46" s="3" t="s">
        <v>547</v>
      </c>
      <c r="K46" s="3"/>
      <c r="L46" s="3" t="s">
        <v>583</v>
      </c>
      <c r="M46" s="19" t="s">
        <v>141</v>
      </c>
      <c r="P46" s="19" t="s">
        <v>142</v>
      </c>
      <c r="Q46" s="1" t="str">
        <f>IF($B46=0,$M46,_xlfn.TEXTBEFORE(Q45,"/",$B46,,,Q45)&amp;"/"&amp;$M46)&amp;IF(_xlfn.TEXTAFTER($D46,"..",,,,1)&lt;&gt;"1","[0]","")</f>
        <v>*/HolderOfTheTransitProcedure/Address/country</v>
      </c>
      <c r="T46" s="24" t="s">
        <v>426</v>
      </c>
    </row>
    <row r="47" spans="1:20" ht="12" customHeight="1" outlineLevel="2" x14ac:dyDescent="0.25">
      <c r="A47" s="21" t="str">
        <f>$E$2</f>
        <v>CC013C
CC015C</v>
      </c>
      <c r="B47" s="4">
        <v>2</v>
      </c>
      <c r="C47" s="21" t="s">
        <v>41</v>
      </c>
      <c r="D47" s="21" t="s">
        <v>36</v>
      </c>
      <c r="E47" s="25" t="s">
        <v>143</v>
      </c>
      <c r="F47" s="6"/>
      <c r="G47" s="33" t="s">
        <v>38</v>
      </c>
      <c r="H47" s="6" t="s">
        <v>549</v>
      </c>
      <c r="I47" s="6"/>
      <c r="J47" s="6"/>
      <c r="K47" s="6"/>
      <c r="L47" s="6" t="s">
        <v>584</v>
      </c>
      <c r="M47" s="21" t="s">
        <v>144</v>
      </c>
      <c r="N47" s="4"/>
      <c r="O47" s="4"/>
      <c r="P47" s="4"/>
      <c r="Q47" s="1" t="str">
        <f>IF($B47=0,$M47,_xlfn.TEXTBEFORE(Q46,"/",$B47,,,Q46)&amp;"/"&amp;$M47)&amp;IF(_xlfn.TEXTAFTER($D47,"..",,,,1)&lt;&gt;"1","[0]","")</f>
        <v>*/HolderOfTheTransitProcedure/ContactPerson</v>
      </c>
    </row>
    <row r="48" spans="1:20" ht="12" customHeight="1" outlineLevel="3" x14ac:dyDescent="0.25">
      <c r="A48" s="19" t="str">
        <f>$E$2</f>
        <v>CC013C
CC015C</v>
      </c>
      <c r="B48" s="1">
        <v>3</v>
      </c>
      <c r="C48" s="1" t="s">
        <v>17</v>
      </c>
      <c r="D48" s="19" t="s">
        <v>18</v>
      </c>
      <c r="E48" s="26" t="s">
        <v>4</v>
      </c>
      <c r="F48" s="24" t="s">
        <v>126</v>
      </c>
      <c r="G48" s="24" t="s">
        <v>21</v>
      </c>
      <c r="H48" s="3"/>
      <c r="I48" s="3"/>
      <c r="J48" s="3"/>
      <c r="K48" s="3"/>
      <c r="L48" s="3" t="s">
        <v>585</v>
      </c>
      <c r="M48" s="19" t="s">
        <v>127</v>
      </c>
      <c r="P48" s="19" t="s">
        <v>128</v>
      </c>
      <c r="Q48" s="1" t="str">
        <f>IF($B48=0,$M48,_xlfn.TEXTBEFORE(Q47,"/",$B48,,,Q47)&amp;"/"&amp;$M48)&amp;IF(_xlfn.TEXTAFTER($D48,"..",,,,1)&lt;&gt;"1","[0]","")</f>
        <v>*/HolderOfTheTransitProcedure/ContactPerson/name</v>
      </c>
      <c r="T48" s="24" t="s">
        <v>425</v>
      </c>
    </row>
    <row r="49" spans="1:20" ht="12" customHeight="1" outlineLevel="3" x14ac:dyDescent="0.25">
      <c r="A49" s="19" t="str">
        <f>$E$2</f>
        <v>CC013C
CC015C</v>
      </c>
      <c r="B49" s="1">
        <v>3</v>
      </c>
      <c r="C49" s="1" t="s">
        <v>17</v>
      </c>
      <c r="D49" s="19" t="s">
        <v>18</v>
      </c>
      <c r="E49" s="26" t="s">
        <v>145</v>
      </c>
      <c r="F49" s="24" t="s">
        <v>20</v>
      </c>
      <c r="G49" s="24" t="s">
        <v>21</v>
      </c>
      <c r="H49" s="3"/>
      <c r="I49" s="3"/>
      <c r="J49" s="3"/>
      <c r="K49" s="3"/>
      <c r="L49" s="3" t="s">
        <v>586</v>
      </c>
      <c r="M49" s="19" t="s">
        <v>146</v>
      </c>
      <c r="P49" s="19" t="s">
        <v>147</v>
      </c>
      <c r="Q49" s="1" t="str">
        <f>IF($B49=0,$M49,_xlfn.TEXTBEFORE(Q48,"/",$B49,,,Q48)&amp;"/"&amp;$M49)&amp;IF(_xlfn.TEXTAFTER($D49,"..",,,,1)&lt;&gt;"1","[0]","")</f>
        <v>*/HolderOfTheTransitProcedure/ContactPerson/phoneNumber</v>
      </c>
      <c r="T49" s="19" t="s">
        <v>413</v>
      </c>
    </row>
    <row r="50" spans="1:20" ht="12" customHeight="1" outlineLevel="3" x14ac:dyDescent="0.25">
      <c r="A50" s="19" t="str">
        <f>$E$2</f>
        <v>CC013C
CC015C</v>
      </c>
      <c r="B50" s="1">
        <v>3</v>
      </c>
      <c r="C50" s="1" t="s">
        <v>17</v>
      </c>
      <c r="D50" s="19" t="s">
        <v>36</v>
      </c>
      <c r="E50" s="26" t="s">
        <v>148</v>
      </c>
      <c r="F50" s="24" t="s">
        <v>149</v>
      </c>
      <c r="G50" s="24" t="s">
        <v>38</v>
      </c>
      <c r="H50" s="3" t="s">
        <v>458</v>
      </c>
      <c r="I50" s="3"/>
      <c r="J50" s="3"/>
      <c r="K50" s="3"/>
      <c r="L50" s="3" t="s">
        <v>587</v>
      </c>
      <c r="M50" s="19" t="s">
        <v>150</v>
      </c>
      <c r="P50" s="19" t="s">
        <v>151</v>
      </c>
      <c r="Q50" s="1" t="str">
        <f>IF($B50=0,$M50,_xlfn.TEXTBEFORE(Q49,"/",$B50,,,Q49)&amp;"/"&amp;$M50)&amp;IF(_xlfn.TEXTAFTER($D50,"..",,,,1)&lt;&gt;"1","[0]","")</f>
        <v>*/HolderOfTheTransitProcedure/ContactPerson/eMailAddress</v>
      </c>
      <c r="T50" s="24" t="s">
        <v>427</v>
      </c>
    </row>
    <row r="51" spans="1:20" ht="12" customHeight="1" outlineLevel="1" x14ac:dyDescent="0.25">
      <c r="A51" s="21" t="str">
        <f>$E$2</f>
        <v>CC013C
CC015C</v>
      </c>
      <c r="B51" s="4">
        <v>1</v>
      </c>
      <c r="C51" s="21" t="s">
        <v>41</v>
      </c>
      <c r="D51" s="21" t="s">
        <v>36</v>
      </c>
      <c r="E51" s="22" t="s">
        <v>152</v>
      </c>
      <c r="F51" s="6"/>
      <c r="G51" s="33" t="s">
        <v>38</v>
      </c>
      <c r="H51" s="6" t="s">
        <v>572</v>
      </c>
      <c r="I51" s="6"/>
      <c r="J51" s="6"/>
      <c r="K51" s="6"/>
      <c r="L51" s="6" t="s">
        <v>565</v>
      </c>
      <c r="M51" s="21" t="s">
        <v>152</v>
      </c>
      <c r="N51" s="4"/>
      <c r="O51" s="4"/>
      <c r="P51" s="4"/>
      <c r="Q51" s="1" t="str">
        <f>IF($B51=0,$M51,_xlfn.TEXTBEFORE(Q50,"/",$B51,,,Q50)&amp;"/"&amp;$M51)&amp;IF(_xlfn.TEXTAFTER($D51,"..",,,,1)&lt;&gt;"1","[0]","")</f>
        <v>*/Representative</v>
      </c>
    </row>
    <row r="52" spans="1:20" ht="12" customHeight="1" outlineLevel="2" x14ac:dyDescent="0.25">
      <c r="A52" s="19" t="str">
        <f>$E$2</f>
        <v>CC013C
CC015C</v>
      </c>
      <c r="B52" s="1">
        <v>2</v>
      </c>
      <c r="C52" s="1" t="s">
        <v>17</v>
      </c>
      <c r="D52" s="19" t="s">
        <v>18</v>
      </c>
      <c r="E52" s="23" t="s">
        <v>119</v>
      </c>
      <c r="F52" s="24" t="s">
        <v>120</v>
      </c>
      <c r="G52" s="24" t="s">
        <v>21</v>
      </c>
      <c r="H52" s="3" t="s">
        <v>537</v>
      </c>
      <c r="I52" s="3"/>
      <c r="J52" s="3"/>
      <c r="K52" s="3"/>
      <c r="L52" s="3" t="s">
        <v>564</v>
      </c>
      <c r="M52" s="19" t="s">
        <v>121</v>
      </c>
      <c r="P52" s="19" t="s">
        <v>122</v>
      </c>
      <c r="Q52" s="1" t="str">
        <f>IF($B52=0,$M52,_xlfn.TEXTBEFORE(Q51,"/",$B52,,,Q51)&amp;"/"&amp;$M52)&amp;IF(_xlfn.TEXTAFTER($D52,"..",,,,1)&lt;&gt;"1","[0]","")</f>
        <v>*/Representative/identificationNumber</v>
      </c>
      <c r="T52" s="24" t="s">
        <v>424</v>
      </c>
    </row>
    <row r="53" spans="1:20" ht="12" customHeight="1" outlineLevel="2" x14ac:dyDescent="0.25">
      <c r="A53" s="19" t="str">
        <f>$E$2</f>
        <v>CC013C
CC015C</v>
      </c>
      <c r="B53" s="1">
        <v>2</v>
      </c>
      <c r="C53" s="1" t="s">
        <v>17</v>
      </c>
      <c r="D53" s="19" t="s">
        <v>18</v>
      </c>
      <c r="E53" s="23" t="s">
        <v>6</v>
      </c>
      <c r="F53" s="24" t="s">
        <v>69</v>
      </c>
      <c r="G53" s="24" t="s">
        <v>21</v>
      </c>
      <c r="H53" s="3"/>
      <c r="I53" s="3"/>
      <c r="J53" s="3" t="s">
        <v>571</v>
      </c>
      <c r="K53" s="3"/>
      <c r="L53" s="3" t="s">
        <v>566</v>
      </c>
      <c r="M53" s="19" t="s">
        <v>153</v>
      </c>
      <c r="P53" s="19" t="s">
        <v>154</v>
      </c>
      <c r="Q53" s="1" t="str">
        <f>IF($B53=0,$M53,_xlfn.TEXTBEFORE(Q52,"/",$B53,,,Q52)&amp;"/"&amp;$M53)&amp;IF(_xlfn.TEXTAFTER($D53,"..",,,,1)&lt;&gt;"1","[0]","")</f>
        <v>*/Representative/status</v>
      </c>
      <c r="T53" s="19" t="s">
        <v>413</v>
      </c>
    </row>
    <row r="54" spans="1:20" ht="12" customHeight="1" outlineLevel="2" x14ac:dyDescent="0.25">
      <c r="A54" s="21" t="str">
        <f>$E$2</f>
        <v>CC013C
CC015C</v>
      </c>
      <c r="B54" s="4">
        <v>2</v>
      </c>
      <c r="C54" s="21" t="s">
        <v>41</v>
      </c>
      <c r="D54" s="21" t="s">
        <v>36</v>
      </c>
      <c r="E54" s="25" t="s">
        <v>143</v>
      </c>
      <c r="F54" s="6"/>
      <c r="G54" s="33" t="s">
        <v>38</v>
      </c>
      <c r="H54" s="6" t="s">
        <v>549</v>
      </c>
      <c r="I54" s="6"/>
      <c r="J54" s="6"/>
      <c r="K54" s="6"/>
      <c r="L54" s="6" t="s">
        <v>567</v>
      </c>
      <c r="M54" s="21" t="s">
        <v>144</v>
      </c>
      <c r="N54" s="4"/>
      <c r="O54" s="4"/>
      <c r="P54" s="4"/>
      <c r="Q54" s="1" t="str">
        <f>IF($B54=0,$M54,_xlfn.TEXTBEFORE(Q53,"/",$B54,,,Q53)&amp;"/"&amp;$M54)&amp;IF(_xlfn.TEXTAFTER($D54,"..",,,,1)&lt;&gt;"1","[0]","")</f>
        <v>*/Representative/ContactPerson</v>
      </c>
    </row>
    <row r="55" spans="1:20" ht="12" customHeight="1" outlineLevel="3" x14ac:dyDescent="0.25">
      <c r="A55" s="19" t="str">
        <f>$E$2</f>
        <v>CC013C
CC015C</v>
      </c>
      <c r="B55" s="1">
        <v>3</v>
      </c>
      <c r="C55" s="1" t="s">
        <v>17</v>
      </c>
      <c r="D55" s="19" t="s">
        <v>18</v>
      </c>
      <c r="E55" s="26" t="s">
        <v>4</v>
      </c>
      <c r="F55" s="24" t="s">
        <v>126</v>
      </c>
      <c r="G55" s="24" t="s">
        <v>21</v>
      </c>
      <c r="H55" s="3"/>
      <c r="I55" s="3"/>
      <c r="J55" s="3"/>
      <c r="K55" s="3"/>
      <c r="L55" s="3" t="s">
        <v>568</v>
      </c>
      <c r="M55" s="19" t="s">
        <v>127</v>
      </c>
      <c r="P55" s="19" t="s">
        <v>128</v>
      </c>
      <c r="Q55" s="1" t="str">
        <f>IF($B55=0,$M55,_xlfn.TEXTBEFORE(Q54,"/",$B55,,,Q54)&amp;"/"&amp;$M55)&amp;IF(_xlfn.TEXTAFTER($D55,"..",,,,1)&lt;&gt;"1","[0]","")</f>
        <v>*/Representative/ContactPerson/name</v>
      </c>
      <c r="T55" s="24" t="s">
        <v>425</v>
      </c>
    </row>
    <row r="56" spans="1:20" ht="12" customHeight="1" outlineLevel="3" x14ac:dyDescent="0.25">
      <c r="A56" s="19" t="str">
        <f>$E$2</f>
        <v>CC013C
CC015C</v>
      </c>
      <c r="B56" s="1">
        <v>3</v>
      </c>
      <c r="C56" s="1" t="s">
        <v>17</v>
      </c>
      <c r="D56" s="19" t="s">
        <v>18</v>
      </c>
      <c r="E56" s="26" t="s">
        <v>145</v>
      </c>
      <c r="F56" s="24" t="s">
        <v>20</v>
      </c>
      <c r="G56" s="24" t="s">
        <v>21</v>
      </c>
      <c r="H56" s="3"/>
      <c r="I56" s="3"/>
      <c r="J56" s="3"/>
      <c r="K56" s="3"/>
      <c r="L56" s="3" t="s">
        <v>569</v>
      </c>
      <c r="M56" s="19" t="s">
        <v>146</v>
      </c>
      <c r="P56" s="19" t="s">
        <v>147</v>
      </c>
      <c r="Q56" s="1" t="str">
        <f>IF($B56=0,$M56,_xlfn.TEXTBEFORE(Q55,"/",$B56,,,Q55)&amp;"/"&amp;$M56)&amp;IF(_xlfn.TEXTAFTER($D56,"..",,,,1)&lt;&gt;"1","[0]","")</f>
        <v>*/Representative/ContactPerson/phoneNumber</v>
      </c>
      <c r="T56" s="19" t="s">
        <v>413</v>
      </c>
    </row>
    <row r="57" spans="1:20" ht="12" customHeight="1" outlineLevel="3" x14ac:dyDescent="0.25">
      <c r="A57" s="19" t="str">
        <f>$E$2</f>
        <v>CC013C
CC015C</v>
      </c>
      <c r="B57" s="1">
        <v>3</v>
      </c>
      <c r="C57" s="1" t="s">
        <v>17</v>
      </c>
      <c r="D57" s="19" t="s">
        <v>36</v>
      </c>
      <c r="E57" s="26" t="s">
        <v>148</v>
      </c>
      <c r="F57" s="24" t="s">
        <v>149</v>
      </c>
      <c r="G57" s="24" t="s">
        <v>38</v>
      </c>
      <c r="H57" s="3" t="s">
        <v>458</v>
      </c>
      <c r="I57" s="3"/>
      <c r="J57" s="3"/>
      <c r="K57" s="3"/>
      <c r="L57" s="3" t="s">
        <v>570</v>
      </c>
      <c r="M57" s="19" t="s">
        <v>150</v>
      </c>
      <c r="P57" s="19" t="s">
        <v>151</v>
      </c>
      <c r="Q57" s="1" t="str">
        <f>IF($B57=0,$M57,_xlfn.TEXTBEFORE(Q56,"/",$B57,,,Q56)&amp;"/"&amp;$M57)&amp;IF(_xlfn.TEXTAFTER($D57,"..",,,,1)&lt;&gt;"1","[0]","")</f>
        <v>*/Representative/ContactPerson/eMailAddress</v>
      </c>
      <c r="T57" s="24" t="s">
        <v>427</v>
      </c>
    </row>
    <row r="58" spans="1:20" ht="12" customHeight="1" outlineLevel="1" x14ac:dyDescent="0.25">
      <c r="A58" s="21" t="str">
        <f>$E$2</f>
        <v>CC013C
CC015C</v>
      </c>
      <c r="B58" s="4">
        <v>1</v>
      </c>
      <c r="C58" s="21" t="s">
        <v>41</v>
      </c>
      <c r="D58" s="21" t="s">
        <v>155</v>
      </c>
      <c r="E58" s="22" t="s">
        <v>156</v>
      </c>
      <c r="F58" s="6"/>
      <c r="G58" s="33" t="s">
        <v>21</v>
      </c>
      <c r="H58" s="6"/>
      <c r="I58" s="6"/>
      <c r="J58" s="6"/>
      <c r="K58" s="6"/>
      <c r="L58" s="6" t="s">
        <v>768</v>
      </c>
      <c r="M58" s="21" t="s">
        <v>156</v>
      </c>
      <c r="N58" s="4"/>
      <c r="O58" s="4"/>
      <c r="P58" s="4"/>
      <c r="Q58" s="1" t="str">
        <f>IF($B58=0,$M58,_xlfn.TEXTBEFORE(Q57,"/",$B58,,,Q57)&amp;"/"&amp;$M58)&amp;IF(_xlfn.TEXTAFTER($D58,"..",,,,1)&lt;&gt;"1","[0]","")</f>
        <v>*/Guarantee[0]</v>
      </c>
    </row>
    <row r="59" spans="1:20" ht="12" customHeight="1" outlineLevel="2" x14ac:dyDescent="0.25">
      <c r="A59" s="19" t="str">
        <f>$E$2</f>
        <v>CC013C
CC015C</v>
      </c>
      <c r="B59" s="1">
        <v>2</v>
      </c>
      <c r="C59" s="1" t="s">
        <v>17</v>
      </c>
      <c r="D59" s="19" t="s">
        <v>18</v>
      </c>
      <c r="E59" s="23" t="s">
        <v>93</v>
      </c>
      <c r="F59" s="24" t="s">
        <v>530</v>
      </c>
      <c r="G59" s="24" t="s">
        <v>21</v>
      </c>
      <c r="H59" s="3" t="s">
        <v>475</v>
      </c>
      <c r="I59" s="3"/>
      <c r="J59" s="3"/>
      <c r="K59" s="3"/>
      <c r="L59" s="3"/>
      <c r="M59" s="19" t="s">
        <v>95</v>
      </c>
      <c r="P59" s="19" t="s">
        <v>96</v>
      </c>
      <c r="Q59" s="1" t="str">
        <f>IF($B59=0,$M59,_xlfn.TEXTBEFORE(Q58,"/",$B59,,,Q58)&amp;"/"&amp;$M59)&amp;IF(_xlfn.TEXTAFTER($D59,"..",,,,1)&lt;&gt;"1","[0]","")</f>
        <v>*/Guarantee[0]/sequenceNumber</v>
      </c>
      <c r="T59" s="24" t="s">
        <v>421</v>
      </c>
    </row>
    <row r="60" spans="1:20" ht="12" customHeight="1" outlineLevel="2" x14ac:dyDescent="0.25">
      <c r="A60" s="19" t="str">
        <f>$E$2</f>
        <v>CC013C
CC015C</v>
      </c>
      <c r="B60" s="1">
        <v>2</v>
      </c>
      <c r="C60" s="1" t="s">
        <v>17</v>
      </c>
      <c r="D60" s="19" t="s">
        <v>18</v>
      </c>
      <c r="E60" s="23" t="s">
        <v>157</v>
      </c>
      <c r="F60" s="24" t="s">
        <v>158</v>
      </c>
      <c r="G60" s="24" t="s">
        <v>21</v>
      </c>
      <c r="H60" s="3" t="s">
        <v>771</v>
      </c>
      <c r="I60" s="3"/>
      <c r="J60" s="3" t="s">
        <v>770</v>
      </c>
      <c r="K60" s="3"/>
      <c r="L60" s="3" t="s">
        <v>769</v>
      </c>
      <c r="M60" s="19" t="s">
        <v>159</v>
      </c>
      <c r="P60" s="19" t="s">
        <v>160</v>
      </c>
      <c r="Q60" s="1" t="str">
        <f>IF($B60=0,$M60,_xlfn.TEXTBEFORE(Q59,"/",$B60,,,Q59)&amp;"/"&amp;$M60)&amp;IF(_xlfn.TEXTAFTER($D60,"..",,,,1)&lt;&gt;"1","[0]","")</f>
        <v>*/Guarantee[0]/guaranteeType</v>
      </c>
      <c r="T60" s="24" t="s">
        <v>428</v>
      </c>
    </row>
    <row r="61" spans="1:20" ht="12" customHeight="1" outlineLevel="2" x14ac:dyDescent="0.25">
      <c r="A61" s="19" t="str">
        <f>$E$2</f>
        <v>CC013C
CC015C</v>
      </c>
      <c r="B61" s="1">
        <v>2</v>
      </c>
      <c r="C61" s="1" t="s">
        <v>17</v>
      </c>
      <c r="D61" s="19" t="s">
        <v>36</v>
      </c>
      <c r="E61" s="23" t="s">
        <v>161</v>
      </c>
      <c r="F61" s="24" t="s">
        <v>101</v>
      </c>
      <c r="G61" s="24" t="s">
        <v>450</v>
      </c>
      <c r="H61" s="3"/>
      <c r="I61" s="3" t="s">
        <v>773</v>
      </c>
      <c r="J61" s="3"/>
      <c r="K61" s="3"/>
      <c r="L61" s="3" t="s">
        <v>772</v>
      </c>
      <c r="M61" s="19" t="s">
        <v>162</v>
      </c>
      <c r="P61" s="19" t="s">
        <v>163</v>
      </c>
      <c r="Q61" s="1" t="str">
        <f>IF($B61=0,$M61,_xlfn.TEXTBEFORE(Q60,"/",$B61,,,Q60)&amp;"/"&amp;$M61)&amp;IF(_xlfn.TEXTAFTER($D61,"..",,,,1)&lt;&gt;"1","[0]","")</f>
        <v>*/Guarantee[0]/otherGuaranteeReference</v>
      </c>
      <c r="T61" s="24" t="s">
        <v>422</v>
      </c>
    </row>
    <row r="62" spans="1:20" ht="12" customHeight="1" outlineLevel="2" x14ac:dyDescent="0.25">
      <c r="A62" s="21" t="str">
        <f>$E$2</f>
        <v>CC013C
CC015C</v>
      </c>
      <c r="B62" s="4">
        <v>2</v>
      </c>
      <c r="C62" s="21" t="s">
        <v>41</v>
      </c>
      <c r="D62" s="21" t="s">
        <v>164</v>
      </c>
      <c r="E62" s="25" t="s">
        <v>165</v>
      </c>
      <c r="F62" s="6"/>
      <c r="G62" s="33" t="s">
        <v>450</v>
      </c>
      <c r="H62" s="6"/>
      <c r="I62" s="6" t="s">
        <v>775</v>
      </c>
      <c r="J62" s="6"/>
      <c r="K62" s="6"/>
      <c r="L62" s="6" t="s">
        <v>774</v>
      </c>
      <c r="M62" s="21" t="s">
        <v>166</v>
      </c>
      <c r="N62" s="4"/>
      <c r="O62" s="4"/>
      <c r="P62" s="4"/>
      <c r="Q62" s="1" t="str">
        <f>IF($B62=0,$M62,_xlfn.TEXTBEFORE(Q61,"/",$B62,,,Q61)&amp;"/"&amp;$M62)&amp;IF(_xlfn.TEXTAFTER($D62,"..",,,,1)&lt;&gt;"1","[0]","")</f>
        <v>*/Guarantee[0]/GuaranteeReference[0]</v>
      </c>
    </row>
    <row r="63" spans="1:20" ht="12" customHeight="1" outlineLevel="3" x14ac:dyDescent="0.25">
      <c r="A63" s="19" t="str">
        <f>$E$2</f>
        <v>CC013C
CC015C</v>
      </c>
      <c r="B63" s="1">
        <v>3</v>
      </c>
      <c r="C63" s="1" t="s">
        <v>17</v>
      </c>
      <c r="D63" s="19" t="s">
        <v>18</v>
      </c>
      <c r="E63" s="26" t="s">
        <v>93</v>
      </c>
      <c r="F63" s="24" t="s">
        <v>483</v>
      </c>
      <c r="G63" s="24" t="s">
        <v>21</v>
      </c>
      <c r="H63" s="3" t="s">
        <v>475</v>
      </c>
      <c r="I63" s="3"/>
      <c r="J63" s="3"/>
      <c r="K63" s="3"/>
      <c r="L63" s="3"/>
      <c r="M63" s="19" t="s">
        <v>95</v>
      </c>
      <c r="P63" s="19" t="s">
        <v>96</v>
      </c>
      <c r="Q63" s="1" t="str">
        <f>IF($B63=0,$M63,_xlfn.TEXTBEFORE(Q62,"/",$B63,,,Q62)&amp;"/"&amp;$M63)&amp;IF(_xlfn.TEXTAFTER($D63,"..",,,,1)&lt;&gt;"1","[0]","")</f>
        <v>*/Guarantee[0]/GuaranteeReference[0]/sequenceNumber</v>
      </c>
      <c r="T63" s="24" t="s">
        <v>421</v>
      </c>
    </row>
    <row r="64" spans="1:20" ht="12" customHeight="1" outlineLevel="3" x14ac:dyDescent="0.25">
      <c r="A64" s="19" t="str">
        <f>$E$2</f>
        <v>CC013C
CC015C</v>
      </c>
      <c r="B64" s="1">
        <v>3</v>
      </c>
      <c r="C64" s="1" t="s">
        <v>17</v>
      </c>
      <c r="D64" s="19" t="s">
        <v>36</v>
      </c>
      <c r="E64" s="26" t="s">
        <v>167</v>
      </c>
      <c r="F64" s="3" t="s">
        <v>168</v>
      </c>
      <c r="G64" s="24" t="s">
        <v>450</v>
      </c>
      <c r="H64" s="3" t="s">
        <v>778</v>
      </c>
      <c r="I64" s="3" t="s">
        <v>777</v>
      </c>
      <c r="J64" s="3"/>
      <c r="K64" s="3"/>
      <c r="L64" s="3" t="s">
        <v>776</v>
      </c>
      <c r="M64" s="19" t="s">
        <v>169</v>
      </c>
      <c r="P64" s="19" t="s">
        <v>170</v>
      </c>
      <c r="Q64" s="1" t="str">
        <f>IF($B64=0,$M64,_xlfn.TEXTBEFORE(Q63,"/",$B64,,,Q63)&amp;"/"&amp;$M64)&amp;IF(_xlfn.TEXTAFTER($D64,"..",,,,1)&lt;&gt;"1","[0]","")</f>
        <v>*/Guarantee[0]/GuaranteeReference[0]/GRN</v>
      </c>
      <c r="T64" s="24" t="s">
        <v>429</v>
      </c>
    </row>
    <row r="65" spans="1:20" ht="12" customHeight="1" outlineLevel="3" x14ac:dyDescent="0.25">
      <c r="A65" s="19" t="str">
        <f>$E$2</f>
        <v>CC013C
CC015C</v>
      </c>
      <c r="B65" s="1">
        <v>3</v>
      </c>
      <c r="C65" s="1" t="s">
        <v>17</v>
      </c>
      <c r="D65" s="19" t="s">
        <v>36</v>
      </c>
      <c r="E65" s="26" t="s">
        <v>171</v>
      </c>
      <c r="F65" s="24" t="s">
        <v>172</v>
      </c>
      <c r="G65" s="24" t="s">
        <v>450</v>
      </c>
      <c r="H65" s="3"/>
      <c r="I65" s="3" t="s">
        <v>777</v>
      </c>
      <c r="J65" s="3"/>
      <c r="K65" s="3"/>
      <c r="L65" s="3" t="s">
        <v>779</v>
      </c>
      <c r="M65" s="19" t="s">
        <v>173</v>
      </c>
      <c r="P65" s="19" t="s">
        <v>174</v>
      </c>
      <c r="Q65" s="1" t="str">
        <f>IF($B65=0,$M65,_xlfn.TEXTBEFORE(Q64,"/",$B65,,,Q64)&amp;"/"&amp;$M65)&amp;IF(_xlfn.TEXTAFTER($D65,"..",,,,1)&lt;&gt;"1","[0]","")</f>
        <v>*/Guarantee[0]/GuaranteeReference[0]/accessCode</v>
      </c>
      <c r="T65" s="24" t="s">
        <v>430</v>
      </c>
    </row>
    <row r="66" spans="1:20" ht="12" customHeight="1" outlineLevel="3" x14ac:dyDescent="0.25">
      <c r="A66" s="19" t="str">
        <f>$E$2</f>
        <v>CC013C
CC015C</v>
      </c>
      <c r="B66" s="1">
        <v>3</v>
      </c>
      <c r="C66" s="1" t="s">
        <v>17</v>
      </c>
      <c r="D66" s="19" t="s">
        <v>18</v>
      </c>
      <c r="E66" s="26" t="s">
        <v>175</v>
      </c>
      <c r="F66" s="24" t="s">
        <v>176</v>
      </c>
      <c r="G66" s="24" t="s">
        <v>21</v>
      </c>
      <c r="H66" s="3" t="s">
        <v>781</v>
      </c>
      <c r="I66" s="3"/>
      <c r="J66" s="3"/>
      <c r="K66" s="3"/>
      <c r="L66" s="3" t="s">
        <v>780</v>
      </c>
      <c r="M66" s="19" t="s">
        <v>177</v>
      </c>
      <c r="P66" s="19" t="s">
        <v>178</v>
      </c>
      <c r="Q66" s="1" t="str">
        <f>IF($B66=0,$M66,_xlfn.TEXTBEFORE(Q65,"/",$B66,,,Q65)&amp;"/"&amp;$M66)&amp;IF(_xlfn.TEXTAFTER($D66,"..",,,,1)&lt;&gt;"1","[0]","")</f>
        <v>*/Guarantee[0]/GuaranteeReference[0]/amountToBeCovered</v>
      </c>
      <c r="T66" s="24" t="s">
        <v>431</v>
      </c>
    </row>
    <row r="67" spans="1:20" ht="12" customHeight="1" outlineLevel="3" x14ac:dyDescent="0.25">
      <c r="A67" s="19" t="str">
        <f>$E$2</f>
        <v>CC013C
CC015C</v>
      </c>
      <c r="B67" s="1">
        <v>3</v>
      </c>
      <c r="C67" s="1" t="s">
        <v>17</v>
      </c>
      <c r="D67" s="19" t="s">
        <v>18</v>
      </c>
      <c r="E67" s="26" t="s">
        <v>179</v>
      </c>
      <c r="F67" s="24" t="s">
        <v>180</v>
      </c>
      <c r="G67" s="24" t="s">
        <v>21</v>
      </c>
      <c r="H67" s="3" t="s">
        <v>783</v>
      </c>
      <c r="I67" s="3"/>
      <c r="J67" s="3" t="s">
        <v>784</v>
      </c>
      <c r="K67" s="3"/>
      <c r="L67" s="3" t="s">
        <v>782</v>
      </c>
      <c r="M67" s="19" t="s">
        <v>181</v>
      </c>
      <c r="P67" s="19" t="s">
        <v>182</v>
      </c>
      <c r="Q67" s="1" t="str">
        <f>IF($B67=0,$M67,_xlfn.TEXTBEFORE(Q66,"/",$B67,,,Q66)&amp;"/"&amp;$M67)&amp;IF(_xlfn.TEXTAFTER($D67,"..",,,,1)&lt;&gt;"1","[0]","")</f>
        <v>*/Guarantee[0]/GuaranteeReference[0]/currency</v>
      </c>
      <c r="T67" s="19" t="s">
        <v>413</v>
      </c>
    </row>
    <row r="68" spans="1:20" ht="12" customHeight="1" outlineLevel="1" x14ac:dyDescent="0.25">
      <c r="A68" s="21" t="str">
        <f>$E$2</f>
        <v>CC013C
CC015C</v>
      </c>
      <c r="B68" s="4">
        <v>1</v>
      </c>
      <c r="C68" s="21" t="s">
        <v>41</v>
      </c>
      <c r="D68" s="21" t="s">
        <v>18</v>
      </c>
      <c r="E68" s="22" t="s">
        <v>183</v>
      </c>
      <c r="F68" s="6"/>
      <c r="G68" s="33" t="s">
        <v>21</v>
      </c>
      <c r="H68" s="6"/>
      <c r="I68" s="6"/>
      <c r="J68" s="6"/>
      <c r="K68" s="6"/>
      <c r="L68" s="6" t="s">
        <v>718</v>
      </c>
      <c r="M68" s="21" t="s">
        <v>183</v>
      </c>
      <c r="N68" s="4"/>
      <c r="O68" s="4"/>
      <c r="P68" s="4"/>
      <c r="Q68" s="1" t="str">
        <f>IF($B68=0,$M68,_xlfn.TEXTBEFORE(Q67,"/",$B68,,,Q67)&amp;"/"&amp;$M68)&amp;IF(_xlfn.TEXTAFTER($D68,"..",,,,1)&lt;&gt;"1","[0]","")</f>
        <v>*/Consignment</v>
      </c>
    </row>
    <row r="69" spans="1:20" ht="12" customHeight="1" outlineLevel="2" x14ac:dyDescent="0.25">
      <c r="A69" s="19" t="str">
        <f>$E$2</f>
        <v>CC013C
CC015C</v>
      </c>
      <c r="B69" s="1">
        <v>2</v>
      </c>
      <c r="C69" s="1" t="s">
        <v>17</v>
      </c>
      <c r="D69" s="19" t="s">
        <v>36</v>
      </c>
      <c r="E69" s="23" t="s">
        <v>184</v>
      </c>
      <c r="F69" s="3" t="s">
        <v>140</v>
      </c>
      <c r="G69" s="24" t="s">
        <v>450</v>
      </c>
      <c r="H69" s="3" t="s">
        <v>611</v>
      </c>
      <c r="I69" s="3" t="s">
        <v>610</v>
      </c>
      <c r="J69" s="3" t="s">
        <v>606</v>
      </c>
      <c r="K69" s="3"/>
      <c r="L69" s="3" t="s">
        <v>609</v>
      </c>
      <c r="M69" s="19" t="s">
        <v>185</v>
      </c>
      <c r="P69" s="19" t="s">
        <v>186</v>
      </c>
      <c r="Q69" s="1" t="str">
        <f>IF($B69=0,$M69,_xlfn.TEXTBEFORE(Q68,"/",$B69,,,Q68)&amp;"/"&amp;$M69)&amp;IF(_xlfn.TEXTAFTER($D69,"..",,,,1)&lt;&gt;"1","[0]","")</f>
        <v>*/Consignment/countryOfDispatch</v>
      </c>
      <c r="T69" s="24" t="s">
        <v>426</v>
      </c>
    </row>
    <row r="70" spans="1:20" ht="12" customHeight="1" outlineLevel="2" x14ac:dyDescent="0.25">
      <c r="A70" s="19" t="str">
        <f>$E$2</f>
        <v>CC013C
CC015C</v>
      </c>
      <c r="B70" s="1">
        <v>2</v>
      </c>
      <c r="C70" s="1" t="s">
        <v>17</v>
      </c>
      <c r="D70" s="19" t="s">
        <v>36</v>
      </c>
      <c r="E70" s="23" t="s">
        <v>187</v>
      </c>
      <c r="F70" s="3" t="s">
        <v>140</v>
      </c>
      <c r="G70" s="24" t="s">
        <v>450</v>
      </c>
      <c r="H70" s="3" t="s">
        <v>608</v>
      </c>
      <c r="I70" s="3" t="s">
        <v>607</v>
      </c>
      <c r="J70" s="3" t="s">
        <v>606</v>
      </c>
      <c r="K70" s="3"/>
      <c r="L70" s="3" t="s">
        <v>605</v>
      </c>
      <c r="M70" s="19" t="s">
        <v>188</v>
      </c>
      <c r="P70" s="19" t="s">
        <v>189</v>
      </c>
      <c r="Q70" s="1" t="str">
        <f>IF($B70=0,$M70,_xlfn.TEXTBEFORE(Q69,"/",$B70,,,Q69)&amp;"/"&amp;$M70)&amp;IF(_xlfn.TEXTAFTER($D70,"..",,,,1)&lt;&gt;"1","[0]","")</f>
        <v>*/Consignment/countryOfDestination</v>
      </c>
      <c r="T70" s="24" t="s">
        <v>426</v>
      </c>
    </row>
    <row r="71" spans="1:20" ht="12" customHeight="1" outlineLevel="2" x14ac:dyDescent="0.25">
      <c r="A71" s="19" t="str">
        <f>$E$2</f>
        <v>CC013C
CC015C</v>
      </c>
      <c r="B71" s="1">
        <v>2</v>
      </c>
      <c r="C71" s="1" t="s">
        <v>17</v>
      </c>
      <c r="D71" s="19" t="s">
        <v>36</v>
      </c>
      <c r="E71" s="23" t="s">
        <v>190</v>
      </c>
      <c r="F71" s="3" t="s">
        <v>400</v>
      </c>
      <c r="G71" s="24" t="s">
        <v>450</v>
      </c>
      <c r="H71" s="3" t="s">
        <v>721</v>
      </c>
      <c r="I71" s="3" t="s">
        <v>720</v>
      </c>
      <c r="J71" s="3" t="s">
        <v>473</v>
      </c>
      <c r="K71" s="3"/>
      <c r="L71" s="3" t="s">
        <v>719</v>
      </c>
      <c r="M71" s="19" t="s">
        <v>191</v>
      </c>
      <c r="P71" s="19" t="s">
        <v>74</v>
      </c>
      <c r="Q71" s="1" t="str">
        <f>IF($B71=0,$M71,_xlfn.TEXTBEFORE(Q70,"/",$B71,,,Q70)&amp;"/"&amp;$M71)&amp;IF(_xlfn.TEXTAFTER($D71,"..",,,,1)&lt;&gt;"1","[0]","")</f>
        <v>*/Consignment/containerIndicator</v>
      </c>
    </row>
    <row r="72" spans="1:20" ht="12" customHeight="1" outlineLevel="2" x14ac:dyDescent="0.25">
      <c r="A72" s="19" t="str">
        <f>$E$2</f>
        <v>CC013C
CC015C</v>
      </c>
      <c r="B72" s="1">
        <v>2</v>
      </c>
      <c r="C72" s="1" t="s">
        <v>17</v>
      </c>
      <c r="D72" s="19" t="s">
        <v>36</v>
      </c>
      <c r="E72" s="23" t="s">
        <v>192</v>
      </c>
      <c r="F72" s="24" t="s">
        <v>69</v>
      </c>
      <c r="G72" s="24" t="s">
        <v>38</v>
      </c>
      <c r="H72" s="3"/>
      <c r="I72" s="3"/>
      <c r="J72" s="3" t="s">
        <v>723</v>
      </c>
      <c r="K72" s="3"/>
      <c r="L72" s="3" t="s">
        <v>726</v>
      </c>
      <c r="M72" s="19" t="s">
        <v>193</v>
      </c>
      <c r="P72" s="19" t="s">
        <v>194</v>
      </c>
      <c r="Q72" s="1" t="str">
        <f>IF($B72=0,$M72,_xlfn.TEXTBEFORE(Q71,"/",$B72,,,Q71)&amp;"/"&amp;$M72)&amp;IF(_xlfn.TEXTAFTER($D72,"..",,,,1)&lt;&gt;"1","[0]","")</f>
        <v>*/Consignment/inlandModeOfTransport</v>
      </c>
      <c r="T72" s="19" t="s">
        <v>413</v>
      </c>
    </row>
    <row r="73" spans="1:20" ht="12" customHeight="1" outlineLevel="2" x14ac:dyDescent="0.25">
      <c r="A73" s="19" t="str">
        <f>$E$2</f>
        <v>CC013C
CC015C</v>
      </c>
      <c r="B73" s="1">
        <v>2</v>
      </c>
      <c r="C73" s="1" t="s">
        <v>17</v>
      </c>
      <c r="D73" s="19" t="s">
        <v>36</v>
      </c>
      <c r="E73" s="23" t="s">
        <v>195</v>
      </c>
      <c r="F73" s="24" t="s">
        <v>69</v>
      </c>
      <c r="G73" s="24" t="s">
        <v>450</v>
      </c>
      <c r="H73" s="3" t="s">
        <v>725</v>
      </c>
      <c r="I73" s="3" t="s">
        <v>724</v>
      </c>
      <c r="J73" s="3" t="s">
        <v>723</v>
      </c>
      <c r="K73" s="3"/>
      <c r="L73" s="3" t="s">
        <v>722</v>
      </c>
      <c r="M73" s="19" t="s">
        <v>196</v>
      </c>
      <c r="P73" s="19" t="s">
        <v>197</v>
      </c>
      <c r="Q73" s="1" t="str">
        <f>IF($B73=0,$M73,_xlfn.TEXTBEFORE(Q72,"/",$B73,,,Q72)&amp;"/"&amp;$M73)&amp;IF(_xlfn.TEXTAFTER($D73,"..",,,,1)&lt;&gt;"1","[0]","")</f>
        <v>*/Consignment/modeOfTransportAtTheBorder</v>
      </c>
      <c r="T73" s="19" t="s">
        <v>413</v>
      </c>
    </row>
    <row r="74" spans="1:20" ht="12" customHeight="1" outlineLevel="2" x14ac:dyDescent="0.25">
      <c r="A74" s="19" t="str">
        <f>$E$2</f>
        <v>CC013C
CC015C</v>
      </c>
      <c r="B74" s="1">
        <v>2</v>
      </c>
      <c r="C74" s="1" t="s">
        <v>17</v>
      </c>
      <c r="D74" s="19" t="s">
        <v>18</v>
      </c>
      <c r="E74" s="23" t="s">
        <v>198</v>
      </c>
      <c r="F74" s="24" t="s">
        <v>199</v>
      </c>
      <c r="G74" s="24" t="s">
        <v>21</v>
      </c>
      <c r="H74" s="3" t="s">
        <v>693</v>
      </c>
      <c r="I74" s="3"/>
      <c r="J74" s="3"/>
      <c r="K74" s="3"/>
      <c r="L74" s="3" t="s">
        <v>692</v>
      </c>
      <c r="M74" s="19" t="s">
        <v>200</v>
      </c>
      <c r="P74" s="19" t="s">
        <v>201</v>
      </c>
      <c r="Q74" s="1" t="str">
        <f>IF($B74=0,$M74,_xlfn.TEXTBEFORE(Q73,"/",$B74,,,Q73)&amp;"/"&amp;$M74)&amp;IF(_xlfn.TEXTAFTER($D74,"..",,,,1)&lt;&gt;"1","[0]","")</f>
        <v>*/Consignment/grossMass</v>
      </c>
      <c r="T74" s="24" t="s">
        <v>432</v>
      </c>
    </row>
    <row r="75" spans="1:20" ht="12" customHeight="1" outlineLevel="2" x14ac:dyDescent="0.25">
      <c r="A75" s="19" t="str">
        <f>$E$2</f>
        <v>CC013C
CC015C</v>
      </c>
      <c r="B75" s="1">
        <v>2</v>
      </c>
      <c r="C75" s="1" t="s">
        <v>17</v>
      </c>
      <c r="D75" s="19" t="s">
        <v>36</v>
      </c>
      <c r="E75" s="23" t="s">
        <v>202</v>
      </c>
      <c r="F75" s="24" t="s">
        <v>203</v>
      </c>
      <c r="G75" s="24" t="s">
        <v>450</v>
      </c>
      <c r="H75" s="3" t="s">
        <v>523</v>
      </c>
      <c r="I75" s="3" t="s">
        <v>522</v>
      </c>
      <c r="J75" s="3"/>
      <c r="K75" s="3"/>
      <c r="L75" s="3" t="s">
        <v>521</v>
      </c>
      <c r="M75" s="19" t="s">
        <v>204</v>
      </c>
      <c r="P75" s="19" t="s">
        <v>205</v>
      </c>
      <c r="Q75" s="1" t="str">
        <f>IF($B75=0,$M75,_xlfn.TEXTBEFORE(Q74,"/",$B75,,,Q74)&amp;"/"&amp;$M75)&amp;IF(_xlfn.TEXTAFTER($D75,"..",,,,1)&lt;&gt;"1","[0]","")</f>
        <v>*/Consignment/referenceNumberUCR</v>
      </c>
      <c r="T75" s="24" t="s">
        <v>433</v>
      </c>
    </row>
    <row r="76" spans="1:20" ht="12" customHeight="1" outlineLevel="2" x14ac:dyDescent="0.25">
      <c r="A76" s="21" t="str">
        <f>$E$2</f>
        <v>CC013C
CC015C</v>
      </c>
      <c r="B76" s="4">
        <v>2</v>
      </c>
      <c r="C76" s="21" t="s">
        <v>41</v>
      </c>
      <c r="D76" s="21" t="s">
        <v>36</v>
      </c>
      <c r="E76" s="25" t="s">
        <v>206</v>
      </c>
      <c r="F76" s="6"/>
      <c r="G76" s="33" t="s">
        <v>38</v>
      </c>
      <c r="H76" s="6" t="s">
        <v>594</v>
      </c>
      <c r="I76" s="6"/>
      <c r="J76" s="6"/>
      <c r="K76" s="6"/>
      <c r="L76" s="6" t="s">
        <v>588</v>
      </c>
      <c r="M76" s="21" t="s">
        <v>206</v>
      </c>
      <c r="N76" s="4"/>
      <c r="O76" s="4"/>
      <c r="P76" s="4"/>
      <c r="Q76" s="1" t="str">
        <f>IF($B76=0,$M76,_xlfn.TEXTBEFORE(Q75,"/",$B76,,,Q75)&amp;"/"&amp;$M76)&amp;IF(_xlfn.TEXTAFTER($D76,"..",,,,1)&lt;&gt;"1","[0]","")</f>
        <v>*/Consignment/Carrier</v>
      </c>
    </row>
    <row r="77" spans="1:20" ht="12" customHeight="1" outlineLevel="3" x14ac:dyDescent="0.25">
      <c r="A77" s="19" t="str">
        <f>$E$2</f>
        <v>CC013C
CC015C</v>
      </c>
      <c r="B77" s="1">
        <v>3</v>
      </c>
      <c r="C77" s="1" t="s">
        <v>17</v>
      </c>
      <c r="D77" s="19" t="s">
        <v>18</v>
      </c>
      <c r="E77" s="26" t="s">
        <v>119</v>
      </c>
      <c r="F77" s="3" t="s">
        <v>401</v>
      </c>
      <c r="G77" s="24" t="s">
        <v>21</v>
      </c>
      <c r="H77" s="3" t="s">
        <v>595</v>
      </c>
      <c r="I77" s="3"/>
      <c r="J77" s="3"/>
      <c r="K77" s="3"/>
      <c r="L77" s="3" t="s">
        <v>589</v>
      </c>
      <c r="M77" s="19" t="s">
        <v>121</v>
      </c>
      <c r="P77" s="19" t="s">
        <v>207</v>
      </c>
      <c r="Q77" s="1" t="str">
        <f>IF($B77=0,$M77,_xlfn.TEXTBEFORE(Q76,"/",$B77,,,Q76)&amp;"/"&amp;$M77)&amp;IF(_xlfn.TEXTAFTER($D77,"..",,,,1)&lt;&gt;"1","[0]","")</f>
        <v>*/Consignment/Carrier/identificationNumber</v>
      </c>
      <c r="T77" s="24" t="s">
        <v>434</v>
      </c>
    </row>
    <row r="78" spans="1:20" ht="12" customHeight="1" outlineLevel="3" x14ac:dyDescent="0.25">
      <c r="A78" s="21" t="str">
        <f>$E$2</f>
        <v>CC013C
CC015C</v>
      </c>
      <c r="B78" s="4">
        <v>3</v>
      </c>
      <c r="C78" s="21" t="s">
        <v>41</v>
      </c>
      <c r="D78" s="21" t="s">
        <v>36</v>
      </c>
      <c r="E78" s="27" t="s">
        <v>143</v>
      </c>
      <c r="F78" s="6"/>
      <c r="G78" s="33" t="s">
        <v>38</v>
      </c>
      <c r="H78" s="6" t="s">
        <v>549</v>
      </c>
      <c r="I78" s="6"/>
      <c r="J78" s="6"/>
      <c r="K78" s="6"/>
      <c r="L78" s="6" t="s">
        <v>590</v>
      </c>
      <c r="M78" s="21" t="s">
        <v>144</v>
      </c>
      <c r="N78" s="4"/>
      <c r="O78" s="4"/>
      <c r="P78" s="4"/>
      <c r="Q78" s="1" t="str">
        <f>IF($B78=0,$M78,_xlfn.TEXTBEFORE(Q77,"/",$B78,,,Q77)&amp;"/"&amp;$M78)&amp;IF(_xlfn.TEXTAFTER($D78,"..",,,,1)&lt;&gt;"1","[0]","")</f>
        <v>*/Consignment/Carrier/ContactPerson</v>
      </c>
    </row>
    <row r="79" spans="1:20" ht="12" customHeight="1" outlineLevel="4" x14ac:dyDescent="0.25">
      <c r="A79" s="19" t="str">
        <f>$E$2</f>
        <v>CC013C
CC015C</v>
      </c>
      <c r="B79" s="1">
        <v>4</v>
      </c>
      <c r="C79" s="1" t="s">
        <v>17</v>
      </c>
      <c r="D79" s="19" t="s">
        <v>18</v>
      </c>
      <c r="E79" s="28" t="s">
        <v>4</v>
      </c>
      <c r="F79" s="24" t="s">
        <v>126</v>
      </c>
      <c r="G79" s="24" t="s">
        <v>21</v>
      </c>
      <c r="H79" s="3"/>
      <c r="I79" s="3"/>
      <c r="J79" s="3"/>
      <c r="K79" s="3"/>
      <c r="L79" s="3" t="s">
        <v>591</v>
      </c>
      <c r="M79" s="19" t="s">
        <v>127</v>
      </c>
      <c r="P79" s="19" t="s">
        <v>128</v>
      </c>
      <c r="Q79" s="1" t="str">
        <f>IF($B79=0,$M79,_xlfn.TEXTBEFORE(Q78,"/",$B79,,,Q78)&amp;"/"&amp;$M79)&amp;IF(_xlfn.TEXTAFTER($D79,"..",,,,1)&lt;&gt;"1","[0]","")</f>
        <v>*/Consignment/Carrier/ContactPerson/name</v>
      </c>
      <c r="T79" s="24" t="s">
        <v>425</v>
      </c>
    </row>
    <row r="80" spans="1:20" ht="12" customHeight="1" outlineLevel="4" x14ac:dyDescent="0.25">
      <c r="A80" s="19" t="str">
        <f>$E$2</f>
        <v>CC013C
CC015C</v>
      </c>
      <c r="B80" s="1">
        <v>4</v>
      </c>
      <c r="C80" s="1" t="s">
        <v>17</v>
      </c>
      <c r="D80" s="19" t="s">
        <v>18</v>
      </c>
      <c r="E80" s="28" t="s">
        <v>145</v>
      </c>
      <c r="F80" s="24" t="s">
        <v>20</v>
      </c>
      <c r="G80" s="24" t="s">
        <v>21</v>
      </c>
      <c r="H80" s="3"/>
      <c r="I80" s="3"/>
      <c r="J80" s="3"/>
      <c r="K80" s="3"/>
      <c r="L80" s="3" t="s">
        <v>592</v>
      </c>
      <c r="M80" s="19" t="s">
        <v>146</v>
      </c>
      <c r="P80" s="19" t="s">
        <v>147</v>
      </c>
      <c r="Q80" s="1" t="str">
        <f>IF($B80=0,$M80,_xlfn.TEXTBEFORE(Q79,"/",$B80,,,Q79)&amp;"/"&amp;$M80)&amp;IF(_xlfn.TEXTAFTER($D80,"..",,,,1)&lt;&gt;"1","[0]","")</f>
        <v>*/Consignment/Carrier/ContactPerson/phoneNumber</v>
      </c>
      <c r="T80" s="19" t="s">
        <v>413</v>
      </c>
    </row>
    <row r="81" spans="1:20" ht="12" customHeight="1" outlineLevel="4" x14ac:dyDescent="0.25">
      <c r="A81" s="19" t="str">
        <f>$E$2</f>
        <v>CC013C
CC015C</v>
      </c>
      <c r="B81" s="1">
        <v>4</v>
      </c>
      <c r="C81" s="1" t="s">
        <v>17</v>
      </c>
      <c r="D81" s="19" t="s">
        <v>36</v>
      </c>
      <c r="E81" s="28" t="s">
        <v>148</v>
      </c>
      <c r="F81" s="24" t="s">
        <v>149</v>
      </c>
      <c r="G81" s="24" t="s">
        <v>38</v>
      </c>
      <c r="H81" s="3" t="s">
        <v>458</v>
      </c>
      <c r="I81" s="3"/>
      <c r="J81" s="3"/>
      <c r="K81" s="3"/>
      <c r="L81" s="3" t="s">
        <v>593</v>
      </c>
      <c r="M81" s="19" t="s">
        <v>150</v>
      </c>
      <c r="P81" s="19" t="s">
        <v>151</v>
      </c>
      <c r="Q81" s="1" t="str">
        <f>IF($B81=0,$M81,_xlfn.TEXTBEFORE(Q80,"/",$B81,,,Q80)&amp;"/"&amp;$M81)&amp;IF(_xlfn.TEXTAFTER($D81,"..",,,,1)&lt;&gt;"1","[0]","")</f>
        <v>*/Consignment/Carrier/ContactPerson/eMailAddress</v>
      </c>
      <c r="T81" s="24" t="s">
        <v>427</v>
      </c>
    </row>
    <row r="82" spans="1:20" ht="12" customHeight="1" outlineLevel="2" x14ac:dyDescent="0.25">
      <c r="A82" s="21" t="str">
        <f>$E$2</f>
        <v>CC013C
CC015C</v>
      </c>
      <c r="B82" s="4">
        <v>2</v>
      </c>
      <c r="C82" s="21" t="s">
        <v>41</v>
      </c>
      <c r="D82" s="21" t="s">
        <v>36</v>
      </c>
      <c r="E82" s="25" t="s">
        <v>208</v>
      </c>
      <c r="F82" s="6"/>
      <c r="G82" s="33" t="s">
        <v>450</v>
      </c>
      <c r="H82" s="6" t="s">
        <v>539</v>
      </c>
      <c r="I82" s="6" t="s">
        <v>538</v>
      </c>
      <c r="J82" s="6"/>
      <c r="K82" s="6"/>
      <c r="L82" s="6" t="s">
        <v>534</v>
      </c>
      <c r="M82" s="21" t="s">
        <v>208</v>
      </c>
      <c r="N82" s="4"/>
      <c r="O82" s="4"/>
      <c r="P82" s="4"/>
      <c r="Q82" s="1" t="str">
        <f>IF($B82=0,$M82,_xlfn.TEXTBEFORE(Q81,"/",$B82,,,Q81)&amp;"/"&amp;$M82)&amp;IF(_xlfn.TEXTAFTER($D82,"..",,,,1)&lt;&gt;"1","[0]","")</f>
        <v>*/Consignment/Consignor</v>
      </c>
    </row>
    <row r="83" spans="1:20" ht="12" customHeight="1" outlineLevel="3" x14ac:dyDescent="0.25">
      <c r="A83" s="19" t="str">
        <f>$E$2</f>
        <v>CC013C
CC015C</v>
      </c>
      <c r="B83" s="1">
        <v>3</v>
      </c>
      <c r="C83" s="1" t="s">
        <v>17</v>
      </c>
      <c r="D83" s="19" t="s">
        <v>36</v>
      </c>
      <c r="E83" s="26" t="s">
        <v>119</v>
      </c>
      <c r="F83" s="24" t="s">
        <v>120</v>
      </c>
      <c r="G83" s="24" t="s">
        <v>38</v>
      </c>
      <c r="H83" s="3" t="s">
        <v>537</v>
      </c>
      <c r="I83" s="3"/>
      <c r="J83" s="3"/>
      <c r="K83" s="3"/>
      <c r="L83" s="3" t="s">
        <v>535</v>
      </c>
      <c r="M83" s="19" t="s">
        <v>121</v>
      </c>
      <c r="P83" s="19" t="s">
        <v>122</v>
      </c>
      <c r="Q83" s="1" t="str">
        <f>IF($B83=0,$M83,_xlfn.TEXTBEFORE(Q82,"/",$B83,,,Q82)&amp;"/"&amp;$M83)&amp;IF(_xlfn.TEXTAFTER($D83,"..",,,,1)&lt;&gt;"1","[0]","")</f>
        <v>*/Consignment/Consignor/identificationNumber</v>
      </c>
      <c r="T83" s="24" t="s">
        <v>424</v>
      </c>
    </row>
    <row r="84" spans="1:20" ht="12" customHeight="1" outlineLevel="3" x14ac:dyDescent="0.25">
      <c r="A84" s="19" t="str">
        <f>$E$2</f>
        <v>CC013C
CC015C</v>
      </c>
      <c r="B84" s="1">
        <v>3</v>
      </c>
      <c r="C84" s="1" t="s">
        <v>17</v>
      </c>
      <c r="D84" s="19" t="s">
        <v>36</v>
      </c>
      <c r="E84" s="26" t="s">
        <v>4</v>
      </c>
      <c r="F84" s="24" t="s">
        <v>126</v>
      </c>
      <c r="G84" s="24" t="s">
        <v>450</v>
      </c>
      <c r="H84" s="3"/>
      <c r="I84" s="3" t="s">
        <v>541</v>
      </c>
      <c r="J84" s="3"/>
      <c r="K84" s="3"/>
      <c r="L84" s="3" t="s">
        <v>536</v>
      </c>
      <c r="M84" s="19" t="s">
        <v>127</v>
      </c>
      <c r="P84" s="19" t="s">
        <v>128</v>
      </c>
      <c r="Q84" s="1" t="str">
        <f>IF($B84=0,$M84,_xlfn.TEXTBEFORE(Q83,"/",$B84,,,Q83)&amp;"/"&amp;$M84)&amp;IF(_xlfn.TEXTAFTER($D84,"..",,,,1)&lt;&gt;"1","[0]","")</f>
        <v>*/Consignment/Consignor/name</v>
      </c>
      <c r="T84" s="24" t="s">
        <v>425</v>
      </c>
    </row>
    <row r="85" spans="1:20" ht="12" customHeight="1" outlineLevel="3" x14ac:dyDescent="0.25">
      <c r="A85" s="21" t="str">
        <f>$E$2</f>
        <v>CC013C
CC015C</v>
      </c>
      <c r="B85" s="4">
        <v>3</v>
      </c>
      <c r="C85" s="21" t="s">
        <v>41</v>
      </c>
      <c r="D85" s="21" t="s">
        <v>36</v>
      </c>
      <c r="E85" s="27" t="s">
        <v>129</v>
      </c>
      <c r="F85" s="6"/>
      <c r="G85" s="33" t="s">
        <v>450</v>
      </c>
      <c r="H85" s="6"/>
      <c r="I85" s="6" t="s">
        <v>541</v>
      </c>
      <c r="J85" s="6"/>
      <c r="K85" s="6"/>
      <c r="L85" s="6" t="s">
        <v>540</v>
      </c>
      <c r="M85" s="21" t="s">
        <v>129</v>
      </c>
      <c r="N85" s="4"/>
      <c r="O85" s="4"/>
      <c r="P85" s="4"/>
      <c r="Q85" s="1" t="str">
        <f>IF($B85=0,$M85,_xlfn.TEXTBEFORE(Q84,"/",$B85,,,Q84)&amp;"/"&amp;$M85)&amp;IF(_xlfn.TEXTAFTER($D85,"..",,,,1)&lt;&gt;"1","[0]","")</f>
        <v>*/Consignment/Consignor/Address</v>
      </c>
    </row>
    <row r="86" spans="1:20" ht="12" customHeight="1" outlineLevel="4" x14ac:dyDescent="0.25">
      <c r="A86" s="19" t="str">
        <f>$E$2</f>
        <v>CC013C
CC015C</v>
      </c>
      <c r="B86" s="1">
        <v>4</v>
      </c>
      <c r="C86" s="1" t="s">
        <v>17</v>
      </c>
      <c r="D86" s="19" t="s">
        <v>18</v>
      </c>
      <c r="E86" s="28" t="s">
        <v>130</v>
      </c>
      <c r="F86" s="24" t="s">
        <v>126</v>
      </c>
      <c r="G86" s="24" t="s">
        <v>21</v>
      </c>
      <c r="H86" s="3"/>
      <c r="I86" s="3"/>
      <c r="J86" s="3"/>
      <c r="K86" s="3"/>
      <c r="L86" s="3" t="s">
        <v>542</v>
      </c>
      <c r="M86" s="19" t="s">
        <v>131</v>
      </c>
      <c r="P86" s="19" t="s">
        <v>132</v>
      </c>
      <c r="Q86" s="1" t="str">
        <f>IF($B86=0,$M86,_xlfn.TEXTBEFORE(Q85,"/",$B86,,,Q85)&amp;"/"&amp;$M86)&amp;IF(_xlfn.TEXTAFTER($D86,"..",,,,1)&lt;&gt;"1","[0]","")</f>
        <v>*/Consignment/Consignor/Address/streetAndNumber</v>
      </c>
      <c r="T86" s="24" t="s">
        <v>425</v>
      </c>
    </row>
    <row r="87" spans="1:20" ht="12" customHeight="1" outlineLevel="4" x14ac:dyDescent="0.25">
      <c r="A87" s="19" t="str">
        <f>$E$2</f>
        <v>CC013C
CC015C</v>
      </c>
      <c r="B87" s="1">
        <v>4</v>
      </c>
      <c r="C87" s="1" t="s">
        <v>17</v>
      </c>
      <c r="D87" s="19" t="s">
        <v>36</v>
      </c>
      <c r="E87" s="28" t="s">
        <v>133</v>
      </c>
      <c r="F87" s="24" t="s">
        <v>120</v>
      </c>
      <c r="G87" s="24" t="s">
        <v>450</v>
      </c>
      <c r="H87" s="3"/>
      <c r="I87" s="3" t="s">
        <v>544</v>
      </c>
      <c r="J87" s="3"/>
      <c r="K87" s="3"/>
      <c r="L87" s="3" t="s">
        <v>543</v>
      </c>
      <c r="M87" s="19" t="s">
        <v>134</v>
      </c>
      <c r="P87" s="19" t="s">
        <v>135</v>
      </c>
      <c r="Q87" s="1" t="str">
        <f>IF($B87=0,$M87,_xlfn.TEXTBEFORE(Q86,"/",$B87,,,Q86)&amp;"/"&amp;$M87)&amp;IF(_xlfn.TEXTAFTER($D87,"..",,,,1)&lt;&gt;"1","[0]","")</f>
        <v>*/Consignment/Consignor/Address/postcode</v>
      </c>
      <c r="T87" s="24" t="s">
        <v>424</v>
      </c>
    </row>
    <row r="88" spans="1:20" ht="12" customHeight="1" outlineLevel="4" x14ac:dyDescent="0.25">
      <c r="A88" s="19" t="str">
        <f>$E$2</f>
        <v>CC013C
CC015C</v>
      </c>
      <c r="B88" s="1">
        <v>4</v>
      </c>
      <c r="C88" s="1" t="s">
        <v>17</v>
      </c>
      <c r="D88" s="19" t="s">
        <v>18</v>
      </c>
      <c r="E88" s="28" t="s">
        <v>136</v>
      </c>
      <c r="F88" s="24" t="s">
        <v>101</v>
      </c>
      <c r="G88" s="24" t="s">
        <v>21</v>
      </c>
      <c r="H88" s="3"/>
      <c r="I88" s="3"/>
      <c r="J88" s="3"/>
      <c r="K88" s="3"/>
      <c r="L88" s="3" t="s">
        <v>545</v>
      </c>
      <c r="M88" s="19" t="s">
        <v>137</v>
      </c>
      <c r="P88" s="19" t="s">
        <v>138</v>
      </c>
      <c r="Q88" s="1" t="str">
        <f>IF($B88=0,$M88,_xlfn.TEXTBEFORE(Q87,"/",$B88,,,Q87)&amp;"/"&amp;$M88)&amp;IF(_xlfn.TEXTAFTER($D88,"..",,,,1)&lt;&gt;"1","[0]","")</f>
        <v>*/Consignment/Consignor/Address/city</v>
      </c>
      <c r="T88" s="24" t="s">
        <v>422</v>
      </c>
    </row>
    <row r="89" spans="1:20" ht="12" customHeight="1" outlineLevel="4" x14ac:dyDescent="0.25">
      <c r="A89" s="19" t="str">
        <f>$E$2</f>
        <v>CC013C
CC015C</v>
      </c>
      <c r="B89" s="1">
        <v>4</v>
      </c>
      <c r="C89" s="1" t="s">
        <v>17</v>
      </c>
      <c r="D89" s="19" t="s">
        <v>18</v>
      </c>
      <c r="E89" s="28" t="s">
        <v>139</v>
      </c>
      <c r="F89" s="3" t="s">
        <v>140</v>
      </c>
      <c r="G89" s="24" t="s">
        <v>21</v>
      </c>
      <c r="H89" s="3"/>
      <c r="I89" s="3"/>
      <c r="J89" s="3" t="s">
        <v>547</v>
      </c>
      <c r="K89" s="3"/>
      <c r="L89" s="3" t="s">
        <v>546</v>
      </c>
      <c r="M89" s="19" t="s">
        <v>141</v>
      </c>
      <c r="P89" s="19" t="s">
        <v>142</v>
      </c>
      <c r="Q89" s="1" t="str">
        <f>IF($B89=0,$M89,_xlfn.TEXTBEFORE(Q88,"/",$B89,,,Q88)&amp;"/"&amp;$M89)&amp;IF(_xlfn.TEXTAFTER($D89,"..",,,,1)&lt;&gt;"1","[0]","")</f>
        <v>*/Consignment/Consignor/Address/country</v>
      </c>
      <c r="T89" s="24" t="s">
        <v>426</v>
      </c>
    </row>
    <row r="90" spans="1:20" ht="12" customHeight="1" outlineLevel="3" x14ac:dyDescent="0.25">
      <c r="A90" s="21" t="str">
        <f>$E$2</f>
        <v>CC013C
CC015C</v>
      </c>
      <c r="B90" s="4">
        <v>3</v>
      </c>
      <c r="C90" s="21" t="s">
        <v>41</v>
      </c>
      <c r="D90" s="21" t="s">
        <v>36</v>
      </c>
      <c r="E90" s="27" t="s">
        <v>143</v>
      </c>
      <c r="F90" s="6"/>
      <c r="G90" s="33" t="s">
        <v>38</v>
      </c>
      <c r="H90" s="6" t="s">
        <v>549</v>
      </c>
      <c r="I90" s="6"/>
      <c r="J90" s="6"/>
      <c r="K90" s="6"/>
      <c r="L90" s="6" t="s">
        <v>548</v>
      </c>
      <c r="M90" s="21" t="s">
        <v>144</v>
      </c>
      <c r="N90" s="4"/>
      <c r="O90" s="4"/>
      <c r="P90" s="4"/>
      <c r="Q90" s="1" t="str">
        <f>IF($B90=0,$M90,_xlfn.TEXTBEFORE(Q89,"/",$B90,,,Q89)&amp;"/"&amp;$M90)&amp;IF(_xlfn.TEXTAFTER($D90,"..",,,,1)&lt;&gt;"1","[0]","")</f>
        <v>*/Consignment/Consignor/ContactPerson</v>
      </c>
    </row>
    <row r="91" spans="1:20" ht="12" customHeight="1" outlineLevel="4" x14ac:dyDescent="0.25">
      <c r="A91" s="19" t="str">
        <f>$E$2</f>
        <v>CC013C
CC015C</v>
      </c>
      <c r="B91" s="1">
        <v>4</v>
      </c>
      <c r="C91" s="1" t="s">
        <v>17</v>
      </c>
      <c r="D91" s="19" t="s">
        <v>18</v>
      </c>
      <c r="E91" s="28" t="s">
        <v>4</v>
      </c>
      <c r="F91" s="24" t="s">
        <v>126</v>
      </c>
      <c r="G91" s="24" t="s">
        <v>21</v>
      </c>
      <c r="H91" s="3"/>
      <c r="I91" s="3"/>
      <c r="J91" s="3"/>
      <c r="K91" s="3"/>
      <c r="L91" s="3" t="s">
        <v>550</v>
      </c>
      <c r="M91" s="19" t="s">
        <v>127</v>
      </c>
      <c r="P91" s="19" t="s">
        <v>128</v>
      </c>
      <c r="Q91" s="1" t="str">
        <f>IF($B91=0,$M91,_xlfn.TEXTBEFORE(Q90,"/",$B91,,,Q90)&amp;"/"&amp;$M91)&amp;IF(_xlfn.TEXTAFTER($D91,"..",,,,1)&lt;&gt;"1","[0]","")</f>
        <v>*/Consignment/Consignor/ContactPerson/name</v>
      </c>
      <c r="T91" s="24" t="s">
        <v>425</v>
      </c>
    </row>
    <row r="92" spans="1:20" ht="12" customHeight="1" outlineLevel="4" x14ac:dyDescent="0.25">
      <c r="A92" s="19" t="str">
        <f>$E$2</f>
        <v>CC013C
CC015C</v>
      </c>
      <c r="B92" s="1">
        <v>4</v>
      </c>
      <c r="C92" s="1" t="s">
        <v>17</v>
      </c>
      <c r="D92" s="19" t="s">
        <v>18</v>
      </c>
      <c r="E92" s="28" t="s">
        <v>145</v>
      </c>
      <c r="F92" s="24" t="s">
        <v>20</v>
      </c>
      <c r="G92" s="24" t="s">
        <v>21</v>
      </c>
      <c r="H92" s="3"/>
      <c r="I92" s="3"/>
      <c r="J92" s="3"/>
      <c r="K92" s="3"/>
      <c r="L92" s="3" t="s">
        <v>551</v>
      </c>
      <c r="M92" s="19" t="s">
        <v>146</v>
      </c>
      <c r="P92" s="19" t="s">
        <v>147</v>
      </c>
      <c r="Q92" s="1" t="str">
        <f>IF($B92=0,$M92,_xlfn.TEXTBEFORE(Q91,"/",$B92,,,Q91)&amp;"/"&amp;$M92)&amp;IF(_xlfn.TEXTAFTER($D92,"..",,,,1)&lt;&gt;"1","[0]","")</f>
        <v>*/Consignment/Consignor/ContactPerson/phoneNumber</v>
      </c>
      <c r="T92" s="19" t="s">
        <v>413</v>
      </c>
    </row>
    <row r="93" spans="1:20" ht="12" customHeight="1" outlineLevel="4" x14ac:dyDescent="0.25">
      <c r="A93" s="19" t="str">
        <f>$E$2</f>
        <v>CC013C
CC015C</v>
      </c>
      <c r="B93" s="1">
        <v>4</v>
      </c>
      <c r="C93" s="1" t="s">
        <v>17</v>
      </c>
      <c r="D93" s="19" t="s">
        <v>36</v>
      </c>
      <c r="E93" s="28" t="s">
        <v>148</v>
      </c>
      <c r="F93" s="24" t="s">
        <v>149</v>
      </c>
      <c r="G93" s="24" t="s">
        <v>38</v>
      </c>
      <c r="H93" s="3" t="s">
        <v>458</v>
      </c>
      <c r="I93" s="3"/>
      <c r="J93" s="3"/>
      <c r="K93" s="3"/>
      <c r="L93" s="3" t="s">
        <v>552</v>
      </c>
      <c r="M93" s="19" t="s">
        <v>150</v>
      </c>
      <c r="P93" s="19" t="s">
        <v>151</v>
      </c>
      <c r="Q93" s="1" t="str">
        <f>IF($B93=0,$M93,_xlfn.TEXTBEFORE(Q92,"/",$B93,,,Q92)&amp;"/"&amp;$M93)&amp;IF(_xlfn.TEXTAFTER($D93,"..",,,,1)&lt;&gt;"1","[0]","")</f>
        <v>*/Consignment/Consignor/ContactPerson/eMailAddress</v>
      </c>
      <c r="T93" s="24" t="s">
        <v>427</v>
      </c>
    </row>
    <row r="94" spans="1:20" ht="12" customHeight="1" outlineLevel="2" x14ac:dyDescent="0.25">
      <c r="A94" s="21" t="str">
        <f>$E$2</f>
        <v>CC013C
CC015C</v>
      </c>
      <c r="B94" s="4">
        <v>2</v>
      </c>
      <c r="C94" s="21" t="s">
        <v>41</v>
      </c>
      <c r="D94" s="21" t="s">
        <v>36</v>
      </c>
      <c r="E94" s="25" t="s">
        <v>209</v>
      </c>
      <c r="F94" s="6"/>
      <c r="G94" s="33" t="s">
        <v>450</v>
      </c>
      <c r="H94" s="6" t="s">
        <v>557</v>
      </c>
      <c r="I94" s="6" t="s">
        <v>556</v>
      </c>
      <c r="J94" s="6"/>
      <c r="K94" s="6"/>
      <c r="L94" s="6" t="s">
        <v>553</v>
      </c>
      <c r="M94" s="21" t="s">
        <v>209</v>
      </c>
      <c r="N94" s="4"/>
      <c r="O94" s="4"/>
      <c r="P94" s="4"/>
      <c r="Q94" s="1" t="str">
        <f>IF($B94=0,$M94,_xlfn.TEXTBEFORE(Q93,"/",$B94,,,Q93)&amp;"/"&amp;$M94)&amp;IF(_xlfn.TEXTAFTER($D94,"..",,,,1)&lt;&gt;"1","[0]","")</f>
        <v>*/Consignment/Consignee</v>
      </c>
    </row>
    <row r="95" spans="1:20" ht="12" customHeight="1" outlineLevel="3" x14ac:dyDescent="0.25">
      <c r="A95" s="19" t="str">
        <f>$E$2</f>
        <v>CC013C
CC015C</v>
      </c>
      <c r="B95" s="1">
        <v>3</v>
      </c>
      <c r="C95" s="1" t="s">
        <v>17</v>
      </c>
      <c r="D95" s="19" t="s">
        <v>36</v>
      </c>
      <c r="E95" s="26" t="s">
        <v>119</v>
      </c>
      <c r="F95" s="24" t="s">
        <v>120</v>
      </c>
      <c r="G95" s="24" t="s">
        <v>38</v>
      </c>
      <c r="H95" s="3" t="s">
        <v>558</v>
      </c>
      <c r="I95" s="3"/>
      <c r="J95" s="3"/>
      <c r="K95" s="3"/>
      <c r="L95" s="3" t="s">
        <v>554</v>
      </c>
      <c r="M95" s="19" t="s">
        <v>121</v>
      </c>
      <c r="P95" s="19" t="s">
        <v>122</v>
      </c>
      <c r="Q95" s="1" t="str">
        <f>IF($B95=0,$M95,_xlfn.TEXTBEFORE(Q94,"/",$B95,,,Q94)&amp;"/"&amp;$M95)&amp;IF(_xlfn.TEXTAFTER($D95,"..",,,,1)&lt;&gt;"1","[0]","")</f>
        <v>*/Consignment/Consignee/identificationNumber</v>
      </c>
      <c r="T95" s="24" t="s">
        <v>424</v>
      </c>
    </row>
    <row r="96" spans="1:20" ht="12" customHeight="1" outlineLevel="3" x14ac:dyDescent="0.25">
      <c r="A96" s="19" t="str">
        <f>$E$2</f>
        <v>CC013C
CC015C</v>
      </c>
      <c r="B96" s="1">
        <v>3</v>
      </c>
      <c r="C96" s="1" t="s">
        <v>17</v>
      </c>
      <c r="D96" s="19" t="s">
        <v>36</v>
      </c>
      <c r="E96" s="26" t="s">
        <v>4</v>
      </c>
      <c r="F96" s="24" t="s">
        <v>126</v>
      </c>
      <c r="G96" s="24" t="s">
        <v>450</v>
      </c>
      <c r="H96" s="3"/>
      <c r="I96" s="3" t="s">
        <v>541</v>
      </c>
      <c r="J96" s="3"/>
      <c r="K96" s="3"/>
      <c r="L96" s="3" t="s">
        <v>555</v>
      </c>
      <c r="M96" s="19" t="s">
        <v>127</v>
      </c>
      <c r="P96" s="19" t="s">
        <v>128</v>
      </c>
      <c r="Q96" s="1" t="str">
        <f>IF($B96=0,$M96,_xlfn.TEXTBEFORE(Q95,"/",$B96,,,Q95)&amp;"/"&amp;$M96)&amp;IF(_xlfn.TEXTAFTER($D96,"..",,,,1)&lt;&gt;"1","[0]","")</f>
        <v>*/Consignment/Consignee/name</v>
      </c>
      <c r="T96" s="24" t="s">
        <v>425</v>
      </c>
    </row>
    <row r="97" spans="1:20" ht="12" customHeight="1" outlineLevel="3" x14ac:dyDescent="0.25">
      <c r="A97" s="21" t="str">
        <f>$E$2</f>
        <v>CC013C
CC015C</v>
      </c>
      <c r="B97" s="4">
        <v>3</v>
      </c>
      <c r="C97" s="21" t="s">
        <v>41</v>
      </c>
      <c r="D97" s="21" t="s">
        <v>36</v>
      </c>
      <c r="E97" s="27" t="s">
        <v>129</v>
      </c>
      <c r="F97" s="6"/>
      <c r="G97" s="33" t="s">
        <v>450</v>
      </c>
      <c r="H97" s="6"/>
      <c r="I97" s="6" t="s">
        <v>541</v>
      </c>
      <c r="J97" s="6"/>
      <c r="K97" s="6"/>
      <c r="L97" s="6" t="s">
        <v>559</v>
      </c>
      <c r="M97" s="21" t="s">
        <v>129</v>
      </c>
      <c r="N97" s="4"/>
      <c r="O97" s="4"/>
      <c r="P97" s="4"/>
      <c r="Q97" s="1" t="str">
        <f>IF($B97=0,$M97,_xlfn.TEXTBEFORE(Q96,"/",$B97,,,Q96)&amp;"/"&amp;$M97)&amp;IF(_xlfn.TEXTAFTER($D97,"..",,,,1)&lt;&gt;"1","[0]","")</f>
        <v>*/Consignment/Consignee/Address</v>
      </c>
    </row>
    <row r="98" spans="1:20" ht="12" customHeight="1" outlineLevel="4" x14ac:dyDescent="0.25">
      <c r="A98" s="19" t="str">
        <f>$E$2</f>
        <v>CC013C
CC015C</v>
      </c>
      <c r="B98" s="1">
        <v>4</v>
      </c>
      <c r="C98" s="1" t="s">
        <v>17</v>
      </c>
      <c r="D98" s="19" t="s">
        <v>18</v>
      </c>
      <c r="E98" s="28" t="s">
        <v>130</v>
      </c>
      <c r="F98" s="24" t="s">
        <v>126</v>
      </c>
      <c r="G98" s="24" t="s">
        <v>21</v>
      </c>
      <c r="H98" s="3"/>
      <c r="I98" s="3"/>
      <c r="J98" s="3"/>
      <c r="K98" s="3"/>
      <c r="L98" s="3" t="s">
        <v>560</v>
      </c>
      <c r="M98" s="19" t="s">
        <v>131</v>
      </c>
      <c r="P98" s="19" t="s">
        <v>132</v>
      </c>
      <c r="Q98" s="1" t="str">
        <f>IF($B98=0,$M98,_xlfn.TEXTBEFORE(Q97,"/",$B98,,,Q97)&amp;"/"&amp;$M98)&amp;IF(_xlfn.TEXTAFTER($D98,"..",,,,1)&lt;&gt;"1","[0]","")</f>
        <v>*/Consignment/Consignee/Address/streetAndNumber</v>
      </c>
      <c r="T98" s="24" t="s">
        <v>425</v>
      </c>
    </row>
    <row r="99" spans="1:20" ht="12" customHeight="1" outlineLevel="4" x14ac:dyDescent="0.25">
      <c r="A99" s="19" t="str">
        <f>$E$2</f>
        <v>CC013C
CC015C</v>
      </c>
      <c r="B99" s="1">
        <v>4</v>
      </c>
      <c r="C99" s="1" t="s">
        <v>17</v>
      </c>
      <c r="D99" s="19" t="s">
        <v>36</v>
      </c>
      <c r="E99" s="28" t="s">
        <v>133</v>
      </c>
      <c r="F99" s="24" t="s">
        <v>120</v>
      </c>
      <c r="G99" s="24" t="s">
        <v>450</v>
      </c>
      <c r="H99" s="3"/>
      <c r="I99" s="3" t="s">
        <v>544</v>
      </c>
      <c r="J99" s="3"/>
      <c r="K99" s="3"/>
      <c r="L99" s="3" t="s">
        <v>561</v>
      </c>
      <c r="M99" s="19" t="s">
        <v>134</v>
      </c>
      <c r="P99" s="19" t="s">
        <v>135</v>
      </c>
      <c r="Q99" s="1" t="str">
        <f>IF($B99=0,$M99,_xlfn.TEXTBEFORE(Q98,"/",$B99,,,Q98)&amp;"/"&amp;$M99)&amp;IF(_xlfn.TEXTAFTER($D99,"..",,,,1)&lt;&gt;"1","[0]","")</f>
        <v>*/Consignment/Consignee/Address/postcode</v>
      </c>
      <c r="T99" s="24" t="s">
        <v>424</v>
      </c>
    </row>
    <row r="100" spans="1:20" ht="12" customHeight="1" outlineLevel="4" x14ac:dyDescent="0.25">
      <c r="A100" s="19" t="str">
        <f>$E$2</f>
        <v>CC013C
CC015C</v>
      </c>
      <c r="B100" s="1">
        <v>4</v>
      </c>
      <c r="C100" s="1" t="s">
        <v>17</v>
      </c>
      <c r="D100" s="19" t="s">
        <v>18</v>
      </c>
      <c r="E100" s="28" t="s">
        <v>136</v>
      </c>
      <c r="F100" s="24" t="s">
        <v>101</v>
      </c>
      <c r="G100" s="24" t="s">
        <v>21</v>
      </c>
      <c r="H100" s="3"/>
      <c r="I100" s="3"/>
      <c r="J100" s="3"/>
      <c r="K100" s="3"/>
      <c r="L100" s="3" t="s">
        <v>562</v>
      </c>
      <c r="M100" s="19" t="s">
        <v>137</v>
      </c>
      <c r="P100" s="19" t="s">
        <v>138</v>
      </c>
      <c r="Q100" s="1" t="str">
        <f>IF($B100=0,$M100,_xlfn.TEXTBEFORE(Q99,"/",$B100,,,Q99)&amp;"/"&amp;$M100)&amp;IF(_xlfn.TEXTAFTER($D100,"..",,,,1)&lt;&gt;"1","[0]","")</f>
        <v>*/Consignment/Consignee/Address/city</v>
      </c>
      <c r="T100" s="24" t="s">
        <v>422</v>
      </c>
    </row>
    <row r="101" spans="1:20" ht="12" customHeight="1" outlineLevel="4" x14ac:dyDescent="0.25">
      <c r="A101" s="19" t="str">
        <f>$E$2</f>
        <v>CC013C
CC015C</v>
      </c>
      <c r="B101" s="1">
        <v>4</v>
      </c>
      <c r="C101" s="1" t="s">
        <v>17</v>
      </c>
      <c r="D101" s="19" t="s">
        <v>18</v>
      </c>
      <c r="E101" s="28" t="s">
        <v>139</v>
      </c>
      <c r="F101" s="3" t="s">
        <v>140</v>
      </c>
      <c r="G101" s="24" t="s">
        <v>21</v>
      </c>
      <c r="H101" s="3"/>
      <c r="I101" s="3"/>
      <c r="J101" s="3" t="s">
        <v>547</v>
      </c>
      <c r="K101" s="3"/>
      <c r="L101" s="3" t="s">
        <v>563</v>
      </c>
      <c r="M101" s="19" t="s">
        <v>141</v>
      </c>
      <c r="P101" s="19" t="s">
        <v>142</v>
      </c>
      <c r="Q101" s="1" t="str">
        <f>IF($B101=0,$M101,_xlfn.TEXTBEFORE(Q100,"/",$B101,,,Q100)&amp;"/"&amp;$M101)&amp;IF(_xlfn.TEXTAFTER($D101,"..",,,,1)&lt;&gt;"1","[0]","")</f>
        <v>*/Consignment/Consignee/Address/country</v>
      </c>
      <c r="T101" s="24" t="s">
        <v>426</v>
      </c>
    </row>
    <row r="102" spans="1:20" ht="12" customHeight="1" outlineLevel="2" x14ac:dyDescent="0.25">
      <c r="A102" s="21" t="str">
        <f>$E$2</f>
        <v>CC013C
CC015C</v>
      </c>
      <c r="B102" s="4">
        <v>2</v>
      </c>
      <c r="C102" s="21" t="s">
        <v>41</v>
      </c>
      <c r="D102" s="21" t="s">
        <v>164</v>
      </c>
      <c r="E102" s="25" t="s">
        <v>210</v>
      </c>
      <c r="F102" s="6"/>
      <c r="G102" s="33" t="s">
        <v>38</v>
      </c>
      <c r="H102" s="6" t="s">
        <v>467</v>
      </c>
      <c r="I102" s="6"/>
      <c r="J102" s="6"/>
      <c r="K102" s="6"/>
      <c r="L102" s="6" t="s">
        <v>596</v>
      </c>
      <c r="M102" s="21" t="s">
        <v>211</v>
      </c>
      <c r="N102" s="4"/>
      <c r="O102" s="4"/>
      <c r="P102" s="4"/>
      <c r="Q102" s="1" t="str">
        <f>IF($B102=0,$M102,_xlfn.TEXTBEFORE(Q101,"/",$B102,,,Q101)&amp;"/"&amp;$M102)&amp;IF(_xlfn.TEXTAFTER($D102,"..",,,,1)&lt;&gt;"1","[0]","")</f>
        <v>*/Consignment/AdditionalSupplyChainActor[0]</v>
      </c>
    </row>
    <row r="103" spans="1:20" ht="12" customHeight="1" outlineLevel="3" x14ac:dyDescent="0.25">
      <c r="A103" s="19" t="str">
        <f>$E$2</f>
        <v>CC013C
CC015C</v>
      </c>
      <c r="B103" s="1">
        <v>3</v>
      </c>
      <c r="C103" s="1" t="s">
        <v>17</v>
      </c>
      <c r="D103" s="19" t="s">
        <v>18</v>
      </c>
      <c r="E103" s="26" t="s">
        <v>93</v>
      </c>
      <c r="F103" s="24" t="s">
        <v>483</v>
      </c>
      <c r="G103" s="24" t="s">
        <v>21</v>
      </c>
      <c r="H103" s="3" t="s">
        <v>475</v>
      </c>
      <c r="I103" s="3"/>
      <c r="J103" s="3"/>
      <c r="K103" s="3"/>
      <c r="L103" s="3"/>
      <c r="M103" s="19" t="s">
        <v>95</v>
      </c>
      <c r="P103" s="19" t="s">
        <v>96</v>
      </c>
      <c r="Q103" s="1" t="str">
        <f>IF($B103=0,$M103,_xlfn.TEXTBEFORE(Q102,"/",$B103,,,Q102)&amp;"/"&amp;$M103)&amp;IF(_xlfn.TEXTAFTER($D103,"..",,,,1)&lt;&gt;"1","[0]","")</f>
        <v>*/Consignment/AdditionalSupplyChainActor[0]/sequenceNumber</v>
      </c>
      <c r="T103" s="24" t="s">
        <v>421</v>
      </c>
    </row>
    <row r="104" spans="1:20" ht="12" customHeight="1" outlineLevel="3" x14ac:dyDescent="0.25">
      <c r="A104" s="19" t="str">
        <f>$E$2</f>
        <v>CC013C
CC015C</v>
      </c>
      <c r="B104" s="1">
        <v>3</v>
      </c>
      <c r="C104" s="1" t="s">
        <v>17</v>
      </c>
      <c r="D104" s="19" t="s">
        <v>18</v>
      </c>
      <c r="E104" s="26" t="s">
        <v>212</v>
      </c>
      <c r="F104" s="24" t="s">
        <v>213</v>
      </c>
      <c r="G104" s="24" t="s">
        <v>21</v>
      </c>
      <c r="H104" s="3"/>
      <c r="I104" s="3"/>
      <c r="J104" s="3" t="s">
        <v>599</v>
      </c>
      <c r="K104" s="3"/>
      <c r="L104" s="3" t="s">
        <v>598</v>
      </c>
      <c r="M104" s="19" t="s">
        <v>214</v>
      </c>
      <c r="P104" s="19" t="s">
        <v>215</v>
      </c>
      <c r="Q104" s="1" t="str">
        <f>IF($B104=0,$M104,_xlfn.TEXTBEFORE(Q103,"/",$B104,,,Q103)&amp;"/"&amp;$M104)&amp;IF(_xlfn.TEXTAFTER($D104,"..",,,,1)&lt;&gt;"1","[0]","")</f>
        <v>*/Consignment/AdditionalSupplyChainActor[0]/role</v>
      </c>
      <c r="T104" s="19" t="s">
        <v>413</v>
      </c>
    </row>
    <row r="105" spans="1:20" ht="12" customHeight="1" outlineLevel="3" x14ac:dyDescent="0.25">
      <c r="A105" s="19" t="str">
        <f>$E$2</f>
        <v>CC013C
CC015C</v>
      </c>
      <c r="B105" s="1">
        <v>3</v>
      </c>
      <c r="C105" s="1" t="s">
        <v>17</v>
      </c>
      <c r="D105" s="19" t="s">
        <v>18</v>
      </c>
      <c r="E105" s="26" t="s">
        <v>119</v>
      </c>
      <c r="F105" s="3" t="s">
        <v>140</v>
      </c>
      <c r="G105" s="24" t="s">
        <v>21</v>
      </c>
      <c r="H105" s="3" t="s">
        <v>595</v>
      </c>
      <c r="I105" s="3"/>
      <c r="J105" s="3"/>
      <c r="K105" s="3"/>
      <c r="L105" s="3" t="s">
        <v>597</v>
      </c>
      <c r="M105" s="19" t="s">
        <v>121</v>
      </c>
      <c r="P105" s="19" t="s">
        <v>207</v>
      </c>
      <c r="Q105" s="1" t="str">
        <f>IF($B105=0,$M105,_xlfn.TEXTBEFORE(Q104,"/",$B105,,,Q104)&amp;"/"&amp;$M105)&amp;IF(_xlfn.TEXTAFTER($D105,"..",,,,1)&lt;&gt;"1","[0]","")</f>
        <v>*/Consignment/AdditionalSupplyChainActor[0]/identificationNumber</v>
      </c>
      <c r="T105" s="24" t="s">
        <v>434</v>
      </c>
    </row>
    <row r="106" spans="1:20" ht="12" customHeight="1" outlineLevel="2" x14ac:dyDescent="0.25">
      <c r="A106" s="21" t="str">
        <f>$E$2</f>
        <v>CC013C
CC015C</v>
      </c>
      <c r="B106" s="4">
        <v>2</v>
      </c>
      <c r="C106" s="21" t="s">
        <v>41</v>
      </c>
      <c r="D106" s="21" t="s">
        <v>216</v>
      </c>
      <c r="E106" s="25" t="s">
        <v>217</v>
      </c>
      <c r="F106" s="6"/>
      <c r="G106" s="33" t="s">
        <v>450</v>
      </c>
      <c r="H106" s="6" t="s">
        <v>744</v>
      </c>
      <c r="I106" s="6" t="s">
        <v>743</v>
      </c>
      <c r="J106" s="6"/>
      <c r="K106" s="6"/>
      <c r="L106" s="6" t="s">
        <v>737</v>
      </c>
      <c r="M106" s="21" t="s">
        <v>218</v>
      </c>
      <c r="N106" s="4"/>
      <c r="O106" s="4"/>
      <c r="P106" s="4"/>
      <c r="Q106" s="1" t="str">
        <f>IF($B106=0,$M106,_xlfn.TEXTBEFORE(Q105,"/",$B106,,,Q105)&amp;"/"&amp;$M106)&amp;IF(_xlfn.TEXTAFTER($D106,"..",,,,1)&lt;&gt;"1","[0]","")</f>
        <v>*/Consignment/TransportEquipment[0]</v>
      </c>
    </row>
    <row r="107" spans="1:20" ht="12" customHeight="1" outlineLevel="3" x14ac:dyDescent="0.25">
      <c r="A107" s="19" t="str">
        <f>$E$2</f>
        <v>CC013C
CC015C</v>
      </c>
      <c r="B107" s="1">
        <v>3</v>
      </c>
      <c r="C107" s="1" t="s">
        <v>17</v>
      </c>
      <c r="D107" s="19" t="s">
        <v>18</v>
      </c>
      <c r="E107" s="26" t="s">
        <v>93</v>
      </c>
      <c r="F107" s="24" t="s">
        <v>504</v>
      </c>
      <c r="G107" s="24" t="s">
        <v>21</v>
      </c>
      <c r="H107" s="3" t="s">
        <v>475</v>
      </c>
      <c r="I107" s="3"/>
      <c r="J107" s="3"/>
      <c r="K107" s="3"/>
      <c r="L107" s="3"/>
      <c r="M107" s="19" t="s">
        <v>95</v>
      </c>
      <c r="P107" s="19" t="s">
        <v>96</v>
      </c>
      <c r="Q107" s="1" t="str">
        <f>IF($B107=0,$M107,_xlfn.TEXTBEFORE(Q106,"/",$B107,,,Q106)&amp;"/"&amp;$M107)&amp;IF(_xlfn.TEXTAFTER($D107,"..",,,,1)&lt;&gt;"1","[0]","")</f>
        <v>*/Consignment/TransportEquipment[0]/sequenceNumber</v>
      </c>
      <c r="T107" s="24" t="s">
        <v>421</v>
      </c>
    </row>
    <row r="108" spans="1:20" ht="12" customHeight="1" outlineLevel="3" x14ac:dyDescent="0.25">
      <c r="A108" s="19" t="str">
        <f>$E$2</f>
        <v>CC013C
CC015C</v>
      </c>
      <c r="B108" s="1">
        <v>3</v>
      </c>
      <c r="C108" s="1" t="s">
        <v>17</v>
      </c>
      <c r="D108" s="19" t="s">
        <v>36</v>
      </c>
      <c r="E108" s="26" t="s">
        <v>219</v>
      </c>
      <c r="F108" s="24" t="s">
        <v>220</v>
      </c>
      <c r="G108" s="24" t="s">
        <v>450</v>
      </c>
      <c r="H108" s="3" t="s">
        <v>458</v>
      </c>
      <c r="I108" s="3" t="s">
        <v>745</v>
      </c>
      <c r="J108" s="3"/>
      <c r="K108" s="3"/>
      <c r="L108" s="3" t="s">
        <v>739</v>
      </c>
      <c r="M108" s="19" t="s">
        <v>221</v>
      </c>
      <c r="P108" s="19" t="s">
        <v>222</v>
      </c>
      <c r="Q108" s="1" t="str">
        <f>IF($B108=0,$M108,_xlfn.TEXTBEFORE(Q107,"/",$B108,,,Q107)&amp;"/"&amp;$M108)&amp;IF(_xlfn.TEXTAFTER($D108,"..",,,,1)&lt;&gt;"1","[0]","")</f>
        <v>*/Consignment/TransportEquipment[0]/containerIdentificationNumber</v>
      </c>
      <c r="T108" s="24" t="s">
        <v>435</v>
      </c>
    </row>
    <row r="109" spans="1:20" ht="12" customHeight="1" outlineLevel="3" x14ac:dyDescent="0.25">
      <c r="A109" s="19" t="str">
        <f>$E$2</f>
        <v>CC013C
CC015C</v>
      </c>
      <c r="B109" s="1">
        <v>3</v>
      </c>
      <c r="C109" s="1" t="s">
        <v>17</v>
      </c>
      <c r="D109" s="19" t="s">
        <v>18</v>
      </c>
      <c r="E109" s="26" t="s">
        <v>223</v>
      </c>
      <c r="F109" s="24" t="s">
        <v>224</v>
      </c>
      <c r="G109" s="24" t="s">
        <v>21</v>
      </c>
      <c r="H109" s="3" t="s">
        <v>746</v>
      </c>
      <c r="I109" s="3"/>
      <c r="J109" s="3"/>
      <c r="K109" s="3"/>
      <c r="L109" s="3" t="s">
        <v>742</v>
      </c>
      <c r="M109" s="19" t="s">
        <v>225</v>
      </c>
      <c r="P109" s="19" t="s">
        <v>226</v>
      </c>
      <c r="Q109" s="1" t="str">
        <f>IF($B109=0,$M109,_xlfn.TEXTBEFORE(Q108,"/",$B109,,,Q108)&amp;"/"&amp;$M109)&amp;IF(_xlfn.TEXTAFTER($D109,"..",,,,1)&lt;&gt;"1","[0]","")</f>
        <v>*/Consignment/TransportEquipment[0]/numberOfSeals</v>
      </c>
      <c r="T109" s="24" t="s">
        <v>436</v>
      </c>
    </row>
    <row r="110" spans="1:20" ht="12" customHeight="1" outlineLevel="3" x14ac:dyDescent="0.25">
      <c r="A110" s="21" t="str">
        <f>$E$2</f>
        <v>CC013C
CC015C</v>
      </c>
      <c r="B110" s="4">
        <v>3</v>
      </c>
      <c r="C110" s="21" t="s">
        <v>41</v>
      </c>
      <c r="D110" s="21" t="s">
        <v>164</v>
      </c>
      <c r="E110" s="27" t="s">
        <v>227</v>
      </c>
      <c r="F110" s="6"/>
      <c r="G110" s="33" t="s">
        <v>450</v>
      </c>
      <c r="H110" s="6"/>
      <c r="I110" s="6" t="s">
        <v>747</v>
      </c>
      <c r="J110" s="6"/>
      <c r="K110" s="6"/>
      <c r="L110" s="6" t="s">
        <v>740</v>
      </c>
      <c r="M110" s="21" t="s">
        <v>227</v>
      </c>
      <c r="N110" s="4"/>
      <c r="O110" s="4"/>
      <c r="P110" s="4"/>
      <c r="Q110" s="1" t="str">
        <f>IF($B110=0,$M110,_xlfn.TEXTBEFORE(Q109,"/",$B110,,,Q109)&amp;"/"&amp;$M110)&amp;IF(_xlfn.TEXTAFTER($D110,"..",,,,1)&lt;&gt;"1","[0]","")</f>
        <v>*/Consignment/TransportEquipment[0]/Seal[0]</v>
      </c>
    </row>
    <row r="111" spans="1:20" ht="12" customHeight="1" outlineLevel="4" x14ac:dyDescent="0.25">
      <c r="A111" s="19" t="str">
        <f>$E$2</f>
        <v>CC013C
CC015C</v>
      </c>
      <c r="B111" s="1">
        <v>4</v>
      </c>
      <c r="C111" s="1" t="s">
        <v>17</v>
      </c>
      <c r="D111" s="19" t="s">
        <v>18</v>
      </c>
      <c r="E111" s="28" t="s">
        <v>93</v>
      </c>
      <c r="F111" s="24" t="s">
        <v>483</v>
      </c>
      <c r="G111" s="24" t="s">
        <v>21</v>
      </c>
      <c r="H111" s="3" t="s">
        <v>475</v>
      </c>
      <c r="I111" s="3"/>
      <c r="J111" s="3"/>
      <c r="K111" s="3"/>
      <c r="L111" s="3"/>
      <c r="M111" s="19" t="s">
        <v>95</v>
      </c>
      <c r="P111" s="19" t="s">
        <v>96</v>
      </c>
      <c r="Q111" s="1" t="str">
        <f>IF($B111=0,$M111,_xlfn.TEXTBEFORE(Q110,"/",$B111,,,Q110)&amp;"/"&amp;$M111)&amp;IF(_xlfn.TEXTAFTER($D111,"..",,,,1)&lt;&gt;"1","[0]","")</f>
        <v>*/Consignment/TransportEquipment[0]/Seal[0]/sequenceNumber</v>
      </c>
      <c r="T111" s="24" t="s">
        <v>421</v>
      </c>
    </row>
    <row r="112" spans="1:20" ht="12" customHeight="1" outlineLevel="4" x14ac:dyDescent="0.25">
      <c r="A112" s="19" t="str">
        <f>$E$2</f>
        <v>CC013C
CC015C</v>
      </c>
      <c r="B112" s="1">
        <v>4</v>
      </c>
      <c r="C112" s="1" t="s">
        <v>17</v>
      </c>
      <c r="D112" s="19" t="s">
        <v>18</v>
      </c>
      <c r="E112" s="28" t="s">
        <v>228</v>
      </c>
      <c r="F112" s="24" t="s">
        <v>229</v>
      </c>
      <c r="G112" s="24" t="s">
        <v>21</v>
      </c>
      <c r="H112" s="3" t="s">
        <v>748</v>
      </c>
      <c r="I112" s="3"/>
      <c r="J112" s="3"/>
      <c r="K112" s="3"/>
      <c r="L112" s="3" t="s">
        <v>741</v>
      </c>
      <c r="M112" s="19" t="s">
        <v>230</v>
      </c>
      <c r="P112" s="19" t="s">
        <v>231</v>
      </c>
      <c r="Q112" s="1" t="str">
        <f>IF($B112=0,$M112,_xlfn.TEXTBEFORE(Q111,"/",$B112,,,Q111)&amp;"/"&amp;$M112)&amp;IF(_xlfn.TEXTAFTER($D112,"..",,,,1)&lt;&gt;"1","[0]","")</f>
        <v>*/Consignment/TransportEquipment[0]/Seal[0]/identifier</v>
      </c>
      <c r="T112" s="24" t="s">
        <v>437</v>
      </c>
    </row>
    <row r="113" spans="1:20" ht="12" customHeight="1" outlineLevel="3" x14ac:dyDescent="0.25">
      <c r="A113" s="21" t="str">
        <f>$E$2</f>
        <v>CC013C
CC015C</v>
      </c>
      <c r="B113" s="4">
        <v>3</v>
      </c>
      <c r="C113" s="21" t="s">
        <v>41</v>
      </c>
      <c r="D113" s="21" t="s">
        <v>216</v>
      </c>
      <c r="E113" s="27" t="s">
        <v>232</v>
      </c>
      <c r="F113" s="6"/>
      <c r="G113" s="33" t="s">
        <v>450</v>
      </c>
      <c r="H113" s="6" t="s">
        <v>750</v>
      </c>
      <c r="I113" s="6" t="s">
        <v>749</v>
      </c>
      <c r="J113" s="6"/>
      <c r="K113" s="6"/>
      <c r="L113" s="6" t="s">
        <v>738</v>
      </c>
      <c r="M113" s="21" t="s">
        <v>233</v>
      </c>
      <c r="N113" s="4"/>
      <c r="O113" s="4"/>
      <c r="P113" s="4"/>
      <c r="Q113" s="1" t="str">
        <f>IF($B113=0,$M113,_xlfn.TEXTBEFORE(Q112,"/",$B113,,,Q112)&amp;"/"&amp;$M113)&amp;IF(_xlfn.TEXTAFTER($D113,"..",,,,1)&lt;&gt;"1","[0]","")</f>
        <v>*/Consignment/TransportEquipment[0]/GoodsReference[0]</v>
      </c>
    </row>
    <row r="114" spans="1:20" ht="12" customHeight="1" outlineLevel="4" x14ac:dyDescent="0.25">
      <c r="A114" s="19" t="str">
        <f>$E$2</f>
        <v>CC013C
CC015C</v>
      </c>
      <c r="B114" s="1">
        <v>4</v>
      </c>
      <c r="C114" s="1" t="s">
        <v>17</v>
      </c>
      <c r="D114" s="19" t="s">
        <v>18</v>
      </c>
      <c r="E114" s="28" t="s">
        <v>93</v>
      </c>
      <c r="F114" s="24" t="s">
        <v>94</v>
      </c>
      <c r="G114" s="24" t="s">
        <v>21</v>
      </c>
      <c r="H114" s="3" t="s">
        <v>475</v>
      </c>
      <c r="I114" s="3"/>
      <c r="J114" s="3"/>
      <c r="K114" s="3"/>
      <c r="L114" s="3"/>
      <c r="M114" s="19" t="s">
        <v>95</v>
      </c>
      <c r="P114" s="19" t="s">
        <v>96</v>
      </c>
      <c r="Q114" s="1" t="str">
        <f>IF($B114=0,$M114,_xlfn.TEXTBEFORE(Q113,"/",$B114,,,Q113)&amp;"/"&amp;$M114)&amp;IF(_xlfn.TEXTAFTER($D114,"..",,,,1)&lt;&gt;"1","[0]","")</f>
        <v>*/Consignment/TransportEquipment[0]/GoodsReference[0]/sequenceNumber</v>
      </c>
      <c r="T114" s="24" t="s">
        <v>421</v>
      </c>
    </row>
    <row r="115" spans="1:20" ht="12" customHeight="1" outlineLevel="4" x14ac:dyDescent="0.25">
      <c r="A115" s="19" t="str">
        <f>$E$2</f>
        <v>CC013C
CC015C</v>
      </c>
      <c r="B115" s="1">
        <v>4</v>
      </c>
      <c r="C115" s="1" t="s">
        <v>17</v>
      </c>
      <c r="D115" s="19" t="s">
        <v>18</v>
      </c>
      <c r="E115" s="28" t="s">
        <v>234</v>
      </c>
      <c r="F115" s="24" t="s">
        <v>235</v>
      </c>
      <c r="G115" s="24" t="s">
        <v>21</v>
      </c>
      <c r="H115" s="3"/>
      <c r="I115" s="3" t="s">
        <v>751</v>
      </c>
      <c r="J115" s="3"/>
      <c r="K115" s="3"/>
      <c r="L115" s="3" t="s">
        <v>752</v>
      </c>
      <c r="M115" s="19" t="s">
        <v>236</v>
      </c>
      <c r="P115" s="19" t="s">
        <v>237</v>
      </c>
      <c r="Q115" s="1" t="str">
        <f>IF($B115=0,$M115,_xlfn.TEXTBEFORE(Q114,"/",$B115,,,Q114)&amp;"/"&amp;$M115)&amp;IF(_xlfn.TEXTAFTER($D115,"..",,,,1)&lt;&gt;"1","[0]","")</f>
        <v>*/Consignment/TransportEquipment[0]/GoodsReference[0]/declarationGoodsItemNumber</v>
      </c>
      <c r="T115" s="24" t="s">
        <v>438</v>
      </c>
    </row>
    <row r="116" spans="1:20" ht="12" customHeight="1" outlineLevel="2" x14ac:dyDescent="0.25">
      <c r="A116" s="21" t="str">
        <f>$E$2</f>
        <v>CC013C
CC015C</v>
      </c>
      <c r="B116" s="4">
        <v>2</v>
      </c>
      <c r="C116" s="21" t="s">
        <v>41</v>
      </c>
      <c r="D116" s="21" t="s">
        <v>36</v>
      </c>
      <c r="E116" s="25" t="s">
        <v>238</v>
      </c>
      <c r="F116" s="6"/>
      <c r="G116" s="33" t="s">
        <v>450</v>
      </c>
      <c r="H116" s="6" t="s">
        <v>637</v>
      </c>
      <c r="I116" s="6" t="s">
        <v>636</v>
      </c>
      <c r="J116" s="6"/>
      <c r="K116" s="6"/>
      <c r="L116" s="6" t="s">
        <v>630</v>
      </c>
      <c r="M116" s="21" t="s">
        <v>239</v>
      </c>
      <c r="N116" s="4"/>
      <c r="O116" s="4"/>
      <c r="P116" s="4"/>
      <c r="Q116" s="1" t="str">
        <f>IF($B116=0,$M116,_xlfn.TEXTBEFORE(Q115,"/",$B116,,,Q115)&amp;"/"&amp;$M116)&amp;IF(_xlfn.TEXTAFTER($D116,"..",,,,1)&lt;&gt;"1","[0]","")</f>
        <v>*/Consignment/LocationOfGoods</v>
      </c>
    </row>
    <row r="117" spans="1:20" ht="12" customHeight="1" outlineLevel="3" x14ac:dyDescent="0.25">
      <c r="A117" s="19" t="str">
        <f>$E$2</f>
        <v>CC013C
CC015C</v>
      </c>
      <c r="B117" s="1">
        <v>3</v>
      </c>
      <c r="C117" s="1" t="s">
        <v>17</v>
      </c>
      <c r="D117" s="19" t="s">
        <v>18</v>
      </c>
      <c r="E117" s="26" t="s">
        <v>240</v>
      </c>
      <c r="F117" s="24" t="s">
        <v>57</v>
      </c>
      <c r="G117" s="24" t="s">
        <v>21</v>
      </c>
      <c r="H117" s="3"/>
      <c r="I117" s="3"/>
      <c r="J117" s="3" t="s">
        <v>638</v>
      </c>
      <c r="K117" s="3"/>
      <c r="L117" s="3" t="s">
        <v>631</v>
      </c>
      <c r="M117" s="19" t="s">
        <v>241</v>
      </c>
      <c r="P117" s="19" t="s">
        <v>242</v>
      </c>
      <c r="Q117" s="1" t="str">
        <f>IF($B117=0,$M117,_xlfn.TEXTBEFORE(Q116,"/",$B117,,,Q116)&amp;"/"&amp;$M117)&amp;IF(_xlfn.TEXTAFTER($D117,"..",,,,1)&lt;&gt;"1","[0]","")</f>
        <v>*/Consignment/LocationOfGoods/typeOfLocation</v>
      </c>
      <c r="T117" s="19" t="s">
        <v>413</v>
      </c>
    </row>
    <row r="118" spans="1:20" ht="12" customHeight="1" outlineLevel="3" x14ac:dyDescent="0.25">
      <c r="A118" s="19" t="str">
        <f>$E$2</f>
        <v>CC013C
CC015C</v>
      </c>
      <c r="B118" s="1">
        <v>3</v>
      </c>
      <c r="C118" s="1" t="s">
        <v>17</v>
      </c>
      <c r="D118" s="19" t="s">
        <v>18</v>
      </c>
      <c r="E118" s="26" t="s">
        <v>243</v>
      </c>
      <c r="F118" s="24" t="s">
        <v>57</v>
      </c>
      <c r="G118" s="24" t="s">
        <v>21</v>
      </c>
      <c r="H118" s="3" t="s">
        <v>639</v>
      </c>
      <c r="I118" s="3"/>
      <c r="J118" s="3" t="s">
        <v>640</v>
      </c>
      <c r="K118" s="3"/>
      <c r="L118" s="3" t="s">
        <v>632</v>
      </c>
      <c r="M118" s="19" t="s">
        <v>244</v>
      </c>
      <c r="P118" s="19" t="s">
        <v>245</v>
      </c>
      <c r="Q118" s="1" t="str">
        <f>IF($B118=0,$M118,_xlfn.TEXTBEFORE(Q117,"/",$B118,,,Q117)&amp;"/"&amp;$M118)&amp;IF(_xlfn.TEXTAFTER($D118,"..",,,,1)&lt;&gt;"1","[0]","")</f>
        <v>*/Consignment/LocationOfGoods/qualifierOfIdentification</v>
      </c>
      <c r="T118" s="19" t="s">
        <v>413</v>
      </c>
    </row>
    <row r="119" spans="1:20" ht="12" customHeight="1" outlineLevel="3" x14ac:dyDescent="0.25">
      <c r="A119" s="19" t="str">
        <f>$E$2</f>
        <v>CC013C
CC015C</v>
      </c>
      <c r="B119" s="1">
        <v>3</v>
      </c>
      <c r="C119" s="1" t="s">
        <v>17</v>
      </c>
      <c r="D119" s="19" t="s">
        <v>36</v>
      </c>
      <c r="E119" s="26" t="s">
        <v>246</v>
      </c>
      <c r="F119" s="24" t="s">
        <v>101</v>
      </c>
      <c r="G119" s="24" t="s">
        <v>450</v>
      </c>
      <c r="H119" s="3"/>
      <c r="I119" s="3" t="s">
        <v>641</v>
      </c>
      <c r="J119" s="3"/>
      <c r="K119" s="3"/>
      <c r="L119" s="3" t="s">
        <v>633</v>
      </c>
      <c r="M119" s="19" t="s">
        <v>247</v>
      </c>
      <c r="P119" s="19" t="s">
        <v>248</v>
      </c>
      <c r="Q119" s="1" t="str">
        <f>IF($B119=0,$M119,_xlfn.TEXTBEFORE(Q118,"/",$B119,,,Q118)&amp;"/"&amp;$M119)&amp;IF(_xlfn.TEXTAFTER($D119,"..",,,,1)&lt;&gt;"1","[0]","")</f>
        <v>*/Consignment/LocationOfGoods/authorisationNumber</v>
      </c>
      <c r="T119" s="24" t="s">
        <v>422</v>
      </c>
    </row>
    <row r="120" spans="1:20" ht="12" customHeight="1" outlineLevel="3" x14ac:dyDescent="0.25">
      <c r="A120" s="19" t="str">
        <f>$E$2</f>
        <v>CC013C
CC015C</v>
      </c>
      <c r="B120" s="1">
        <v>3</v>
      </c>
      <c r="C120" s="1" t="s">
        <v>17</v>
      </c>
      <c r="D120" s="19" t="s">
        <v>36</v>
      </c>
      <c r="E120" s="26" t="s">
        <v>249</v>
      </c>
      <c r="F120" s="24" t="s">
        <v>250</v>
      </c>
      <c r="G120" s="24" t="s">
        <v>450</v>
      </c>
      <c r="H120" s="3"/>
      <c r="I120" s="3" t="s">
        <v>642</v>
      </c>
      <c r="J120" s="3"/>
      <c r="K120" s="3"/>
      <c r="L120" s="3" t="s">
        <v>634</v>
      </c>
      <c r="M120" s="19" t="s">
        <v>251</v>
      </c>
      <c r="P120" s="19" t="s">
        <v>252</v>
      </c>
      <c r="Q120" s="1" t="str">
        <f>IF($B120=0,$M120,_xlfn.TEXTBEFORE(Q119,"/",$B120,,,Q119)&amp;"/"&amp;$M120)&amp;IF(_xlfn.TEXTAFTER($D120,"..",,,,1)&lt;&gt;"1","[0]","")</f>
        <v>*/Consignment/LocationOfGoods/additionalIdentifier</v>
      </c>
      <c r="T120" s="24" t="s">
        <v>439</v>
      </c>
    </row>
    <row r="121" spans="1:20" ht="12" customHeight="1" outlineLevel="3" x14ac:dyDescent="0.25">
      <c r="A121" s="19" t="str">
        <f>$E$2</f>
        <v>CC013C
CC015C</v>
      </c>
      <c r="B121" s="1">
        <v>3</v>
      </c>
      <c r="C121" s="1" t="s">
        <v>17</v>
      </c>
      <c r="D121" s="19" t="s">
        <v>36</v>
      </c>
      <c r="E121" s="26" t="s">
        <v>253</v>
      </c>
      <c r="F121" s="24" t="s">
        <v>254</v>
      </c>
      <c r="G121" s="24" t="s">
        <v>450</v>
      </c>
      <c r="H121" s="3"/>
      <c r="I121" s="3" t="s">
        <v>641</v>
      </c>
      <c r="J121" s="3" t="s">
        <v>622</v>
      </c>
      <c r="K121" s="3"/>
      <c r="L121" s="3" t="s">
        <v>635</v>
      </c>
      <c r="M121" s="19" t="s">
        <v>255</v>
      </c>
      <c r="P121" s="19" t="s">
        <v>256</v>
      </c>
      <c r="Q121" s="1" t="str">
        <f>IF($B121=0,$M121,_xlfn.TEXTBEFORE(Q120,"/",$B121,,,Q120)&amp;"/"&amp;$M121)&amp;IF(_xlfn.TEXTAFTER($D121,"..",,,,1)&lt;&gt;"1","[0]","")</f>
        <v>*/Consignment/LocationOfGoods/UNLocode</v>
      </c>
      <c r="T121" s="19" t="s">
        <v>413</v>
      </c>
    </row>
    <row r="122" spans="1:20" ht="12" customHeight="1" outlineLevel="3" x14ac:dyDescent="0.25">
      <c r="A122" s="21" t="str">
        <f>$E$2</f>
        <v>CC013C
CC015C</v>
      </c>
      <c r="B122" s="4">
        <v>3</v>
      </c>
      <c r="C122" s="21" t="s">
        <v>41</v>
      </c>
      <c r="D122" s="21" t="s">
        <v>36</v>
      </c>
      <c r="E122" s="27" t="s">
        <v>257</v>
      </c>
      <c r="F122" s="6"/>
      <c r="G122" s="33" t="s">
        <v>450</v>
      </c>
      <c r="H122" s="6"/>
      <c r="I122" s="6" t="s">
        <v>641</v>
      </c>
      <c r="J122" s="6"/>
      <c r="K122" s="6"/>
      <c r="L122" s="6" t="s">
        <v>643</v>
      </c>
      <c r="M122" s="21" t="s">
        <v>258</v>
      </c>
      <c r="N122" s="4"/>
      <c r="O122" s="4"/>
      <c r="P122" s="4"/>
      <c r="Q122" s="1" t="str">
        <f>IF($B122=0,$M122,_xlfn.TEXTBEFORE(Q121,"/",$B122,,,Q121)&amp;"/"&amp;$M122)&amp;IF(_xlfn.TEXTAFTER($D122,"..",,,,1)&lt;&gt;"1","[0]","")</f>
        <v>*/Consignment/LocationOfGoods/CustomsOffice</v>
      </c>
    </row>
    <row r="123" spans="1:20" ht="12" customHeight="1" outlineLevel="4" x14ac:dyDescent="0.25">
      <c r="A123" s="19" t="str">
        <f>$E$2</f>
        <v>CC013C
CC015C</v>
      </c>
      <c r="B123" s="1">
        <v>4</v>
      </c>
      <c r="C123" s="1" t="s">
        <v>17</v>
      </c>
      <c r="D123" s="19" t="s">
        <v>18</v>
      </c>
      <c r="E123" s="28" t="s">
        <v>100</v>
      </c>
      <c r="F123" s="24" t="s">
        <v>106</v>
      </c>
      <c r="G123" s="24" t="s">
        <v>21</v>
      </c>
      <c r="H123" s="3"/>
      <c r="I123" s="3"/>
      <c r="J123" s="3" t="s">
        <v>645</v>
      </c>
      <c r="K123" s="3"/>
      <c r="L123" s="3" t="s">
        <v>644</v>
      </c>
      <c r="M123" s="19" t="s">
        <v>102</v>
      </c>
      <c r="P123" s="19" t="s">
        <v>107</v>
      </c>
      <c r="Q123" s="1" t="str">
        <f>IF($B123=0,$M123,_xlfn.TEXTBEFORE(Q122,"/",$B123,,,Q122)&amp;"/"&amp;$M123)&amp;IF(_xlfn.TEXTAFTER($D123,"..",,,,1)&lt;&gt;"1","[0]","")</f>
        <v>*/Consignment/LocationOfGoods/CustomsOffice/referenceNumber</v>
      </c>
      <c r="T123" s="24" t="s">
        <v>423</v>
      </c>
    </row>
    <row r="124" spans="1:20" ht="12" customHeight="1" outlineLevel="3" x14ac:dyDescent="0.25">
      <c r="A124" s="21" t="str">
        <f>$E$2</f>
        <v>CC013C
CC015C</v>
      </c>
      <c r="B124" s="4">
        <v>3</v>
      </c>
      <c r="C124" s="21" t="s">
        <v>41</v>
      </c>
      <c r="D124" s="21" t="s">
        <v>36</v>
      </c>
      <c r="E124" s="27" t="s">
        <v>259</v>
      </c>
      <c r="F124" s="6"/>
      <c r="G124" s="33" t="s">
        <v>450</v>
      </c>
      <c r="H124" s="6"/>
      <c r="I124" s="6" t="s">
        <v>641</v>
      </c>
      <c r="J124" s="6"/>
      <c r="K124" s="6"/>
      <c r="L124" s="6" t="s">
        <v>646</v>
      </c>
      <c r="M124" s="21" t="s">
        <v>260</v>
      </c>
      <c r="N124" s="4"/>
      <c r="O124" s="4"/>
      <c r="P124" s="4"/>
      <c r="Q124" s="1" t="str">
        <f>IF($B124=0,$M124,_xlfn.TEXTBEFORE(Q123,"/",$B124,,,Q123)&amp;"/"&amp;$M124)&amp;IF(_xlfn.TEXTAFTER($D124,"..",,,,1)&lt;&gt;"1","[0]","")</f>
        <v>*/Consignment/LocationOfGoods/GNSS</v>
      </c>
    </row>
    <row r="125" spans="1:20" ht="12" customHeight="1" outlineLevel="4" x14ac:dyDescent="0.25">
      <c r="A125" s="19" t="str">
        <f>$E$2</f>
        <v>CC013C
CC015C</v>
      </c>
      <c r="B125" s="1">
        <v>4</v>
      </c>
      <c r="C125" s="1" t="s">
        <v>17</v>
      </c>
      <c r="D125" s="19" t="s">
        <v>18</v>
      </c>
      <c r="E125" s="28" t="s">
        <v>261</v>
      </c>
      <c r="F125" s="3" t="s">
        <v>404</v>
      </c>
      <c r="G125" s="24" t="s">
        <v>21</v>
      </c>
      <c r="H125" s="3" t="s">
        <v>649</v>
      </c>
      <c r="I125" s="3"/>
      <c r="J125" s="3"/>
      <c r="K125" s="3"/>
      <c r="L125" s="3" t="s">
        <v>647</v>
      </c>
      <c r="M125" s="19" t="s">
        <v>262</v>
      </c>
      <c r="P125" s="19" t="s">
        <v>263</v>
      </c>
      <c r="Q125" s="1" t="str">
        <f>IF($B125=0,$M125,_xlfn.TEXTBEFORE(Q124,"/",$B125,,,Q124)&amp;"/"&amp;$M125)&amp;IF(_xlfn.TEXTAFTER($D125,"..",,,,1)&lt;&gt;"1","[0]","")</f>
        <v>*/Consignment/LocationOfGoods/GNSS/latitude</v>
      </c>
      <c r="T125" s="24" t="s">
        <v>440</v>
      </c>
    </row>
    <row r="126" spans="1:20" ht="12" customHeight="1" outlineLevel="4" x14ac:dyDescent="0.25">
      <c r="A126" s="19" t="str">
        <f>$E$2</f>
        <v>CC013C
CC015C</v>
      </c>
      <c r="B126" s="1">
        <v>4</v>
      </c>
      <c r="C126" s="1" t="s">
        <v>17</v>
      </c>
      <c r="D126" s="19" t="s">
        <v>18</v>
      </c>
      <c r="E126" s="28" t="s">
        <v>264</v>
      </c>
      <c r="F126" s="3" t="s">
        <v>405</v>
      </c>
      <c r="G126" s="24" t="s">
        <v>21</v>
      </c>
      <c r="H126" s="3" t="s">
        <v>649</v>
      </c>
      <c r="I126" s="3"/>
      <c r="J126" s="3"/>
      <c r="K126" s="3"/>
      <c r="L126" s="3" t="s">
        <v>648</v>
      </c>
      <c r="M126" s="19" t="s">
        <v>265</v>
      </c>
      <c r="P126" s="19" t="s">
        <v>266</v>
      </c>
      <c r="Q126" s="1" t="str">
        <f>IF($B126=0,$M126,_xlfn.TEXTBEFORE(Q125,"/",$B126,,,Q125)&amp;"/"&amp;$M126)&amp;IF(_xlfn.TEXTAFTER($D126,"..",,,,1)&lt;&gt;"1","[0]","")</f>
        <v>*/Consignment/LocationOfGoods/GNSS/longitude</v>
      </c>
      <c r="T126" s="24" t="s">
        <v>441</v>
      </c>
    </row>
    <row r="127" spans="1:20" ht="12" customHeight="1" outlineLevel="3" x14ac:dyDescent="0.25">
      <c r="A127" s="21" t="str">
        <f>$E$2</f>
        <v>CC013C
CC015C</v>
      </c>
      <c r="B127" s="4">
        <v>3</v>
      </c>
      <c r="C127" s="21" t="s">
        <v>41</v>
      </c>
      <c r="D127" s="21" t="s">
        <v>36</v>
      </c>
      <c r="E127" s="27" t="s">
        <v>267</v>
      </c>
      <c r="F127" s="6"/>
      <c r="G127" s="33" t="s">
        <v>450</v>
      </c>
      <c r="H127" s="6"/>
      <c r="I127" s="6" t="s">
        <v>641</v>
      </c>
      <c r="J127" s="6"/>
      <c r="K127" s="6"/>
      <c r="L127" s="6" t="s">
        <v>650</v>
      </c>
      <c r="M127" s="21" t="s">
        <v>268</v>
      </c>
      <c r="N127" s="4"/>
      <c r="O127" s="4"/>
      <c r="P127" s="4"/>
      <c r="Q127" s="1" t="str">
        <f>IF($B127=0,$M127,_xlfn.TEXTBEFORE(Q126,"/",$B127,,,Q126)&amp;"/"&amp;$M127)&amp;IF(_xlfn.TEXTAFTER($D127,"..",,,,1)&lt;&gt;"1","[0]","")</f>
        <v>*/Consignment/LocationOfGoods/EconomicOperator</v>
      </c>
    </row>
    <row r="128" spans="1:20" ht="12" customHeight="1" outlineLevel="4" x14ac:dyDescent="0.25">
      <c r="A128" s="19" t="str">
        <f>$E$2</f>
        <v>CC013C
CC015C</v>
      </c>
      <c r="B128" s="1">
        <v>4</v>
      </c>
      <c r="C128" s="1" t="s">
        <v>17</v>
      </c>
      <c r="D128" s="19" t="s">
        <v>18</v>
      </c>
      <c r="E128" s="28" t="s">
        <v>119</v>
      </c>
      <c r="F128" s="24" t="s">
        <v>120</v>
      </c>
      <c r="G128" s="24" t="s">
        <v>21</v>
      </c>
      <c r="H128" s="3" t="s">
        <v>537</v>
      </c>
      <c r="I128" s="3"/>
      <c r="J128" s="3"/>
      <c r="K128" s="3"/>
      <c r="L128" s="3" t="s">
        <v>651</v>
      </c>
      <c r="M128" s="19" t="s">
        <v>121</v>
      </c>
      <c r="P128" s="19" t="s">
        <v>122</v>
      </c>
      <c r="Q128" s="1" t="str">
        <f>IF($B128=0,$M128,_xlfn.TEXTBEFORE(Q127,"/",$B128,,,Q127)&amp;"/"&amp;$M128)&amp;IF(_xlfn.TEXTAFTER($D128,"..",,,,1)&lt;&gt;"1","[0]","")</f>
        <v>*/Consignment/LocationOfGoods/EconomicOperator/identificationNumber</v>
      </c>
      <c r="T128" s="24" t="s">
        <v>424</v>
      </c>
    </row>
    <row r="129" spans="1:20" ht="12" customHeight="1" outlineLevel="3" x14ac:dyDescent="0.25">
      <c r="A129" s="21" t="str">
        <f>$E$2</f>
        <v>CC013C
CC015C</v>
      </c>
      <c r="B129" s="4">
        <v>3</v>
      </c>
      <c r="C129" s="21" t="s">
        <v>41</v>
      </c>
      <c r="D129" s="21" t="s">
        <v>36</v>
      </c>
      <c r="E129" s="27" t="s">
        <v>129</v>
      </c>
      <c r="F129" s="6"/>
      <c r="G129" s="33" t="s">
        <v>450</v>
      </c>
      <c r="H129" s="6"/>
      <c r="I129" s="6" t="s">
        <v>641</v>
      </c>
      <c r="J129" s="6"/>
      <c r="K129" s="6"/>
      <c r="L129" s="6" t="s">
        <v>652</v>
      </c>
      <c r="M129" s="21" t="s">
        <v>129</v>
      </c>
      <c r="N129" s="4"/>
      <c r="O129" s="4"/>
      <c r="P129" s="4"/>
      <c r="Q129" s="1" t="str">
        <f>IF($B129=0,$M129,_xlfn.TEXTBEFORE(Q128,"/",$B129,,,Q128)&amp;"/"&amp;$M129)&amp;IF(_xlfn.TEXTAFTER($D129,"..",,,,1)&lt;&gt;"1","[0]","")</f>
        <v>*/Consignment/LocationOfGoods/Address</v>
      </c>
    </row>
    <row r="130" spans="1:20" ht="12" customHeight="1" outlineLevel="4" x14ac:dyDescent="0.25">
      <c r="A130" s="19" t="str">
        <f>$E$2</f>
        <v>CC013C
CC015C</v>
      </c>
      <c r="B130" s="1">
        <v>4</v>
      </c>
      <c r="C130" s="1" t="s">
        <v>17</v>
      </c>
      <c r="D130" s="19" t="s">
        <v>18</v>
      </c>
      <c r="E130" s="28" t="s">
        <v>130</v>
      </c>
      <c r="F130" s="24" t="s">
        <v>126</v>
      </c>
      <c r="G130" s="24" t="s">
        <v>21</v>
      </c>
      <c r="H130" s="3"/>
      <c r="I130" s="3"/>
      <c r="J130" s="3"/>
      <c r="K130" s="3"/>
      <c r="L130" s="3" t="s">
        <v>653</v>
      </c>
      <c r="M130" s="19" t="s">
        <v>131</v>
      </c>
      <c r="P130" s="19" t="s">
        <v>132</v>
      </c>
      <c r="Q130" s="1" t="str">
        <f>IF($B130=0,$M130,_xlfn.TEXTBEFORE(Q129,"/",$B130,,,Q129)&amp;"/"&amp;$M130)&amp;IF(_xlfn.TEXTAFTER($D130,"..",,,,1)&lt;&gt;"1","[0]","")</f>
        <v>*/Consignment/LocationOfGoods/Address/streetAndNumber</v>
      </c>
      <c r="T130" s="24" t="s">
        <v>425</v>
      </c>
    </row>
    <row r="131" spans="1:20" ht="12" customHeight="1" outlineLevel="4" x14ac:dyDescent="0.25">
      <c r="A131" s="19" t="str">
        <f>$E$2</f>
        <v>CC013C
CC015C</v>
      </c>
      <c r="B131" s="1">
        <v>4</v>
      </c>
      <c r="C131" s="1" t="s">
        <v>17</v>
      </c>
      <c r="D131" s="19" t="s">
        <v>36</v>
      </c>
      <c r="E131" s="28" t="s">
        <v>133</v>
      </c>
      <c r="F131" s="24" t="s">
        <v>120</v>
      </c>
      <c r="G131" s="24" t="s">
        <v>450</v>
      </c>
      <c r="H131" s="3"/>
      <c r="I131" s="3" t="s">
        <v>544</v>
      </c>
      <c r="J131" s="3"/>
      <c r="K131" s="3"/>
      <c r="L131" s="3" t="s">
        <v>654</v>
      </c>
      <c r="M131" s="19" t="s">
        <v>134</v>
      </c>
      <c r="P131" s="19" t="s">
        <v>135</v>
      </c>
      <c r="Q131" s="1" t="str">
        <f>IF($B131=0,$M131,_xlfn.TEXTBEFORE(Q130,"/",$B131,,,Q130)&amp;"/"&amp;$M131)&amp;IF(_xlfn.TEXTAFTER($D131,"..",,,,1)&lt;&gt;"1","[0]","")</f>
        <v>*/Consignment/LocationOfGoods/Address/postcode</v>
      </c>
      <c r="T131" s="24" t="s">
        <v>424</v>
      </c>
    </row>
    <row r="132" spans="1:20" ht="12" customHeight="1" outlineLevel="4" x14ac:dyDescent="0.25">
      <c r="A132" s="19" t="str">
        <f>$E$2</f>
        <v>CC013C
CC015C</v>
      </c>
      <c r="B132" s="1">
        <v>4</v>
      </c>
      <c r="C132" s="1" t="s">
        <v>17</v>
      </c>
      <c r="D132" s="19" t="s">
        <v>18</v>
      </c>
      <c r="E132" s="28" t="s">
        <v>136</v>
      </c>
      <c r="F132" s="24" t="s">
        <v>101</v>
      </c>
      <c r="G132" s="24" t="s">
        <v>21</v>
      </c>
      <c r="H132" s="3"/>
      <c r="I132" s="3"/>
      <c r="J132" s="3"/>
      <c r="K132" s="3"/>
      <c r="L132" s="3" t="s">
        <v>655</v>
      </c>
      <c r="M132" s="19" t="s">
        <v>137</v>
      </c>
      <c r="P132" s="19" t="s">
        <v>138</v>
      </c>
      <c r="Q132" s="1" t="str">
        <f>IF($B132=0,$M132,_xlfn.TEXTBEFORE(Q131,"/",$B132,,,Q131)&amp;"/"&amp;$M132)&amp;IF(_xlfn.TEXTAFTER($D132,"..",,,,1)&lt;&gt;"1","[0]","")</f>
        <v>*/Consignment/LocationOfGoods/Address/city</v>
      </c>
      <c r="T132" s="24" t="s">
        <v>422</v>
      </c>
    </row>
    <row r="133" spans="1:20" ht="12" customHeight="1" outlineLevel="4" x14ac:dyDescent="0.25">
      <c r="A133" s="19" t="str">
        <f>$E$2</f>
        <v>CC013C
CC015C</v>
      </c>
      <c r="B133" s="1">
        <v>4</v>
      </c>
      <c r="C133" s="1" t="s">
        <v>17</v>
      </c>
      <c r="D133" s="19" t="s">
        <v>18</v>
      </c>
      <c r="E133" s="28" t="s">
        <v>139</v>
      </c>
      <c r="F133" s="3" t="s">
        <v>140</v>
      </c>
      <c r="G133" s="24" t="s">
        <v>21</v>
      </c>
      <c r="H133" s="3"/>
      <c r="I133" s="3"/>
      <c r="J133" s="3" t="s">
        <v>657</v>
      </c>
      <c r="K133" s="3"/>
      <c r="L133" s="3" t="s">
        <v>656</v>
      </c>
      <c r="M133" s="19" t="s">
        <v>141</v>
      </c>
      <c r="P133" s="19" t="s">
        <v>142</v>
      </c>
      <c r="Q133" s="1" t="str">
        <f>IF($B133=0,$M133,_xlfn.TEXTBEFORE(Q132,"/",$B133,,,Q132)&amp;"/"&amp;$M133)&amp;IF(_xlfn.TEXTAFTER($D133,"..",,,,1)&lt;&gt;"1","[0]","")</f>
        <v>*/Consignment/LocationOfGoods/Address/country</v>
      </c>
      <c r="T133" s="24" t="s">
        <v>426</v>
      </c>
    </row>
    <row r="134" spans="1:20" ht="12" customHeight="1" outlineLevel="3" x14ac:dyDescent="0.25">
      <c r="A134" s="21" t="str">
        <f>$E$2</f>
        <v>CC013C
CC015C</v>
      </c>
      <c r="B134" s="4">
        <v>3</v>
      </c>
      <c r="C134" s="21" t="s">
        <v>41</v>
      </c>
      <c r="D134" s="21" t="s">
        <v>36</v>
      </c>
      <c r="E134" s="27" t="s">
        <v>269</v>
      </c>
      <c r="F134" s="6"/>
      <c r="G134" s="33" t="s">
        <v>450</v>
      </c>
      <c r="H134" s="6"/>
      <c r="I134" s="6" t="s">
        <v>641</v>
      </c>
      <c r="J134" s="6"/>
      <c r="K134" s="6"/>
      <c r="L134" s="6" t="s">
        <v>658</v>
      </c>
      <c r="M134" s="21" t="s">
        <v>270</v>
      </c>
      <c r="N134" s="4"/>
      <c r="O134" s="4"/>
      <c r="P134" s="4"/>
      <c r="Q134" s="1" t="str">
        <f>IF($B134=0,$M134,_xlfn.TEXTBEFORE(Q133,"/",$B134,,,Q133)&amp;"/"&amp;$M134)&amp;IF(_xlfn.TEXTAFTER($D134,"..",,,,1)&lt;&gt;"1","[0]","")</f>
        <v>*/Consignment/LocationOfGoods/PostcodeAddress</v>
      </c>
    </row>
    <row r="135" spans="1:20" ht="12" customHeight="1" outlineLevel="4" x14ac:dyDescent="0.25">
      <c r="A135" s="19" t="str">
        <f>$E$2</f>
        <v>CC013C
CC015C</v>
      </c>
      <c r="B135" s="1">
        <v>4</v>
      </c>
      <c r="C135" s="1" t="s">
        <v>17</v>
      </c>
      <c r="D135" s="19" t="s">
        <v>36</v>
      </c>
      <c r="E135" s="28" t="s">
        <v>271</v>
      </c>
      <c r="F135" s="24" t="s">
        <v>120</v>
      </c>
      <c r="G135" s="24" t="s">
        <v>450</v>
      </c>
      <c r="H135" s="3"/>
      <c r="I135" s="3" t="s">
        <v>661</v>
      </c>
      <c r="J135" s="3"/>
      <c r="K135" s="3"/>
      <c r="L135" s="3" t="s">
        <v>659</v>
      </c>
      <c r="M135" s="19" t="s">
        <v>272</v>
      </c>
      <c r="P135" s="19" t="s">
        <v>273</v>
      </c>
      <c r="Q135" s="1" t="str">
        <f>IF($B135=0,$M135,_xlfn.TEXTBEFORE(Q134,"/",$B135,,,Q134)&amp;"/"&amp;$M135)&amp;IF(_xlfn.TEXTAFTER($D135,"..",,,,1)&lt;&gt;"1","[0]","")</f>
        <v>*/Consignment/LocationOfGoods/PostcodeAddress/houseNumber</v>
      </c>
      <c r="T135" s="24" t="s">
        <v>424</v>
      </c>
    </row>
    <row r="136" spans="1:20" ht="12" customHeight="1" outlineLevel="4" x14ac:dyDescent="0.25">
      <c r="A136" s="19" t="str">
        <f>$E$2</f>
        <v>CC013C
CC015C</v>
      </c>
      <c r="B136" s="1">
        <v>4</v>
      </c>
      <c r="C136" s="1" t="s">
        <v>17</v>
      </c>
      <c r="D136" s="19" t="s">
        <v>18</v>
      </c>
      <c r="E136" s="28" t="s">
        <v>133</v>
      </c>
      <c r="F136" s="24" t="s">
        <v>120</v>
      </c>
      <c r="G136" s="24" t="s">
        <v>21</v>
      </c>
      <c r="H136" s="3"/>
      <c r="I136" s="3"/>
      <c r="J136" s="3"/>
      <c r="K136" s="3"/>
      <c r="L136" s="3" t="s">
        <v>660</v>
      </c>
      <c r="M136" s="19" t="s">
        <v>134</v>
      </c>
      <c r="P136" s="19" t="s">
        <v>135</v>
      </c>
      <c r="Q136" s="1" t="str">
        <f>IF($B136=0,$M136,_xlfn.TEXTBEFORE(Q135,"/",$B136,,,Q135)&amp;"/"&amp;$M136)&amp;IF(_xlfn.TEXTAFTER($D136,"..",,,,1)&lt;&gt;"1","[0]","")</f>
        <v>*/Consignment/LocationOfGoods/PostcodeAddress/postcode</v>
      </c>
      <c r="T136" s="24" t="s">
        <v>424</v>
      </c>
    </row>
    <row r="137" spans="1:20" ht="12" customHeight="1" outlineLevel="4" x14ac:dyDescent="0.25">
      <c r="A137" s="19" t="str">
        <f>$E$2</f>
        <v>CC013C
CC015C</v>
      </c>
      <c r="B137" s="1">
        <v>4</v>
      </c>
      <c r="C137" s="1" t="s">
        <v>17</v>
      </c>
      <c r="D137" s="19" t="s">
        <v>18</v>
      </c>
      <c r="E137" s="28" t="s">
        <v>139</v>
      </c>
      <c r="F137" s="3" t="s">
        <v>140</v>
      </c>
      <c r="G137" s="24" t="s">
        <v>21</v>
      </c>
      <c r="H137" s="3"/>
      <c r="I137" s="3"/>
      <c r="J137" s="3" t="s">
        <v>663</v>
      </c>
      <c r="K137" s="3"/>
      <c r="L137" s="3" t="s">
        <v>662</v>
      </c>
      <c r="M137" s="19" t="s">
        <v>141</v>
      </c>
      <c r="P137" s="19" t="s">
        <v>142</v>
      </c>
      <c r="Q137" s="1" t="str">
        <f>IF($B137=0,$M137,_xlfn.TEXTBEFORE(Q136,"/",$B137,,,Q136)&amp;"/"&amp;$M137)&amp;IF(_xlfn.TEXTAFTER($D137,"..",,,,1)&lt;&gt;"1","[0]","")</f>
        <v>*/Consignment/LocationOfGoods/PostcodeAddress/country</v>
      </c>
      <c r="T137" s="24" t="s">
        <v>426</v>
      </c>
    </row>
    <row r="138" spans="1:20" ht="12" customHeight="1" outlineLevel="3" x14ac:dyDescent="0.25">
      <c r="A138" s="21" t="str">
        <f>$E$2</f>
        <v>CC013C
CC015C</v>
      </c>
      <c r="B138" s="4">
        <v>3</v>
      </c>
      <c r="C138" s="21" t="s">
        <v>41</v>
      </c>
      <c r="D138" s="21" t="s">
        <v>36</v>
      </c>
      <c r="E138" s="27" t="s">
        <v>143</v>
      </c>
      <c r="F138" s="6"/>
      <c r="G138" s="33" t="s">
        <v>450</v>
      </c>
      <c r="H138" s="6" t="s">
        <v>549</v>
      </c>
      <c r="I138" s="6" t="s">
        <v>641</v>
      </c>
      <c r="J138" s="6"/>
      <c r="K138" s="6"/>
      <c r="L138" s="6" t="s">
        <v>664</v>
      </c>
      <c r="M138" s="21" t="s">
        <v>144</v>
      </c>
      <c r="N138" s="4"/>
      <c r="O138" s="4"/>
      <c r="P138" s="4"/>
      <c r="Q138" s="1" t="str">
        <f>IF($B138=0,$M138,_xlfn.TEXTBEFORE(Q137,"/",$B138,,,Q137)&amp;"/"&amp;$M138)&amp;IF(_xlfn.TEXTAFTER($D138,"..",,,,1)&lt;&gt;"1","[0]","")</f>
        <v>*/Consignment/LocationOfGoods/ContactPerson</v>
      </c>
    </row>
    <row r="139" spans="1:20" ht="12" customHeight="1" outlineLevel="4" x14ac:dyDescent="0.25">
      <c r="A139" s="19" t="str">
        <f>$E$2</f>
        <v>CC013C
CC015C</v>
      </c>
      <c r="B139" s="1">
        <v>4</v>
      </c>
      <c r="C139" s="1" t="s">
        <v>17</v>
      </c>
      <c r="D139" s="19" t="s">
        <v>18</v>
      </c>
      <c r="E139" s="28" t="s">
        <v>4</v>
      </c>
      <c r="F139" s="24" t="s">
        <v>126</v>
      </c>
      <c r="G139" s="24" t="s">
        <v>21</v>
      </c>
      <c r="H139" s="3"/>
      <c r="I139" s="3"/>
      <c r="J139" s="3"/>
      <c r="K139" s="3"/>
      <c r="L139" s="3" t="s">
        <v>665</v>
      </c>
      <c r="M139" s="19" t="s">
        <v>127</v>
      </c>
      <c r="P139" s="19" t="s">
        <v>128</v>
      </c>
      <c r="Q139" s="1" t="str">
        <f>IF($B139=0,$M139,_xlfn.TEXTBEFORE(Q138,"/",$B139,,,Q138)&amp;"/"&amp;$M139)&amp;IF(_xlfn.TEXTAFTER($D139,"..",,,,1)&lt;&gt;"1","[0]","")</f>
        <v>*/Consignment/LocationOfGoods/ContactPerson/name</v>
      </c>
      <c r="T139" s="24" t="s">
        <v>425</v>
      </c>
    </row>
    <row r="140" spans="1:20" ht="12" customHeight="1" outlineLevel="4" x14ac:dyDescent="0.25">
      <c r="A140" s="19" t="str">
        <f>$E$2</f>
        <v>CC013C
CC015C</v>
      </c>
      <c r="B140" s="1">
        <v>4</v>
      </c>
      <c r="C140" s="1" t="s">
        <v>17</v>
      </c>
      <c r="D140" s="19" t="s">
        <v>18</v>
      </c>
      <c r="E140" s="28" t="s">
        <v>145</v>
      </c>
      <c r="F140" s="24" t="s">
        <v>20</v>
      </c>
      <c r="G140" s="24" t="s">
        <v>21</v>
      </c>
      <c r="H140" s="3"/>
      <c r="I140" s="3"/>
      <c r="J140" s="3"/>
      <c r="K140" s="3"/>
      <c r="L140" s="3" t="s">
        <v>666</v>
      </c>
      <c r="M140" s="19" t="s">
        <v>146</v>
      </c>
      <c r="P140" s="19" t="s">
        <v>147</v>
      </c>
      <c r="Q140" s="1" t="str">
        <f>IF($B140=0,$M140,_xlfn.TEXTBEFORE(Q139,"/",$B140,,,Q139)&amp;"/"&amp;$M140)&amp;IF(_xlfn.TEXTAFTER($D140,"..",,,,1)&lt;&gt;"1","[0]","")</f>
        <v>*/Consignment/LocationOfGoods/ContactPerson/phoneNumber</v>
      </c>
      <c r="T140" s="19" t="s">
        <v>413</v>
      </c>
    </row>
    <row r="141" spans="1:20" ht="12" customHeight="1" outlineLevel="4" x14ac:dyDescent="0.25">
      <c r="A141" s="19" t="str">
        <f>$E$2</f>
        <v>CC013C
CC015C</v>
      </c>
      <c r="B141" s="1">
        <v>4</v>
      </c>
      <c r="C141" s="1" t="s">
        <v>17</v>
      </c>
      <c r="D141" s="19" t="s">
        <v>36</v>
      </c>
      <c r="E141" s="28" t="s">
        <v>148</v>
      </c>
      <c r="F141" s="24" t="s">
        <v>149</v>
      </c>
      <c r="G141" s="24" t="s">
        <v>38</v>
      </c>
      <c r="H141" s="3" t="s">
        <v>458</v>
      </c>
      <c r="I141" s="3"/>
      <c r="J141" s="3"/>
      <c r="K141" s="3"/>
      <c r="L141" s="3" t="s">
        <v>667</v>
      </c>
      <c r="M141" s="19" t="s">
        <v>150</v>
      </c>
      <c r="P141" s="19" t="s">
        <v>151</v>
      </c>
      <c r="Q141" s="1" t="str">
        <f>IF($B141=0,$M141,_xlfn.TEXTBEFORE(Q140,"/",$B141,,,Q140)&amp;"/"&amp;$M141)&amp;IF(_xlfn.TEXTAFTER($D141,"..",,,,1)&lt;&gt;"1","[0]","")</f>
        <v>*/Consignment/LocationOfGoods/ContactPerson/eMailAddress</v>
      </c>
      <c r="T141" s="24" t="s">
        <v>427</v>
      </c>
    </row>
    <row r="142" spans="1:20" ht="12" customHeight="1" outlineLevel="2" x14ac:dyDescent="0.25">
      <c r="A142" s="21" t="str">
        <f>$E$2</f>
        <v>CC013C
CC015C</v>
      </c>
      <c r="B142" s="4">
        <v>2</v>
      </c>
      <c r="C142" s="21" t="s">
        <v>41</v>
      </c>
      <c r="D142" s="21" t="s">
        <v>274</v>
      </c>
      <c r="E142" s="25" t="s">
        <v>275</v>
      </c>
      <c r="F142" s="6"/>
      <c r="G142" s="33" t="s">
        <v>450</v>
      </c>
      <c r="H142" s="6" t="s">
        <v>731</v>
      </c>
      <c r="I142" s="6" t="s">
        <v>730</v>
      </c>
      <c r="J142" s="6"/>
      <c r="K142" s="6"/>
      <c r="L142" s="6" t="s">
        <v>716</v>
      </c>
      <c r="M142" s="21" t="s">
        <v>276</v>
      </c>
      <c r="N142" s="4"/>
      <c r="O142" s="4"/>
      <c r="P142" s="4"/>
      <c r="Q142" s="1" t="str">
        <f>IF($B142=0,$M142,_xlfn.TEXTBEFORE(Q141,"/",$B142,,,Q141)&amp;"/"&amp;$M142)&amp;IF(_xlfn.TEXTAFTER($D142,"..",,,,1)&lt;&gt;"1","[0]","")</f>
        <v>*/Consignment/DepartureTransportMeans[0]</v>
      </c>
    </row>
    <row r="143" spans="1:20" ht="12" customHeight="1" outlineLevel="3" x14ac:dyDescent="0.25">
      <c r="A143" s="19" t="str">
        <f>$E$2</f>
        <v>CC013C
CC015C</v>
      </c>
      <c r="B143" s="1">
        <v>3</v>
      </c>
      <c r="C143" s="1" t="s">
        <v>17</v>
      </c>
      <c r="D143" s="19" t="s">
        <v>18</v>
      </c>
      <c r="E143" s="26" t="s">
        <v>93</v>
      </c>
      <c r="F143" s="24" t="s">
        <v>717</v>
      </c>
      <c r="G143" s="24" t="s">
        <v>21</v>
      </c>
      <c r="H143" s="3" t="s">
        <v>475</v>
      </c>
      <c r="I143" s="3"/>
      <c r="J143" s="3"/>
      <c r="K143" s="3"/>
      <c r="L143" s="3"/>
      <c r="M143" s="19" t="s">
        <v>95</v>
      </c>
      <c r="P143" s="19" t="s">
        <v>96</v>
      </c>
      <c r="Q143" s="1" t="str">
        <f>IF($B143=0,$M143,_xlfn.TEXTBEFORE(Q142,"/",$B143,,,Q142)&amp;"/"&amp;$M143)&amp;IF(_xlfn.TEXTAFTER($D143,"..",,,,1)&lt;&gt;"1","[0]","")</f>
        <v>*/Consignment/DepartureTransportMeans[0]/sequenceNumber</v>
      </c>
      <c r="T143" s="24" t="s">
        <v>421</v>
      </c>
    </row>
    <row r="144" spans="1:20" ht="12" customHeight="1" outlineLevel="3" x14ac:dyDescent="0.25">
      <c r="A144" s="19" t="str">
        <f>$E$2</f>
        <v>CC013C
CC015C</v>
      </c>
      <c r="B144" s="1">
        <v>3</v>
      </c>
      <c r="C144" s="1" t="s">
        <v>17</v>
      </c>
      <c r="D144" s="19" t="s">
        <v>18</v>
      </c>
      <c r="E144" s="26" t="s">
        <v>277</v>
      </c>
      <c r="F144" s="24" t="s">
        <v>278</v>
      </c>
      <c r="G144" s="24" t="s">
        <v>21</v>
      </c>
      <c r="H144" s="3" t="s">
        <v>736</v>
      </c>
      <c r="I144" s="3"/>
      <c r="J144" s="3" t="s">
        <v>732</v>
      </c>
      <c r="K144" s="3"/>
      <c r="L144" s="3" t="s">
        <v>727</v>
      </c>
      <c r="M144" s="19" t="s">
        <v>279</v>
      </c>
      <c r="P144" s="19" t="s">
        <v>280</v>
      </c>
      <c r="Q144" s="1" t="str">
        <f>IF($B144=0,$M144,_xlfn.TEXTBEFORE(Q143,"/",$B144,,,Q143)&amp;"/"&amp;$M144)&amp;IF(_xlfn.TEXTAFTER($D144,"..",,,,1)&lt;&gt;"1","[0]","")</f>
        <v>*/Consignment/DepartureTransportMeans[0]/typeOfIdentification</v>
      </c>
      <c r="T144" s="19" t="s">
        <v>413</v>
      </c>
    </row>
    <row r="145" spans="1:20" ht="12" customHeight="1" outlineLevel="3" x14ac:dyDescent="0.25">
      <c r="A145" s="19" t="str">
        <f>$E$2</f>
        <v>CC013C
CC015C</v>
      </c>
      <c r="B145" s="1">
        <v>3</v>
      </c>
      <c r="C145" s="1" t="s">
        <v>17</v>
      </c>
      <c r="D145" s="19" t="s">
        <v>18</v>
      </c>
      <c r="E145" s="26" t="s">
        <v>119</v>
      </c>
      <c r="F145" s="24" t="s">
        <v>101</v>
      </c>
      <c r="G145" s="24" t="s">
        <v>21</v>
      </c>
      <c r="H145" s="3" t="s">
        <v>735</v>
      </c>
      <c r="I145" s="3"/>
      <c r="J145" s="3"/>
      <c r="K145" s="3"/>
      <c r="L145" s="3" t="s">
        <v>728</v>
      </c>
      <c r="M145" s="19" t="s">
        <v>121</v>
      </c>
      <c r="P145" s="19" t="s">
        <v>281</v>
      </c>
      <c r="Q145" s="1" t="str">
        <f>IF($B145=0,$M145,_xlfn.TEXTBEFORE(Q144,"/",$B145,,,Q144)&amp;"/"&amp;$M145)&amp;IF(_xlfn.TEXTAFTER($D145,"..",,,,1)&lt;&gt;"1","[0]","")</f>
        <v>*/Consignment/DepartureTransportMeans[0]/identificationNumber</v>
      </c>
      <c r="T145" s="24" t="s">
        <v>422</v>
      </c>
    </row>
    <row r="146" spans="1:20" ht="12" customHeight="1" outlineLevel="3" x14ac:dyDescent="0.25">
      <c r="A146" s="19" t="str">
        <f>$E$2</f>
        <v>CC013C
CC015C</v>
      </c>
      <c r="B146" s="1">
        <v>3</v>
      </c>
      <c r="C146" s="1" t="s">
        <v>17</v>
      </c>
      <c r="D146" s="19" t="s">
        <v>18</v>
      </c>
      <c r="E146" s="26" t="s">
        <v>282</v>
      </c>
      <c r="F146" s="3" t="s">
        <v>140</v>
      </c>
      <c r="G146" s="24" t="s">
        <v>21</v>
      </c>
      <c r="H146" s="3" t="s">
        <v>734</v>
      </c>
      <c r="I146" s="3"/>
      <c r="J146" s="3" t="s">
        <v>733</v>
      </c>
      <c r="K146" s="3"/>
      <c r="L146" s="3" t="s">
        <v>729</v>
      </c>
      <c r="M146" s="19" t="s">
        <v>283</v>
      </c>
      <c r="P146" s="19" t="s">
        <v>284</v>
      </c>
      <c r="Q146" s="1" t="str">
        <f>IF($B146=0,$M146,_xlfn.TEXTBEFORE(Q145,"/",$B146,,,Q145)&amp;"/"&amp;$M146)&amp;IF(_xlfn.TEXTAFTER($D146,"..",,,,1)&lt;&gt;"1","[0]","")</f>
        <v>*/Consignment/DepartureTransportMeans[0]/nationality</v>
      </c>
      <c r="T146" s="24" t="s">
        <v>426</v>
      </c>
    </row>
    <row r="147" spans="1:20" ht="12" customHeight="1" outlineLevel="2" x14ac:dyDescent="0.25">
      <c r="A147" s="21" t="str">
        <f>$E$2</f>
        <v>CC013C
CC015C</v>
      </c>
      <c r="B147" s="4">
        <v>2</v>
      </c>
      <c r="C147" s="21" t="s">
        <v>41</v>
      </c>
      <c r="D147" s="21" t="s">
        <v>164</v>
      </c>
      <c r="E147" s="25" t="s">
        <v>285</v>
      </c>
      <c r="F147" s="6"/>
      <c r="G147" s="33" t="s">
        <v>450</v>
      </c>
      <c r="H147" s="6" t="s">
        <v>615</v>
      </c>
      <c r="I147" s="6" t="s">
        <v>614</v>
      </c>
      <c r="J147" s="6"/>
      <c r="K147" s="6"/>
      <c r="L147" s="6" t="s">
        <v>612</v>
      </c>
      <c r="M147" s="21" t="s">
        <v>286</v>
      </c>
      <c r="N147" s="4"/>
      <c r="O147" s="4"/>
      <c r="P147" s="4"/>
      <c r="Q147" s="1" t="str">
        <f>IF($B147=0,$M147,_xlfn.TEXTBEFORE(Q146,"/",$B147,,,Q146)&amp;"/"&amp;$M147)&amp;IF(_xlfn.TEXTAFTER($D147,"..",,,,1)&lt;&gt;"1","[0]","")</f>
        <v>*/Consignment/CountryOfRoutingOfConsignment[0]</v>
      </c>
    </row>
    <row r="148" spans="1:20" ht="12" customHeight="1" outlineLevel="3" x14ac:dyDescent="0.25">
      <c r="A148" s="19" t="str">
        <f>$E$2</f>
        <v>CC013C
CC015C</v>
      </c>
      <c r="B148" s="1">
        <v>3</v>
      </c>
      <c r="C148" s="1" t="s">
        <v>17</v>
      </c>
      <c r="D148" s="19" t="s">
        <v>18</v>
      </c>
      <c r="E148" s="26" t="s">
        <v>93</v>
      </c>
      <c r="F148" s="24" t="s">
        <v>483</v>
      </c>
      <c r="G148" s="24" t="s">
        <v>21</v>
      </c>
      <c r="H148" s="3" t="s">
        <v>475</v>
      </c>
      <c r="I148" s="3"/>
      <c r="J148" s="3"/>
      <c r="K148" s="3"/>
      <c r="L148" s="3"/>
      <c r="M148" s="19" t="s">
        <v>95</v>
      </c>
      <c r="P148" s="19" t="s">
        <v>96</v>
      </c>
      <c r="Q148" s="1" t="str">
        <f>IF($B148=0,$M148,_xlfn.TEXTBEFORE(Q147,"/",$B148,,,Q147)&amp;"/"&amp;$M148)&amp;IF(_xlfn.TEXTAFTER($D148,"..",,,,1)&lt;&gt;"1","[0]","")</f>
        <v>*/Consignment/CountryOfRoutingOfConsignment[0]/sequenceNumber</v>
      </c>
      <c r="T148" s="24" t="s">
        <v>421</v>
      </c>
    </row>
    <row r="149" spans="1:20" ht="12" customHeight="1" outlineLevel="3" x14ac:dyDescent="0.25">
      <c r="A149" s="19" t="str">
        <f>$E$2</f>
        <v>CC013C
CC015C</v>
      </c>
      <c r="B149" s="1">
        <v>3</v>
      </c>
      <c r="C149" s="1" t="s">
        <v>17</v>
      </c>
      <c r="D149" s="19" t="s">
        <v>18</v>
      </c>
      <c r="E149" s="26" t="s">
        <v>139</v>
      </c>
      <c r="F149" s="3" t="s">
        <v>140</v>
      </c>
      <c r="G149" s="24" t="s">
        <v>21</v>
      </c>
      <c r="H149" s="3"/>
      <c r="I149" s="3"/>
      <c r="J149" s="3" t="s">
        <v>606</v>
      </c>
      <c r="K149" s="3"/>
      <c r="L149" s="3" t="s">
        <v>613</v>
      </c>
      <c r="M149" s="19" t="s">
        <v>141</v>
      </c>
      <c r="P149" s="19" t="s">
        <v>142</v>
      </c>
      <c r="Q149" s="1" t="str">
        <f>IF($B149=0,$M149,_xlfn.TEXTBEFORE(Q148,"/",$B149,,,Q148)&amp;"/"&amp;$M149)&amp;IF(_xlfn.TEXTAFTER($D149,"..",,,,1)&lt;&gt;"1","[0]","")</f>
        <v>*/Consignment/CountryOfRoutingOfConsignment[0]/country</v>
      </c>
      <c r="T149" s="24" t="s">
        <v>426</v>
      </c>
    </row>
    <row r="150" spans="1:20" ht="12" customHeight="1" outlineLevel="2" x14ac:dyDescent="0.25">
      <c r="A150" s="21" t="str">
        <f>$E$2</f>
        <v>CC013C
CC015C</v>
      </c>
      <c r="B150" s="4">
        <v>2</v>
      </c>
      <c r="C150" s="21" t="s">
        <v>41</v>
      </c>
      <c r="D150" s="21" t="s">
        <v>91</v>
      </c>
      <c r="E150" s="25" t="s">
        <v>287</v>
      </c>
      <c r="F150" s="6"/>
      <c r="G150" s="33" t="s">
        <v>450</v>
      </c>
      <c r="H150" s="6" t="s">
        <v>755</v>
      </c>
      <c r="I150" s="6" t="s">
        <v>754</v>
      </c>
      <c r="J150" s="6"/>
      <c r="K150" s="6"/>
      <c r="L150" s="6" t="s">
        <v>753</v>
      </c>
      <c r="M150" s="21" t="s">
        <v>288</v>
      </c>
      <c r="N150" s="4"/>
      <c r="O150" s="4"/>
      <c r="P150" s="4"/>
      <c r="Q150" s="1" t="str">
        <f>IF($B150=0,$M150,_xlfn.TEXTBEFORE(Q149,"/",$B150,,,Q149)&amp;"/"&amp;$M150)&amp;IF(_xlfn.TEXTAFTER($D150,"..",,,,1)&lt;&gt;"1","[0]","")</f>
        <v>*/Consignment/ActiveBorderTransportMeans[0]</v>
      </c>
    </row>
    <row r="151" spans="1:20" ht="12" customHeight="1" outlineLevel="3" x14ac:dyDescent="0.25">
      <c r="A151" s="19" t="str">
        <f>$E$2</f>
        <v>CC013C
CC015C</v>
      </c>
      <c r="B151" s="1">
        <v>3</v>
      </c>
      <c r="C151" s="1" t="s">
        <v>17</v>
      </c>
      <c r="D151" s="19" t="s">
        <v>18</v>
      </c>
      <c r="E151" s="26" t="s">
        <v>93</v>
      </c>
      <c r="F151" s="24" t="s">
        <v>530</v>
      </c>
      <c r="G151" s="24" t="s">
        <v>21</v>
      </c>
      <c r="H151" s="3" t="s">
        <v>475</v>
      </c>
      <c r="I151" s="3"/>
      <c r="J151" s="3"/>
      <c r="K151" s="3"/>
      <c r="L151" s="3"/>
      <c r="M151" s="19" t="s">
        <v>95</v>
      </c>
      <c r="P151" s="19" t="s">
        <v>96</v>
      </c>
      <c r="Q151" s="1" t="str">
        <f>IF($B151=0,$M151,_xlfn.TEXTBEFORE(Q150,"/",$B151,,,Q150)&amp;"/"&amp;$M151)&amp;IF(_xlfn.TEXTAFTER($D151,"..",,,,1)&lt;&gt;"1","[0]","")</f>
        <v>*/Consignment/ActiveBorderTransportMeans[0]/sequenceNumber</v>
      </c>
      <c r="T151" s="24" t="s">
        <v>421</v>
      </c>
    </row>
    <row r="152" spans="1:20" ht="12" customHeight="1" outlineLevel="3" x14ac:dyDescent="0.25">
      <c r="A152" s="19" t="str">
        <f>$E$2</f>
        <v>CC013C
CC015C</v>
      </c>
      <c r="B152" s="1">
        <v>3</v>
      </c>
      <c r="C152" s="1" t="s">
        <v>17</v>
      </c>
      <c r="D152" s="19" t="s">
        <v>18</v>
      </c>
      <c r="E152" s="26" t="s">
        <v>289</v>
      </c>
      <c r="F152" s="24" t="s">
        <v>290</v>
      </c>
      <c r="G152" s="24" t="s">
        <v>21</v>
      </c>
      <c r="H152" s="3" t="s">
        <v>756</v>
      </c>
      <c r="I152" s="3"/>
      <c r="J152" s="3"/>
      <c r="K152" s="3"/>
      <c r="L152" s="3" t="s">
        <v>757</v>
      </c>
      <c r="M152" s="19" t="s">
        <v>291</v>
      </c>
      <c r="P152" s="19" t="s">
        <v>292</v>
      </c>
      <c r="Q152" s="1" t="str">
        <f>IF($B152=0,$M152,_xlfn.TEXTBEFORE(Q151,"/",$B152,,,Q151)&amp;"/"&amp;$M152)&amp;IF(_xlfn.TEXTAFTER($D152,"..",,,,1)&lt;&gt;"1","[0]","")</f>
        <v>*/Consignment/ActiveBorderTransportMeans[0]/customsOfficeAtBorderReferenceNumber</v>
      </c>
      <c r="T152" s="19" t="s">
        <v>413</v>
      </c>
    </row>
    <row r="153" spans="1:20" ht="12" customHeight="1" outlineLevel="3" x14ac:dyDescent="0.25">
      <c r="A153" s="19" t="str">
        <f>$E$2</f>
        <v>CC013C
CC015C</v>
      </c>
      <c r="B153" s="1">
        <v>3</v>
      </c>
      <c r="C153" s="1" t="s">
        <v>17</v>
      </c>
      <c r="D153" s="19" t="s">
        <v>18</v>
      </c>
      <c r="E153" s="26" t="s">
        <v>277</v>
      </c>
      <c r="F153" s="24" t="s">
        <v>278</v>
      </c>
      <c r="G153" s="24" t="s">
        <v>21</v>
      </c>
      <c r="H153" s="3" t="s">
        <v>760</v>
      </c>
      <c r="I153" s="3"/>
      <c r="J153" s="3" t="s">
        <v>759</v>
      </c>
      <c r="K153" s="3"/>
      <c r="L153" s="3" t="s">
        <v>758</v>
      </c>
      <c r="M153" s="19" t="s">
        <v>279</v>
      </c>
      <c r="P153" s="19" t="s">
        <v>280</v>
      </c>
      <c r="Q153" s="1" t="str">
        <f>IF($B153=0,$M153,_xlfn.TEXTBEFORE(Q152,"/",$B153,,,Q152)&amp;"/"&amp;$M153)&amp;IF(_xlfn.TEXTAFTER($D153,"..",,,,1)&lt;&gt;"1","[0]","")</f>
        <v>*/Consignment/ActiveBorderTransportMeans[0]/typeOfIdentification</v>
      </c>
      <c r="T153" s="19" t="s">
        <v>413</v>
      </c>
    </row>
    <row r="154" spans="1:20" ht="12" customHeight="1" outlineLevel="3" x14ac:dyDescent="0.25">
      <c r="A154" s="19" t="str">
        <f>$E$2</f>
        <v>CC013C
CC015C</v>
      </c>
      <c r="B154" s="1">
        <v>3</v>
      </c>
      <c r="C154" s="1" t="s">
        <v>17</v>
      </c>
      <c r="D154" s="19" t="s">
        <v>18</v>
      </c>
      <c r="E154" s="26" t="s">
        <v>119</v>
      </c>
      <c r="F154" s="24" t="s">
        <v>101</v>
      </c>
      <c r="G154" s="24" t="s">
        <v>21</v>
      </c>
      <c r="H154" s="3" t="s">
        <v>762</v>
      </c>
      <c r="I154" s="3"/>
      <c r="J154" s="3"/>
      <c r="K154" s="3"/>
      <c r="L154" s="3" t="s">
        <v>761</v>
      </c>
      <c r="M154" s="19" t="s">
        <v>121</v>
      </c>
      <c r="P154" s="19" t="s">
        <v>281</v>
      </c>
      <c r="Q154" s="1" t="str">
        <f>IF($B154=0,$M154,_xlfn.TEXTBEFORE(Q153,"/",$B154,,,Q153)&amp;"/"&amp;$M154)&amp;IF(_xlfn.TEXTAFTER($D154,"..",,,,1)&lt;&gt;"1","[0]","")</f>
        <v>*/Consignment/ActiveBorderTransportMeans[0]/identificationNumber</v>
      </c>
      <c r="T154" s="24" t="s">
        <v>422</v>
      </c>
    </row>
    <row r="155" spans="1:20" ht="12" customHeight="1" outlineLevel="3" x14ac:dyDescent="0.25">
      <c r="A155" s="19" t="str">
        <f>$E$2</f>
        <v>CC013C
CC015C</v>
      </c>
      <c r="B155" s="1">
        <v>3</v>
      </c>
      <c r="C155" s="1" t="s">
        <v>17</v>
      </c>
      <c r="D155" s="19" t="s">
        <v>18</v>
      </c>
      <c r="E155" s="26" t="s">
        <v>282</v>
      </c>
      <c r="F155" s="3" t="s">
        <v>140</v>
      </c>
      <c r="G155" s="24" t="s">
        <v>21</v>
      </c>
      <c r="H155" s="3" t="s">
        <v>764</v>
      </c>
      <c r="I155" s="3"/>
      <c r="J155" s="3" t="s">
        <v>733</v>
      </c>
      <c r="K155" s="3"/>
      <c r="L155" s="3" t="s">
        <v>763</v>
      </c>
      <c r="M155" s="19" t="s">
        <v>283</v>
      </c>
      <c r="P155" s="19" t="s">
        <v>284</v>
      </c>
      <c r="Q155" s="1" t="str">
        <f>IF($B155=0,$M155,_xlfn.TEXTBEFORE(Q154,"/",$B155,,,Q154)&amp;"/"&amp;$M155)&amp;IF(_xlfn.TEXTAFTER($D155,"..",,,,1)&lt;&gt;"1","[0]","")</f>
        <v>*/Consignment/ActiveBorderTransportMeans[0]/nationality</v>
      </c>
      <c r="T155" s="24" t="s">
        <v>426</v>
      </c>
    </row>
    <row r="156" spans="1:20" ht="12" customHeight="1" outlineLevel="3" x14ac:dyDescent="0.25">
      <c r="A156" s="19" t="str">
        <f>$E$2</f>
        <v>CC013C
CC015C</v>
      </c>
      <c r="B156" s="1">
        <v>3</v>
      </c>
      <c r="C156" s="1" t="s">
        <v>17</v>
      </c>
      <c r="D156" s="19" t="s">
        <v>36</v>
      </c>
      <c r="E156" s="26" t="s">
        <v>293</v>
      </c>
      <c r="F156" s="24" t="s">
        <v>294</v>
      </c>
      <c r="G156" s="24" t="s">
        <v>450</v>
      </c>
      <c r="H156" s="3" t="s">
        <v>767</v>
      </c>
      <c r="I156" s="3" t="s">
        <v>766</v>
      </c>
      <c r="J156" s="3"/>
      <c r="K156" s="3"/>
      <c r="L156" s="3" t="s">
        <v>765</v>
      </c>
      <c r="M156" s="19" t="s">
        <v>295</v>
      </c>
      <c r="P156" s="19" t="s">
        <v>296</v>
      </c>
      <c r="Q156" s="1" t="str">
        <f>IF($B156=0,$M156,_xlfn.TEXTBEFORE(Q155,"/",$B156,,,Q155)&amp;"/"&amp;$M156)&amp;IF(_xlfn.TEXTAFTER($D156,"..",,,,1)&lt;&gt;"1","[0]","")</f>
        <v>*/Consignment/ActiveBorderTransportMeans[0]/conveyanceReferenceNumber</v>
      </c>
      <c r="T156" s="24" t="s">
        <v>442</v>
      </c>
    </row>
    <row r="157" spans="1:20" ht="12" customHeight="1" outlineLevel="2" x14ac:dyDescent="0.25">
      <c r="A157" s="21" t="str">
        <f>$E$2</f>
        <v>CC013C
CC015C</v>
      </c>
      <c r="B157" s="4">
        <v>2</v>
      </c>
      <c r="C157" s="21" t="s">
        <v>41</v>
      </c>
      <c r="D157" s="21" t="s">
        <v>36</v>
      </c>
      <c r="E157" s="25" t="s">
        <v>297</v>
      </c>
      <c r="F157" s="6"/>
      <c r="G157" s="33" t="s">
        <v>450</v>
      </c>
      <c r="H157" s="6" t="s">
        <v>621</v>
      </c>
      <c r="I157" s="6" t="s">
        <v>620</v>
      </c>
      <c r="J157" s="6"/>
      <c r="K157" s="6"/>
      <c r="L157" s="6" t="s">
        <v>616</v>
      </c>
      <c r="M157" s="21" t="s">
        <v>298</v>
      </c>
      <c r="N157" s="4"/>
      <c r="O157" s="4"/>
      <c r="P157" s="4"/>
      <c r="Q157" s="1" t="str">
        <f>IF($B157=0,$M157,_xlfn.TEXTBEFORE(Q156,"/",$B157,,,Q156)&amp;"/"&amp;$M157)&amp;IF(_xlfn.TEXTAFTER($D157,"..",,,,1)&lt;&gt;"1","[0]","")</f>
        <v>*/Consignment/PlaceOfLoading</v>
      </c>
    </row>
    <row r="158" spans="1:20" ht="12" customHeight="1" outlineLevel="3" x14ac:dyDescent="0.25">
      <c r="A158" s="19" t="str">
        <f>$E$2</f>
        <v>CC013C
CC015C</v>
      </c>
      <c r="B158" s="1">
        <v>3</v>
      </c>
      <c r="C158" s="1" t="s">
        <v>17</v>
      </c>
      <c r="D158" s="19" t="s">
        <v>36</v>
      </c>
      <c r="E158" s="26" t="s">
        <v>253</v>
      </c>
      <c r="F158" s="24" t="s">
        <v>254</v>
      </c>
      <c r="G158" s="24" t="s">
        <v>38</v>
      </c>
      <c r="H158" s="3"/>
      <c r="I158" s="3"/>
      <c r="J158" s="3" t="s">
        <v>622</v>
      </c>
      <c r="K158" s="3"/>
      <c r="L158" s="3" t="s">
        <v>617</v>
      </c>
      <c r="M158" s="19" t="s">
        <v>255</v>
      </c>
      <c r="P158" s="19" t="s">
        <v>256</v>
      </c>
      <c r="Q158" s="1" t="str">
        <f>IF($B158=0,$M158,_xlfn.TEXTBEFORE(Q157,"/",$B158,,,Q157)&amp;"/"&amp;$M158)&amp;IF(_xlfn.TEXTAFTER($D158,"..",,,,1)&lt;&gt;"1","[0]","")</f>
        <v>*/Consignment/PlaceOfLoading/UNLocode</v>
      </c>
      <c r="T158" s="19" t="s">
        <v>413</v>
      </c>
    </row>
    <row r="159" spans="1:20" ht="12" customHeight="1" outlineLevel="3" x14ac:dyDescent="0.25">
      <c r="A159" s="19" t="str">
        <f>$E$2</f>
        <v>CC013C
CC015C</v>
      </c>
      <c r="B159" s="1">
        <v>3</v>
      </c>
      <c r="C159" s="1" t="s">
        <v>17</v>
      </c>
      <c r="D159" s="19" t="s">
        <v>36</v>
      </c>
      <c r="E159" s="26" t="s">
        <v>139</v>
      </c>
      <c r="F159" s="3" t="s">
        <v>140</v>
      </c>
      <c r="G159" s="24" t="s">
        <v>450</v>
      </c>
      <c r="H159" s="3"/>
      <c r="I159" s="3" t="s">
        <v>623</v>
      </c>
      <c r="J159" s="3" t="s">
        <v>606</v>
      </c>
      <c r="K159" s="3"/>
      <c r="L159" s="3" t="s">
        <v>618</v>
      </c>
      <c r="M159" s="19" t="s">
        <v>141</v>
      </c>
      <c r="P159" s="19" t="s">
        <v>142</v>
      </c>
      <c r="Q159" s="1" t="str">
        <f>IF($B159=0,$M159,_xlfn.TEXTBEFORE(Q158,"/",$B159,,,Q158)&amp;"/"&amp;$M159)&amp;IF(_xlfn.TEXTAFTER($D159,"..",,,,1)&lt;&gt;"1","[0]","")</f>
        <v>*/Consignment/PlaceOfLoading/country</v>
      </c>
      <c r="T159" s="24" t="s">
        <v>426</v>
      </c>
    </row>
    <row r="160" spans="1:20" ht="12" customHeight="1" outlineLevel="3" x14ac:dyDescent="0.25">
      <c r="A160" s="19" t="str">
        <f>$E$2</f>
        <v>CC013C
CC015C</v>
      </c>
      <c r="B160" s="1">
        <v>3</v>
      </c>
      <c r="C160" s="1" t="s">
        <v>17</v>
      </c>
      <c r="D160" s="19" t="s">
        <v>36</v>
      </c>
      <c r="E160" s="26" t="s">
        <v>299</v>
      </c>
      <c r="F160" s="24" t="s">
        <v>101</v>
      </c>
      <c r="G160" s="24" t="s">
        <v>450</v>
      </c>
      <c r="H160" s="3"/>
      <c r="I160" s="3" t="s">
        <v>623</v>
      </c>
      <c r="J160" s="3"/>
      <c r="K160" s="3"/>
      <c r="L160" s="3" t="s">
        <v>619</v>
      </c>
      <c r="M160" s="19" t="s">
        <v>300</v>
      </c>
      <c r="P160" s="19" t="s">
        <v>301</v>
      </c>
      <c r="Q160" s="1" t="str">
        <f>IF($B160=0,$M160,_xlfn.TEXTBEFORE(Q159,"/",$B160,,,Q159)&amp;"/"&amp;$M160)&amp;IF(_xlfn.TEXTAFTER($D160,"..",,,,1)&lt;&gt;"1","[0]","")</f>
        <v>*/Consignment/PlaceOfLoading/location</v>
      </c>
      <c r="T160" s="24" t="s">
        <v>422</v>
      </c>
    </row>
    <row r="161" spans="1:20" ht="12" customHeight="1" outlineLevel="2" x14ac:dyDescent="0.25">
      <c r="A161" s="21" t="str">
        <f>$E$2</f>
        <v>CC013C
CC015C</v>
      </c>
      <c r="B161" s="4">
        <v>2</v>
      </c>
      <c r="C161" s="21" t="s">
        <v>41</v>
      </c>
      <c r="D161" s="21" t="s">
        <v>36</v>
      </c>
      <c r="E161" s="25" t="s">
        <v>302</v>
      </c>
      <c r="F161" s="6"/>
      <c r="G161" s="33" t="s">
        <v>450</v>
      </c>
      <c r="H161" s="6" t="s">
        <v>629</v>
      </c>
      <c r="I161" s="6" t="s">
        <v>628</v>
      </c>
      <c r="J161" s="6"/>
      <c r="K161" s="6"/>
      <c r="L161" s="6" t="s">
        <v>624</v>
      </c>
      <c r="M161" s="21" t="s">
        <v>303</v>
      </c>
      <c r="N161" s="4"/>
      <c r="O161" s="4"/>
      <c r="P161" s="4"/>
      <c r="Q161" s="1" t="str">
        <f>IF($B161=0,$M161,_xlfn.TEXTBEFORE(Q160,"/",$B161,,,Q160)&amp;"/"&amp;$M161)&amp;IF(_xlfn.TEXTAFTER($D161,"..",,,,1)&lt;&gt;"1","[0]","")</f>
        <v>*/Consignment/PlaceOfUnloading</v>
      </c>
    </row>
    <row r="162" spans="1:20" ht="12" customHeight="1" outlineLevel="3" x14ac:dyDescent="0.25">
      <c r="A162" s="19" t="str">
        <f>$E$2</f>
        <v>CC013C
CC015C</v>
      </c>
      <c r="B162" s="1">
        <v>3</v>
      </c>
      <c r="C162" s="1" t="s">
        <v>17</v>
      </c>
      <c r="D162" s="19" t="s">
        <v>36</v>
      </c>
      <c r="E162" s="26" t="s">
        <v>253</v>
      </c>
      <c r="F162" s="24" t="s">
        <v>254</v>
      </c>
      <c r="G162" s="24" t="s">
        <v>38</v>
      </c>
      <c r="H162" s="3"/>
      <c r="I162" s="3"/>
      <c r="J162" s="3" t="s">
        <v>622</v>
      </c>
      <c r="K162" s="3"/>
      <c r="L162" s="3" t="s">
        <v>625</v>
      </c>
      <c r="M162" s="19" t="s">
        <v>255</v>
      </c>
      <c r="P162" s="19" t="s">
        <v>256</v>
      </c>
      <c r="Q162" s="1" t="str">
        <f>IF($B162=0,$M162,_xlfn.TEXTBEFORE(Q161,"/",$B162,,,Q161)&amp;"/"&amp;$M162)&amp;IF(_xlfn.TEXTAFTER($D162,"..",,,,1)&lt;&gt;"1","[0]","")</f>
        <v>*/Consignment/PlaceOfUnloading/UNLocode</v>
      </c>
      <c r="T162" s="19" t="s">
        <v>413</v>
      </c>
    </row>
    <row r="163" spans="1:20" ht="12" customHeight="1" outlineLevel="3" x14ac:dyDescent="0.25">
      <c r="A163" s="19" t="str">
        <f>$E$2</f>
        <v>CC013C
CC015C</v>
      </c>
      <c r="B163" s="1">
        <v>3</v>
      </c>
      <c r="C163" s="1" t="s">
        <v>17</v>
      </c>
      <c r="D163" s="19" t="s">
        <v>36</v>
      </c>
      <c r="E163" s="26" t="s">
        <v>139</v>
      </c>
      <c r="F163" s="3" t="s">
        <v>140</v>
      </c>
      <c r="G163" s="24" t="s">
        <v>450</v>
      </c>
      <c r="H163" s="3"/>
      <c r="I163" s="3" t="s">
        <v>623</v>
      </c>
      <c r="J163" s="3" t="s">
        <v>606</v>
      </c>
      <c r="K163" s="3"/>
      <c r="L163" s="3" t="s">
        <v>626</v>
      </c>
      <c r="M163" s="19" t="s">
        <v>141</v>
      </c>
      <c r="P163" s="19" t="s">
        <v>142</v>
      </c>
      <c r="Q163" s="1" t="str">
        <f>IF($B163=0,$M163,_xlfn.TEXTBEFORE(Q162,"/",$B163,,,Q162)&amp;"/"&amp;$M163)&amp;IF(_xlfn.TEXTAFTER($D163,"..",,,,1)&lt;&gt;"1","[0]","")</f>
        <v>*/Consignment/PlaceOfUnloading/country</v>
      </c>
      <c r="T163" s="24" t="s">
        <v>426</v>
      </c>
    </row>
    <row r="164" spans="1:20" ht="12" customHeight="1" outlineLevel="3" x14ac:dyDescent="0.25">
      <c r="A164" s="19" t="str">
        <f>$E$2</f>
        <v>CC013C
CC015C</v>
      </c>
      <c r="B164" s="1">
        <v>3</v>
      </c>
      <c r="C164" s="1" t="s">
        <v>17</v>
      </c>
      <c r="D164" s="19" t="s">
        <v>36</v>
      </c>
      <c r="E164" s="26" t="s">
        <v>299</v>
      </c>
      <c r="F164" s="24" t="s">
        <v>101</v>
      </c>
      <c r="G164" s="24" t="s">
        <v>450</v>
      </c>
      <c r="H164" s="3"/>
      <c r="I164" s="3" t="s">
        <v>623</v>
      </c>
      <c r="J164" s="3"/>
      <c r="K164" s="3"/>
      <c r="L164" s="3" t="s">
        <v>627</v>
      </c>
      <c r="M164" s="19" t="s">
        <v>300</v>
      </c>
      <c r="P164" s="19" t="s">
        <v>301</v>
      </c>
      <c r="Q164" s="1" t="str">
        <f>IF($B164=0,$M164,_xlfn.TEXTBEFORE(Q163,"/",$B164,,,Q163)&amp;"/"&amp;$M164)&amp;IF(_xlfn.TEXTAFTER($D164,"..",,,,1)&lt;&gt;"1","[0]","")</f>
        <v>*/Consignment/PlaceOfUnloading/location</v>
      </c>
      <c r="T164" s="24" t="s">
        <v>422</v>
      </c>
    </row>
    <row r="165" spans="1:20" ht="12" customHeight="1" outlineLevel="2" x14ac:dyDescent="0.25">
      <c r="A165" s="21" t="str">
        <f>$E$2</f>
        <v>CC013C
CC015C</v>
      </c>
      <c r="B165" s="4">
        <v>2</v>
      </c>
      <c r="C165" s="21" t="s">
        <v>41</v>
      </c>
      <c r="D165" s="21" t="s">
        <v>216</v>
      </c>
      <c r="E165" s="25" t="s">
        <v>304</v>
      </c>
      <c r="F165" s="6"/>
      <c r="G165" s="33" t="s">
        <v>38</v>
      </c>
      <c r="H165" s="6"/>
      <c r="I165" s="6"/>
      <c r="J165" s="6"/>
      <c r="K165" s="6"/>
      <c r="L165" s="6" t="s">
        <v>477</v>
      </c>
      <c r="M165" s="21" t="s">
        <v>305</v>
      </c>
      <c r="N165" s="4"/>
      <c r="O165" s="4"/>
      <c r="P165" s="4"/>
      <c r="Q165" s="1" t="str">
        <f>IF($B165=0,$M165,_xlfn.TEXTBEFORE(Q164,"/",$B165,,,Q164)&amp;"/"&amp;$M165)&amp;IF(_xlfn.TEXTAFTER($D165,"..",,,,1)&lt;&gt;"1","[0]","")</f>
        <v>*/Consignment/PreviousDocument[0]</v>
      </c>
    </row>
    <row r="166" spans="1:20" ht="12" customHeight="1" outlineLevel="3" x14ac:dyDescent="0.25">
      <c r="A166" s="19" t="str">
        <f>$E$2</f>
        <v>CC013C
CC015C</v>
      </c>
      <c r="B166" s="1">
        <v>3</v>
      </c>
      <c r="C166" s="1" t="s">
        <v>17</v>
      </c>
      <c r="D166" s="19" t="s">
        <v>18</v>
      </c>
      <c r="E166" s="26" t="s">
        <v>93</v>
      </c>
      <c r="F166" s="24" t="s">
        <v>504</v>
      </c>
      <c r="G166" s="24" t="s">
        <v>21</v>
      </c>
      <c r="H166" s="3" t="s">
        <v>475</v>
      </c>
      <c r="I166" s="3"/>
      <c r="J166" s="3"/>
      <c r="K166" s="3"/>
      <c r="L166" s="3"/>
      <c r="M166" s="19" t="s">
        <v>95</v>
      </c>
      <c r="P166" s="19" t="s">
        <v>96</v>
      </c>
      <c r="Q166" s="1" t="str">
        <f>IF($B166=0,$M166,_xlfn.TEXTBEFORE(Q165,"/",$B166,,,Q165)&amp;"/"&amp;$M166)&amp;IF(_xlfn.TEXTAFTER($D166,"..",,,,1)&lt;&gt;"1","[0]","")</f>
        <v>*/Consignment/PreviousDocument[0]/sequenceNumber</v>
      </c>
      <c r="T166" s="24" t="s">
        <v>421</v>
      </c>
    </row>
    <row r="167" spans="1:20" ht="12" customHeight="1" outlineLevel="3" x14ac:dyDescent="0.25">
      <c r="A167" s="19" t="str">
        <f>$E$2</f>
        <v>CC013C
CC015C</v>
      </c>
      <c r="B167" s="1">
        <v>3</v>
      </c>
      <c r="C167" s="1" t="s">
        <v>17</v>
      </c>
      <c r="D167" s="19" t="s">
        <v>18</v>
      </c>
      <c r="E167" s="26" t="s">
        <v>2</v>
      </c>
      <c r="F167" s="24" t="s">
        <v>306</v>
      </c>
      <c r="G167" s="24" t="s">
        <v>21</v>
      </c>
      <c r="H167" s="3" t="s">
        <v>479</v>
      </c>
      <c r="I167" s="3"/>
      <c r="J167" s="3" t="s">
        <v>478</v>
      </c>
      <c r="K167" s="3"/>
      <c r="L167" s="3" t="s">
        <v>476</v>
      </c>
      <c r="M167" s="19" t="s">
        <v>98</v>
      </c>
      <c r="P167" s="19" t="s">
        <v>307</v>
      </c>
      <c r="Q167" s="1" t="str">
        <f>IF($B167=0,$M167,_xlfn.TEXTBEFORE(Q166,"/",$B167,,,Q166)&amp;"/"&amp;$M167)&amp;IF(_xlfn.TEXTAFTER($D167,"..",,,,1)&lt;&gt;"1","[0]","")</f>
        <v>*/Consignment/PreviousDocument[0]/type</v>
      </c>
      <c r="T167" s="19" t="s">
        <v>413</v>
      </c>
    </row>
    <row r="168" spans="1:20" ht="12" customHeight="1" outlineLevel="3" x14ac:dyDescent="0.25">
      <c r="A168" s="19" t="str">
        <f>$E$2</f>
        <v>CC013C
CC015C</v>
      </c>
      <c r="B168" s="1">
        <v>3</v>
      </c>
      <c r="C168" s="1" t="s">
        <v>17</v>
      </c>
      <c r="D168" s="19" t="s">
        <v>18</v>
      </c>
      <c r="E168" s="26" t="s">
        <v>100</v>
      </c>
      <c r="F168" s="24" t="s">
        <v>126</v>
      </c>
      <c r="G168" s="24" t="s">
        <v>21</v>
      </c>
      <c r="H168" s="3" t="s">
        <v>481</v>
      </c>
      <c r="I168" s="3"/>
      <c r="J168" s="3"/>
      <c r="K168" s="3"/>
      <c r="L168" s="3" t="s">
        <v>480</v>
      </c>
      <c r="M168" s="19" t="s">
        <v>102</v>
      </c>
      <c r="P168" s="19" t="s">
        <v>308</v>
      </c>
      <c r="Q168" s="1" t="str">
        <f>IF($B168=0,$M168,_xlfn.TEXTBEFORE(Q167,"/",$B168,,,Q167)&amp;"/"&amp;$M168)&amp;IF(_xlfn.TEXTAFTER($D168,"..",,,,1)&lt;&gt;"1","[0]","")</f>
        <v>*/Consignment/PreviousDocument[0]/referenceNumber</v>
      </c>
      <c r="T168" s="24" t="s">
        <v>425</v>
      </c>
    </row>
    <row r="169" spans="1:20" ht="12" customHeight="1" outlineLevel="3" x14ac:dyDescent="0.25">
      <c r="A169" s="19" t="str">
        <f>$E$2</f>
        <v>CC013C
CC015C</v>
      </c>
      <c r="B169" s="1">
        <v>3</v>
      </c>
      <c r="C169" s="1" t="s">
        <v>17</v>
      </c>
      <c r="D169" s="19" t="s">
        <v>36</v>
      </c>
      <c r="E169" s="26" t="s">
        <v>309</v>
      </c>
      <c r="F169" s="24" t="s">
        <v>101</v>
      </c>
      <c r="G169" s="24" t="s">
        <v>38</v>
      </c>
      <c r="H169" s="3"/>
      <c r="I169" s="3"/>
      <c r="J169" s="3"/>
      <c r="K169" s="3"/>
      <c r="L169" s="3" t="s">
        <v>482</v>
      </c>
      <c r="M169" s="19" t="s">
        <v>310</v>
      </c>
      <c r="P169" s="19" t="s">
        <v>311</v>
      </c>
      <c r="Q169" s="1" t="str">
        <f>IF($B169=0,$M169,_xlfn.TEXTBEFORE(Q168,"/",$B169,,,Q168)&amp;"/"&amp;$M169)&amp;IF(_xlfn.TEXTAFTER($D169,"..",,,,1)&lt;&gt;"1","[0]","")</f>
        <v>*/Consignment/PreviousDocument[0]/complementOfInformation</v>
      </c>
      <c r="T169" s="24" t="s">
        <v>422</v>
      </c>
    </row>
    <row r="170" spans="1:20" ht="12" customHeight="1" outlineLevel="2" x14ac:dyDescent="0.25">
      <c r="A170" s="21" t="str">
        <f>$E$2</f>
        <v>CC013C
CC015C</v>
      </c>
      <c r="B170" s="4">
        <v>2</v>
      </c>
      <c r="C170" s="21" t="s">
        <v>41</v>
      </c>
      <c r="D170" s="21" t="s">
        <v>164</v>
      </c>
      <c r="E170" s="25" t="s">
        <v>312</v>
      </c>
      <c r="F170" s="6"/>
      <c r="G170" s="33" t="s">
        <v>38</v>
      </c>
      <c r="H170" s="6" t="s">
        <v>503</v>
      </c>
      <c r="I170" s="6"/>
      <c r="J170" s="6"/>
      <c r="K170" s="6"/>
      <c r="L170" s="6" t="s">
        <v>498</v>
      </c>
      <c r="M170" s="21" t="s">
        <v>313</v>
      </c>
      <c r="N170" s="4"/>
      <c r="O170" s="4"/>
      <c r="P170" s="4"/>
      <c r="Q170" s="1" t="str">
        <f>IF($B170=0,$M170,_xlfn.TEXTBEFORE(Q169,"/",$B170,,,Q169)&amp;"/"&amp;$M170)&amp;IF(_xlfn.TEXTAFTER($D170,"..",,,,1)&lt;&gt;"1","[0]","")</f>
        <v>*/Consignment/SupportingDocument[0]</v>
      </c>
    </row>
    <row r="171" spans="1:20" ht="12" customHeight="1" outlineLevel="3" x14ac:dyDescent="0.25">
      <c r="A171" s="19" t="str">
        <f>$E$2</f>
        <v>CC013C
CC015C</v>
      </c>
      <c r="B171" s="1">
        <v>3</v>
      </c>
      <c r="C171" s="1" t="s">
        <v>17</v>
      </c>
      <c r="D171" s="19" t="s">
        <v>18</v>
      </c>
      <c r="E171" s="26" t="s">
        <v>93</v>
      </c>
      <c r="F171" s="24" t="s">
        <v>483</v>
      </c>
      <c r="G171" s="24" t="s">
        <v>21</v>
      </c>
      <c r="H171" s="3" t="s">
        <v>475</v>
      </c>
      <c r="I171" s="3"/>
      <c r="J171" s="3"/>
      <c r="K171" s="3"/>
      <c r="L171" s="3"/>
      <c r="M171" s="19" t="s">
        <v>95</v>
      </c>
      <c r="P171" s="19" t="s">
        <v>96</v>
      </c>
      <c r="Q171" s="1" t="str">
        <f>IF($B171=0,$M171,_xlfn.TEXTBEFORE(Q170,"/",$B171,,,Q170)&amp;"/"&amp;$M171)&amp;IF(_xlfn.TEXTAFTER($D171,"..",,,,1)&lt;&gt;"1","[0]","")</f>
        <v>*/Consignment/SupportingDocument[0]/sequenceNumber</v>
      </c>
      <c r="T171" s="24" t="s">
        <v>421</v>
      </c>
    </row>
    <row r="172" spans="1:20" ht="12" customHeight="1" outlineLevel="3" x14ac:dyDescent="0.25">
      <c r="A172" s="19" t="str">
        <f>$E$2</f>
        <v>CC013C
CC015C</v>
      </c>
      <c r="B172" s="1">
        <v>3</v>
      </c>
      <c r="C172" s="1" t="s">
        <v>17</v>
      </c>
      <c r="D172" s="19" t="s">
        <v>18</v>
      </c>
      <c r="E172" s="26" t="s">
        <v>2</v>
      </c>
      <c r="F172" s="24" t="s">
        <v>306</v>
      </c>
      <c r="G172" s="24" t="s">
        <v>21</v>
      </c>
      <c r="H172" s="3" t="s">
        <v>505</v>
      </c>
      <c r="I172" s="3"/>
      <c r="J172" s="3" t="s">
        <v>507</v>
      </c>
      <c r="K172" s="3"/>
      <c r="L172" s="3" t="s">
        <v>500</v>
      </c>
      <c r="M172" s="19" t="s">
        <v>98</v>
      </c>
      <c r="P172" s="19" t="s">
        <v>307</v>
      </c>
      <c r="Q172" s="1" t="str">
        <f>IF($B172=0,$M172,_xlfn.TEXTBEFORE(Q171,"/",$B172,,,Q171)&amp;"/"&amp;$M172)&amp;IF(_xlfn.TEXTAFTER($D172,"..",,,,1)&lt;&gt;"1","[0]","")</f>
        <v>*/Consignment/SupportingDocument[0]/type</v>
      </c>
      <c r="T172" s="19" t="s">
        <v>413</v>
      </c>
    </row>
    <row r="173" spans="1:20" ht="12" customHeight="1" outlineLevel="3" x14ac:dyDescent="0.25">
      <c r="A173" s="19" t="str">
        <f>$E$2</f>
        <v>CC013C
CC015C</v>
      </c>
      <c r="B173" s="1">
        <v>3</v>
      </c>
      <c r="C173" s="1" t="s">
        <v>17</v>
      </c>
      <c r="D173" s="19" t="s">
        <v>18</v>
      </c>
      <c r="E173" s="26" t="s">
        <v>100</v>
      </c>
      <c r="F173" s="24" t="s">
        <v>126</v>
      </c>
      <c r="G173" s="24" t="s">
        <v>21</v>
      </c>
      <c r="H173" s="3" t="s">
        <v>481</v>
      </c>
      <c r="I173" s="3"/>
      <c r="J173" s="3"/>
      <c r="K173" s="3"/>
      <c r="L173" s="3" t="s">
        <v>499</v>
      </c>
      <c r="M173" s="19" t="s">
        <v>102</v>
      </c>
      <c r="P173" s="19" t="s">
        <v>308</v>
      </c>
      <c r="Q173" s="1" t="str">
        <f>IF($B173=0,$M173,_xlfn.TEXTBEFORE(Q172,"/",$B173,,,Q172)&amp;"/"&amp;$M173)&amp;IF(_xlfn.TEXTAFTER($D173,"..",,,,1)&lt;&gt;"1","[0]","")</f>
        <v>*/Consignment/SupportingDocument[0]/referenceNumber</v>
      </c>
      <c r="T173" s="24" t="s">
        <v>425</v>
      </c>
    </row>
    <row r="174" spans="1:20" ht="12" customHeight="1" outlineLevel="3" x14ac:dyDescent="0.25">
      <c r="A174" s="19" t="str">
        <f>$E$2</f>
        <v>CC013C
CC015C</v>
      </c>
      <c r="B174" s="1">
        <v>3</v>
      </c>
      <c r="C174" s="1" t="s">
        <v>17</v>
      </c>
      <c r="D174" s="19" t="s">
        <v>36</v>
      </c>
      <c r="E174" s="26" t="s">
        <v>314</v>
      </c>
      <c r="F174" s="24" t="s">
        <v>94</v>
      </c>
      <c r="G174" s="24" t="s">
        <v>38</v>
      </c>
      <c r="H174" s="3"/>
      <c r="I174" s="3"/>
      <c r="J174" s="3"/>
      <c r="K174" s="3"/>
      <c r="L174" s="3" t="s">
        <v>501</v>
      </c>
      <c r="M174" s="19" t="s">
        <v>315</v>
      </c>
      <c r="P174" s="19" t="s">
        <v>316</v>
      </c>
      <c r="Q174" s="1" t="str">
        <f>IF($B174=0,$M174,_xlfn.TEXTBEFORE(Q173,"/",$B174,,,Q173)&amp;"/"&amp;$M174)&amp;IF(_xlfn.TEXTAFTER($D174,"..",,,,1)&lt;&gt;"1","[0]","")</f>
        <v>*/Consignment/SupportingDocument[0]/documentLineItemNumber</v>
      </c>
      <c r="T174" s="24" t="s">
        <v>421</v>
      </c>
    </row>
    <row r="175" spans="1:20" ht="12" customHeight="1" outlineLevel="3" x14ac:dyDescent="0.25">
      <c r="A175" s="19" t="str">
        <f>$E$2</f>
        <v>CC013C
CC015C</v>
      </c>
      <c r="B175" s="1">
        <v>3</v>
      </c>
      <c r="C175" s="1" t="s">
        <v>17</v>
      </c>
      <c r="D175" s="19" t="s">
        <v>36</v>
      </c>
      <c r="E175" s="26" t="s">
        <v>309</v>
      </c>
      <c r="F175" s="24" t="s">
        <v>101</v>
      </c>
      <c r="G175" s="24" t="s">
        <v>38</v>
      </c>
      <c r="H175" s="3"/>
      <c r="I175" s="3"/>
      <c r="J175" s="3"/>
      <c r="K175" s="3"/>
      <c r="L175" s="3" t="s">
        <v>502</v>
      </c>
      <c r="M175" s="19" t="s">
        <v>310</v>
      </c>
      <c r="P175" s="19" t="s">
        <v>311</v>
      </c>
      <c r="Q175" s="1" t="str">
        <f>IF($B175=0,$M175,_xlfn.TEXTBEFORE(Q174,"/",$B175,,,Q174)&amp;"/"&amp;$M175)&amp;IF(_xlfn.TEXTAFTER($D175,"..",,,,1)&lt;&gt;"1","[0]","")</f>
        <v>*/Consignment/SupportingDocument[0]/complementOfInformation</v>
      </c>
      <c r="T175" s="24" t="s">
        <v>422</v>
      </c>
    </row>
    <row r="176" spans="1:20" ht="12" customHeight="1" outlineLevel="2" x14ac:dyDescent="0.25">
      <c r="A176" s="21" t="str">
        <f>$E$2</f>
        <v>CC013C
CC015C</v>
      </c>
      <c r="B176" s="4">
        <v>2</v>
      </c>
      <c r="C176" s="21" t="s">
        <v>41</v>
      </c>
      <c r="D176" s="21" t="s">
        <v>164</v>
      </c>
      <c r="E176" s="25" t="s">
        <v>317</v>
      </c>
      <c r="F176" s="6"/>
      <c r="G176" s="33" t="s">
        <v>38</v>
      </c>
      <c r="H176" s="6" t="s">
        <v>516</v>
      </c>
      <c r="I176" s="6"/>
      <c r="J176" s="6"/>
      <c r="K176" s="6"/>
      <c r="L176" s="6" t="s">
        <v>513</v>
      </c>
      <c r="M176" s="21" t="s">
        <v>318</v>
      </c>
      <c r="N176" s="4"/>
      <c r="O176" s="4"/>
      <c r="P176" s="4"/>
      <c r="Q176" s="1" t="str">
        <f>IF($B176=0,$M176,_xlfn.TEXTBEFORE(Q175,"/",$B176,,,Q175)&amp;"/"&amp;$M176)&amp;IF(_xlfn.TEXTAFTER($D176,"..",,,,1)&lt;&gt;"1","[0]","")</f>
        <v>*/Consignment/TransportDocument[0]</v>
      </c>
    </row>
    <row r="177" spans="1:20" ht="12" customHeight="1" outlineLevel="3" x14ac:dyDescent="0.25">
      <c r="A177" s="19" t="str">
        <f>$E$2</f>
        <v>CC013C
CC015C</v>
      </c>
      <c r="B177" s="1">
        <v>3</v>
      </c>
      <c r="C177" s="1" t="s">
        <v>17</v>
      </c>
      <c r="D177" s="19" t="s">
        <v>18</v>
      </c>
      <c r="E177" s="26" t="s">
        <v>93</v>
      </c>
      <c r="F177" s="24" t="s">
        <v>483</v>
      </c>
      <c r="G177" s="24" t="s">
        <v>21</v>
      </c>
      <c r="H177" s="3" t="s">
        <v>475</v>
      </c>
      <c r="I177" s="3"/>
      <c r="J177" s="3"/>
      <c r="K177" s="3"/>
      <c r="L177" s="3"/>
      <c r="M177" s="19" t="s">
        <v>95</v>
      </c>
      <c r="P177" s="19" t="s">
        <v>96</v>
      </c>
      <c r="Q177" s="1" t="str">
        <f>IF($B177=0,$M177,_xlfn.TEXTBEFORE(Q176,"/",$B177,,,Q176)&amp;"/"&amp;$M177)&amp;IF(_xlfn.TEXTAFTER($D177,"..",,,,1)&lt;&gt;"1","[0]","")</f>
        <v>*/Consignment/TransportDocument[0]/sequenceNumber</v>
      </c>
      <c r="T177" s="24" t="s">
        <v>421</v>
      </c>
    </row>
    <row r="178" spans="1:20" ht="12" customHeight="1" outlineLevel="3" x14ac:dyDescent="0.25">
      <c r="A178" s="19" t="str">
        <f>$E$2</f>
        <v>CC013C
CC015C</v>
      </c>
      <c r="B178" s="1">
        <v>3</v>
      </c>
      <c r="C178" s="1" t="s">
        <v>17</v>
      </c>
      <c r="D178" s="19" t="s">
        <v>18</v>
      </c>
      <c r="E178" s="26" t="s">
        <v>2</v>
      </c>
      <c r="F178" s="24" t="s">
        <v>306</v>
      </c>
      <c r="G178" s="24" t="s">
        <v>21</v>
      </c>
      <c r="H178" s="3" t="s">
        <v>505</v>
      </c>
      <c r="I178" s="3"/>
      <c r="J178" s="3" t="s">
        <v>517</v>
      </c>
      <c r="K178" s="3"/>
      <c r="L178" s="3" t="s">
        <v>514</v>
      </c>
      <c r="M178" s="19" t="s">
        <v>98</v>
      </c>
      <c r="P178" s="19" t="s">
        <v>307</v>
      </c>
      <c r="Q178" s="1" t="str">
        <f>IF($B178=0,$M178,_xlfn.TEXTBEFORE(Q177,"/",$B178,,,Q177)&amp;"/"&amp;$M178)&amp;IF(_xlfn.TEXTAFTER($D178,"..",,,,1)&lt;&gt;"1","[0]","")</f>
        <v>*/Consignment/TransportDocument[0]/type</v>
      </c>
      <c r="T178" s="19" t="s">
        <v>413</v>
      </c>
    </row>
    <row r="179" spans="1:20" ht="12" customHeight="1" outlineLevel="3" x14ac:dyDescent="0.25">
      <c r="A179" s="19" t="str">
        <f>$E$2</f>
        <v>CC013C
CC015C</v>
      </c>
      <c r="B179" s="1">
        <v>3</v>
      </c>
      <c r="C179" s="1" t="s">
        <v>17</v>
      </c>
      <c r="D179" s="19" t="s">
        <v>18</v>
      </c>
      <c r="E179" s="26" t="s">
        <v>100</v>
      </c>
      <c r="F179" s="24" t="s">
        <v>126</v>
      </c>
      <c r="G179" s="24" t="s">
        <v>21</v>
      </c>
      <c r="H179" s="3" t="s">
        <v>481</v>
      </c>
      <c r="I179" s="3"/>
      <c r="J179" s="3"/>
      <c r="K179" s="3"/>
      <c r="L179" s="3" t="s">
        <v>515</v>
      </c>
      <c r="M179" s="19" t="s">
        <v>102</v>
      </c>
      <c r="P179" s="19" t="s">
        <v>308</v>
      </c>
      <c r="Q179" s="1" t="str">
        <f>IF($B179=0,$M179,_xlfn.TEXTBEFORE(Q178,"/",$B179,,,Q178)&amp;"/"&amp;$M179)&amp;IF(_xlfn.TEXTAFTER($D179,"..",,,,1)&lt;&gt;"1","[0]","")</f>
        <v>*/Consignment/TransportDocument[0]/referenceNumber</v>
      </c>
      <c r="T179" s="24" t="s">
        <v>425</v>
      </c>
    </row>
    <row r="180" spans="1:20" ht="12" customHeight="1" outlineLevel="2" x14ac:dyDescent="0.25">
      <c r="A180" s="21" t="str">
        <f>$E$2</f>
        <v>CC013C
CC015C</v>
      </c>
      <c r="B180" s="4">
        <v>2</v>
      </c>
      <c r="C180" s="21" t="s">
        <v>41</v>
      </c>
      <c r="D180" s="21" t="s">
        <v>164</v>
      </c>
      <c r="E180" s="25" t="s">
        <v>319</v>
      </c>
      <c r="F180" s="6"/>
      <c r="G180" s="33" t="s">
        <v>38</v>
      </c>
      <c r="H180" s="6" t="s">
        <v>511</v>
      </c>
      <c r="I180" s="6"/>
      <c r="J180" s="6"/>
      <c r="K180" s="6"/>
      <c r="L180" s="6" t="s">
        <v>508</v>
      </c>
      <c r="M180" s="21" t="s">
        <v>320</v>
      </c>
      <c r="N180" s="4"/>
      <c r="O180" s="4"/>
      <c r="P180" s="4"/>
      <c r="Q180" s="1" t="str">
        <f>IF($B180=0,$M180,_xlfn.TEXTBEFORE(Q179,"/",$B180,,,Q179)&amp;"/"&amp;$M180)&amp;IF(_xlfn.TEXTAFTER($D180,"..",,,,1)&lt;&gt;"1","[0]","")</f>
        <v>*/Consignment/AdditionalReference[0]</v>
      </c>
    </row>
    <row r="181" spans="1:20" ht="12" customHeight="1" outlineLevel="3" x14ac:dyDescent="0.25">
      <c r="A181" s="19" t="str">
        <f>$E$2</f>
        <v>CC013C
CC015C</v>
      </c>
      <c r="B181" s="1">
        <v>3</v>
      </c>
      <c r="C181" s="1" t="s">
        <v>17</v>
      </c>
      <c r="D181" s="19" t="s">
        <v>18</v>
      </c>
      <c r="E181" s="26" t="s">
        <v>93</v>
      </c>
      <c r="F181" s="24" t="s">
        <v>483</v>
      </c>
      <c r="G181" s="24" t="s">
        <v>21</v>
      </c>
      <c r="H181" s="3" t="s">
        <v>475</v>
      </c>
      <c r="I181" s="3"/>
      <c r="J181" s="3"/>
      <c r="K181" s="3"/>
      <c r="L181" s="3"/>
      <c r="M181" s="19" t="s">
        <v>95</v>
      </c>
      <c r="P181" s="19" t="s">
        <v>96</v>
      </c>
      <c r="Q181" s="1" t="str">
        <f>IF($B181=0,$M181,_xlfn.TEXTBEFORE(Q180,"/",$B181,,,Q180)&amp;"/"&amp;$M181)&amp;IF(_xlfn.TEXTAFTER($D181,"..",,,,1)&lt;&gt;"1","[0]","")</f>
        <v>*/Consignment/AdditionalReference[0]/sequenceNumber</v>
      </c>
      <c r="T181" s="24" t="s">
        <v>421</v>
      </c>
    </row>
    <row r="182" spans="1:20" ht="12" customHeight="1" outlineLevel="3" x14ac:dyDescent="0.25">
      <c r="A182" s="19" t="str">
        <f>$E$2</f>
        <v>CC013C
CC015C</v>
      </c>
      <c r="B182" s="1">
        <v>3</v>
      </c>
      <c r="C182" s="1" t="s">
        <v>17</v>
      </c>
      <c r="D182" s="19" t="s">
        <v>18</v>
      </c>
      <c r="E182" s="26" t="s">
        <v>2</v>
      </c>
      <c r="F182" s="24" t="s">
        <v>306</v>
      </c>
      <c r="G182" s="24" t="s">
        <v>21</v>
      </c>
      <c r="H182" s="3" t="s">
        <v>505</v>
      </c>
      <c r="I182" s="3"/>
      <c r="J182" s="3" t="s">
        <v>512</v>
      </c>
      <c r="K182" s="3"/>
      <c r="L182" s="3" t="s">
        <v>509</v>
      </c>
      <c r="M182" s="19" t="s">
        <v>98</v>
      </c>
      <c r="P182" s="19" t="s">
        <v>307</v>
      </c>
      <c r="Q182" s="1" t="str">
        <f>IF($B182=0,$M182,_xlfn.TEXTBEFORE(Q181,"/",$B182,,,Q181)&amp;"/"&amp;$M182)&amp;IF(_xlfn.TEXTAFTER($D182,"..",,,,1)&lt;&gt;"1","[0]","")</f>
        <v>*/Consignment/AdditionalReference[0]/type</v>
      </c>
      <c r="T182" s="19" t="s">
        <v>413</v>
      </c>
    </row>
    <row r="183" spans="1:20" ht="12" customHeight="1" outlineLevel="3" x14ac:dyDescent="0.25">
      <c r="A183" s="19" t="str">
        <f>$E$2</f>
        <v>CC013C
CC015C</v>
      </c>
      <c r="B183" s="1">
        <v>3</v>
      </c>
      <c r="C183" s="1" t="s">
        <v>17</v>
      </c>
      <c r="D183" s="19" t="s">
        <v>36</v>
      </c>
      <c r="E183" s="26" t="s">
        <v>100</v>
      </c>
      <c r="F183" s="24" t="s">
        <v>126</v>
      </c>
      <c r="G183" s="24" t="s">
        <v>38</v>
      </c>
      <c r="H183" s="3" t="s">
        <v>481</v>
      </c>
      <c r="I183" s="3"/>
      <c r="J183" s="3"/>
      <c r="K183" s="3"/>
      <c r="L183" s="3" t="s">
        <v>510</v>
      </c>
      <c r="M183" s="19" t="s">
        <v>102</v>
      </c>
      <c r="P183" s="19" t="s">
        <v>308</v>
      </c>
      <c r="Q183" s="1" t="str">
        <f>IF($B183=0,$M183,_xlfn.TEXTBEFORE(Q182,"/",$B183,,,Q182)&amp;"/"&amp;$M183)&amp;IF(_xlfn.TEXTAFTER($D183,"..",,,,1)&lt;&gt;"1","[0]","")</f>
        <v>*/Consignment/AdditionalReference[0]/referenceNumber</v>
      </c>
      <c r="T183" s="24" t="s">
        <v>425</v>
      </c>
    </row>
    <row r="184" spans="1:20" ht="12" customHeight="1" outlineLevel="2" x14ac:dyDescent="0.25">
      <c r="A184" s="21" t="str">
        <f>$E$2</f>
        <v>CC013C
CC015C</v>
      </c>
      <c r="B184" s="4">
        <v>2</v>
      </c>
      <c r="C184" s="21" t="s">
        <v>41</v>
      </c>
      <c r="D184" s="21" t="s">
        <v>164</v>
      </c>
      <c r="E184" s="25" t="s">
        <v>321</v>
      </c>
      <c r="F184" s="6"/>
      <c r="G184" s="33" t="s">
        <v>38</v>
      </c>
      <c r="H184" s="6" t="s">
        <v>494</v>
      </c>
      <c r="I184" s="6"/>
      <c r="J184" s="6"/>
      <c r="K184" s="6"/>
      <c r="L184" s="6" t="s">
        <v>493</v>
      </c>
      <c r="M184" s="21" t="s">
        <v>322</v>
      </c>
      <c r="N184" s="4"/>
      <c r="O184" s="4"/>
      <c r="P184" s="4"/>
      <c r="Q184" s="1" t="str">
        <f>IF($B184=0,$M184,_xlfn.TEXTBEFORE(Q183,"/",$B184,,,Q183)&amp;"/"&amp;$M184)&amp;IF(_xlfn.TEXTAFTER($D184,"..",,,,1)&lt;&gt;"1","[0]","")</f>
        <v>*/Consignment/AdditionalInformation[0]</v>
      </c>
    </row>
    <row r="185" spans="1:20" ht="12" customHeight="1" outlineLevel="3" x14ac:dyDescent="0.25">
      <c r="A185" s="19" t="str">
        <f>$E$2</f>
        <v>CC013C
CC015C</v>
      </c>
      <c r="B185" s="1">
        <v>3</v>
      </c>
      <c r="C185" s="1" t="s">
        <v>17</v>
      </c>
      <c r="D185" s="19" t="s">
        <v>18</v>
      </c>
      <c r="E185" s="26" t="s">
        <v>93</v>
      </c>
      <c r="F185" s="24" t="s">
        <v>483</v>
      </c>
      <c r="G185" s="24" t="s">
        <v>21</v>
      </c>
      <c r="H185" s="3" t="s">
        <v>475</v>
      </c>
      <c r="I185" s="3"/>
      <c r="J185" s="3"/>
      <c r="K185" s="3"/>
      <c r="L185" s="3"/>
      <c r="M185" s="19" t="s">
        <v>95</v>
      </c>
      <c r="P185" s="19" t="s">
        <v>96</v>
      </c>
      <c r="Q185" s="1" t="str">
        <f>IF($B185=0,$M185,_xlfn.TEXTBEFORE(Q184,"/",$B185,,,Q184)&amp;"/"&amp;$M185)&amp;IF(_xlfn.TEXTAFTER($D185,"..",,,,1)&lt;&gt;"1","[0]","")</f>
        <v>*/Consignment/AdditionalInformation[0]/sequenceNumber</v>
      </c>
      <c r="T185" s="24" t="s">
        <v>421</v>
      </c>
    </row>
    <row r="186" spans="1:20" ht="12" customHeight="1" outlineLevel="3" x14ac:dyDescent="0.25">
      <c r="A186" s="19" t="str">
        <f>$E$2</f>
        <v>CC013C
CC015C</v>
      </c>
      <c r="B186" s="1">
        <v>3</v>
      </c>
      <c r="C186" s="1" t="s">
        <v>17</v>
      </c>
      <c r="D186" s="19" t="s">
        <v>18</v>
      </c>
      <c r="E186" s="26" t="s">
        <v>323</v>
      </c>
      <c r="F186" s="24" t="s">
        <v>324</v>
      </c>
      <c r="G186" s="24" t="s">
        <v>21</v>
      </c>
      <c r="H186" s="3" t="s">
        <v>497</v>
      </c>
      <c r="I186" s="3"/>
      <c r="J186" s="3"/>
      <c r="K186" s="3"/>
      <c r="L186" s="3" t="s">
        <v>495</v>
      </c>
      <c r="M186" s="19" t="s">
        <v>325</v>
      </c>
      <c r="P186" s="19" t="s">
        <v>326</v>
      </c>
      <c r="Q186" s="1" t="str">
        <f>IF($B186=0,$M186,_xlfn.TEXTBEFORE(Q185,"/",$B186,,,Q185)&amp;"/"&amp;$M186)&amp;IF(_xlfn.TEXTAFTER($D186,"..",,,,1)&lt;&gt;"1","[0]","")</f>
        <v>*/Consignment/AdditionalInformation[0]/code</v>
      </c>
      <c r="T186" s="19" t="s">
        <v>413</v>
      </c>
    </row>
    <row r="187" spans="1:20" ht="12" customHeight="1" outlineLevel="3" x14ac:dyDescent="0.25">
      <c r="A187" s="19" t="str">
        <f>$E$2</f>
        <v>CC013C
CC015C</v>
      </c>
      <c r="B187" s="1">
        <v>3</v>
      </c>
      <c r="C187" s="1" t="s">
        <v>17</v>
      </c>
      <c r="D187" s="19" t="s">
        <v>36</v>
      </c>
      <c r="E187" s="26" t="s">
        <v>327</v>
      </c>
      <c r="F187" s="24" t="s">
        <v>328</v>
      </c>
      <c r="G187" s="24" t="s">
        <v>38</v>
      </c>
      <c r="H187" s="3"/>
      <c r="I187" s="3"/>
      <c r="J187" s="3"/>
      <c r="K187" s="3"/>
      <c r="L187" s="3" t="s">
        <v>496</v>
      </c>
      <c r="M187" s="19" t="s">
        <v>329</v>
      </c>
      <c r="P187" s="19" t="s">
        <v>330</v>
      </c>
      <c r="Q187" s="1" t="str">
        <f>IF($B187=0,$M187,_xlfn.TEXTBEFORE(Q186,"/",$B187,,,Q186)&amp;"/"&amp;$M187)&amp;IF(_xlfn.TEXTAFTER($D187,"..",,,,1)&lt;&gt;"1","[0]","")</f>
        <v>*/Consignment/AdditionalInformation[0]/text</v>
      </c>
      <c r="T187" s="24" t="s">
        <v>443</v>
      </c>
    </row>
    <row r="188" spans="1:20" ht="12" customHeight="1" outlineLevel="2" x14ac:dyDescent="0.25">
      <c r="A188" s="21" t="str">
        <f>$E$2</f>
        <v>CC013C
CC015C</v>
      </c>
      <c r="B188" s="4">
        <v>2</v>
      </c>
      <c r="C188" s="21" t="s">
        <v>41</v>
      </c>
      <c r="D188" s="21" t="s">
        <v>36</v>
      </c>
      <c r="E188" s="25" t="s">
        <v>331</v>
      </c>
      <c r="F188" s="6"/>
      <c r="G188" s="33" t="s">
        <v>450</v>
      </c>
      <c r="H188" s="6" t="s">
        <v>604</v>
      </c>
      <c r="I188" s="6" t="s">
        <v>603</v>
      </c>
      <c r="J188" s="6"/>
      <c r="K188" s="6"/>
      <c r="L188" s="6" t="s">
        <v>600</v>
      </c>
      <c r="M188" s="21" t="s">
        <v>332</v>
      </c>
      <c r="N188" s="4"/>
      <c r="O188" s="4"/>
      <c r="P188" s="4"/>
      <c r="Q188" s="1" t="str">
        <f>IF($B188=0,$M188,_xlfn.TEXTBEFORE(Q187,"/",$B188,,,Q187)&amp;"/"&amp;$M188)&amp;IF(_xlfn.TEXTAFTER($D188,"..",,,,1)&lt;&gt;"1","[0]","")</f>
        <v>*/Consignment/TransportCharges</v>
      </c>
    </row>
    <row r="189" spans="1:20" ht="12" customHeight="1" outlineLevel="3" x14ac:dyDescent="0.25">
      <c r="A189" s="19" t="str">
        <f>$E$2</f>
        <v>CC013C
CC015C</v>
      </c>
      <c r="B189" s="1">
        <v>3</v>
      </c>
      <c r="C189" s="1" t="s">
        <v>17</v>
      </c>
      <c r="D189" s="19" t="s">
        <v>18</v>
      </c>
      <c r="E189" s="26" t="s">
        <v>333</v>
      </c>
      <c r="F189" s="24" t="s">
        <v>334</v>
      </c>
      <c r="G189" s="24" t="s">
        <v>21</v>
      </c>
      <c r="H189" s="3"/>
      <c r="I189" s="3"/>
      <c r="J189" s="3" t="s">
        <v>602</v>
      </c>
      <c r="K189" s="3"/>
      <c r="L189" s="3" t="s">
        <v>601</v>
      </c>
      <c r="M189" s="19" t="s">
        <v>335</v>
      </c>
      <c r="P189" s="19" t="s">
        <v>336</v>
      </c>
      <c r="Q189" s="1" t="str">
        <f>IF($B189=0,$M189,_xlfn.TEXTBEFORE(Q188,"/",$B189,,,Q188)&amp;"/"&amp;$M189)&amp;IF(_xlfn.TEXTAFTER($D189,"..",,,,1)&lt;&gt;"1","[0]","")</f>
        <v>*/Consignment/TransportCharges/methodOfPayment</v>
      </c>
      <c r="T189" s="24" t="s">
        <v>444</v>
      </c>
    </row>
    <row r="190" spans="1:20" ht="12" customHeight="1" outlineLevel="2" x14ac:dyDescent="0.25">
      <c r="A190" s="21" t="str">
        <f>$E$2</f>
        <v>CC013C
CC015C</v>
      </c>
      <c r="B190" s="4">
        <v>2</v>
      </c>
      <c r="C190" s="21" t="s">
        <v>41</v>
      </c>
      <c r="D190" s="21" t="s">
        <v>337</v>
      </c>
      <c r="E190" s="25" t="s">
        <v>338</v>
      </c>
      <c r="F190" s="6"/>
      <c r="G190" s="33" t="s">
        <v>21</v>
      </c>
      <c r="H190" s="6"/>
      <c r="I190" s="6"/>
      <c r="J190" s="6"/>
      <c r="K190" s="6"/>
      <c r="L190" s="6"/>
      <c r="M190" s="21" t="s">
        <v>339</v>
      </c>
      <c r="N190" s="4"/>
      <c r="O190" s="4"/>
      <c r="P190" s="4"/>
      <c r="Q190" s="1" t="str">
        <f>IF($B190=0,$M190,_xlfn.TEXTBEFORE(Q189,"/",$B190,,,Q189)&amp;"/"&amp;$M190)&amp;IF(_xlfn.TEXTAFTER($D190,"..",,,,1)&lt;&gt;"1","[0]","")</f>
        <v>*/Consignment/HouseConsignment[0]</v>
      </c>
    </row>
    <row r="191" spans="1:20" ht="12" customHeight="1" outlineLevel="3" x14ac:dyDescent="0.25">
      <c r="A191" s="19" t="str">
        <f>$E$2</f>
        <v>CC013C
CC015C</v>
      </c>
      <c r="B191" s="1">
        <v>3</v>
      </c>
      <c r="C191" s="1" t="s">
        <v>17</v>
      </c>
      <c r="D191" s="19" t="s">
        <v>18</v>
      </c>
      <c r="E191" s="26" t="s">
        <v>93</v>
      </c>
      <c r="F191" s="24" t="s">
        <v>504</v>
      </c>
      <c r="G191" s="24" t="s">
        <v>21</v>
      </c>
      <c r="H191" s="3"/>
      <c r="I191" s="3"/>
      <c r="J191" s="3"/>
      <c r="K191" s="3"/>
      <c r="L191" s="3"/>
      <c r="M191" s="19" t="s">
        <v>95</v>
      </c>
      <c r="P191" s="19" t="s">
        <v>96</v>
      </c>
      <c r="Q191" s="1" t="str">
        <f>IF($B191=0,$M191,_xlfn.TEXTBEFORE(Q190,"/",$B191,,,Q190)&amp;"/"&amp;$M191)&amp;IF(_xlfn.TEXTAFTER($D191,"..",,,,1)&lt;&gt;"1","[0]","")</f>
        <v>*/Consignment/HouseConsignment[0]/sequenceNumber</v>
      </c>
      <c r="T191" s="24" t="s">
        <v>421</v>
      </c>
    </row>
    <row r="192" spans="1:20" ht="12" customHeight="1" outlineLevel="3" x14ac:dyDescent="0.25">
      <c r="A192" s="19" t="str">
        <f>$E$2</f>
        <v>CC013C
CC015C</v>
      </c>
      <c r="B192" s="1">
        <v>3</v>
      </c>
      <c r="C192" s="1" t="s">
        <v>17</v>
      </c>
      <c r="D192" s="19" t="s">
        <v>36</v>
      </c>
      <c r="E192" s="26" t="s">
        <v>184</v>
      </c>
      <c r="F192" s="3" t="s">
        <v>140</v>
      </c>
      <c r="G192" s="24" t="s">
        <v>450</v>
      </c>
      <c r="H192" s="3" t="s">
        <v>611</v>
      </c>
      <c r="I192" s="3" t="s">
        <v>610</v>
      </c>
      <c r="J192" s="3" t="s">
        <v>606</v>
      </c>
      <c r="K192" s="3"/>
      <c r="L192" s="3" t="s">
        <v>609</v>
      </c>
      <c r="M192" s="19" t="s">
        <v>185</v>
      </c>
      <c r="P192" s="19" t="s">
        <v>186</v>
      </c>
      <c r="Q192" s="1" t="str">
        <f>IF($B192=0,$M192,_xlfn.TEXTBEFORE(Q191,"/",$B192,,,Q191)&amp;"/"&amp;$M192)&amp;IF(_xlfn.TEXTAFTER($D192,"..",,,,1)&lt;&gt;"1","[0]","")</f>
        <v>*/Consignment/HouseConsignment[0]/countryOfDispatch</v>
      </c>
      <c r="T192" s="24" t="s">
        <v>426</v>
      </c>
    </row>
    <row r="193" spans="1:20" ht="12" customHeight="1" outlineLevel="3" x14ac:dyDescent="0.25">
      <c r="A193" s="19" t="str">
        <f>$E$2</f>
        <v>CC013C
CC015C</v>
      </c>
      <c r="B193" s="1">
        <v>3</v>
      </c>
      <c r="C193" s="1" t="s">
        <v>17</v>
      </c>
      <c r="D193" s="19" t="s">
        <v>36</v>
      </c>
      <c r="E193" s="26" t="s">
        <v>187</v>
      </c>
      <c r="F193" s="3" t="s">
        <v>140</v>
      </c>
      <c r="G193" s="24" t="s">
        <v>450</v>
      </c>
      <c r="H193" s="3" t="s">
        <v>608</v>
      </c>
      <c r="I193" s="3" t="s">
        <v>607</v>
      </c>
      <c r="J193" s="3" t="s">
        <v>606</v>
      </c>
      <c r="K193" s="3"/>
      <c r="L193" s="3" t="s">
        <v>605</v>
      </c>
      <c r="M193" s="19" t="s">
        <v>188</v>
      </c>
      <c r="P193" s="19" t="s">
        <v>189</v>
      </c>
      <c r="Q193" s="1" t="str">
        <f>IF($B193=0,$M193,_xlfn.TEXTBEFORE(Q192,"/",$B193,,,Q192)&amp;"/"&amp;$M193)&amp;IF(_xlfn.TEXTAFTER($D193,"..",,,,1)&lt;&gt;"1","[0]","")</f>
        <v>*/Consignment/HouseConsignment[0]/countryOfDestination</v>
      </c>
      <c r="T193" s="24" t="s">
        <v>426</v>
      </c>
    </row>
    <row r="194" spans="1:20" ht="12" customHeight="1" outlineLevel="3" x14ac:dyDescent="0.25">
      <c r="A194" s="19" t="str">
        <f>$E$2</f>
        <v>CC013C
CC015C</v>
      </c>
      <c r="B194" s="1">
        <v>3</v>
      </c>
      <c r="C194" s="1" t="s">
        <v>17</v>
      </c>
      <c r="D194" s="19" t="s">
        <v>18</v>
      </c>
      <c r="E194" s="26" t="s">
        <v>198</v>
      </c>
      <c r="F194" s="24" t="s">
        <v>199</v>
      </c>
      <c r="G194" s="24" t="s">
        <v>21</v>
      </c>
      <c r="H194" s="3" t="s">
        <v>693</v>
      </c>
      <c r="I194" s="3"/>
      <c r="J194" s="3"/>
      <c r="K194" s="3"/>
      <c r="L194" s="3" t="s">
        <v>692</v>
      </c>
      <c r="M194" s="19" t="s">
        <v>200</v>
      </c>
      <c r="P194" s="19" t="s">
        <v>201</v>
      </c>
      <c r="Q194" s="1" t="str">
        <f>IF($B194=0,$M194,_xlfn.TEXTBEFORE(Q193,"/",$B194,,,Q193)&amp;"/"&amp;$M194)&amp;IF(_xlfn.TEXTAFTER($D194,"..",,,,1)&lt;&gt;"1","[0]","")</f>
        <v>*/Consignment/HouseConsignment[0]/grossMass</v>
      </c>
      <c r="T194" s="24" t="s">
        <v>432</v>
      </c>
    </row>
    <row r="195" spans="1:20" ht="12" customHeight="1" outlineLevel="3" x14ac:dyDescent="0.25">
      <c r="A195" s="19" t="str">
        <f>$E$2</f>
        <v>CC013C
CC015C</v>
      </c>
      <c r="B195" s="1">
        <v>3</v>
      </c>
      <c r="C195" s="1" t="s">
        <v>17</v>
      </c>
      <c r="D195" s="19" t="s">
        <v>36</v>
      </c>
      <c r="E195" s="26" t="s">
        <v>202</v>
      </c>
      <c r="F195" s="24" t="s">
        <v>203</v>
      </c>
      <c r="G195" s="24" t="s">
        <v>450</v>
      </c>
      <c r="H195" s="3" t="s">
        <v>523</v>
      </c>
      <c r="I195" s="3" t="s">
        <v>522</v>
      </c>
      <c r="J195" s="3"/>
      <c r="K195" s="3"/>
      <c r="L195" s="3" t="s">
        <v>521</v>
      </c>
      <c r="M195" s="19" t="s">
        <v>204</v>
      </c>
      <c r="P195" s="19" t="s">
        <v>205</v>
      </c>
      <c r="Q195" s="1" t="str">
        <f>IF($B195=0,$M195,_xlfn.TEXTBEFORE(Q194,"/",$B195,,,Q194)&amp;"/"&amp;$M195)&amp;IF(_xlfn.TEXTAFTER($D195,"..",,,,1)&lt;&gt;"1","[0]","")</f>
        <v>*/Consignment/HouseConsignment[0]/referenceNumberUCR</v>
      </c>
      <c r="T195" s="24" t="s">
        <v>433</v>
      </c>
    </row>
    <row r="196" spans="1:20" ht="12" customHeight="1" outlineLevel="3" x14ac:dyDescent="0.25">
      <c r="A196" s="21" t="str">
        <f>$E$2</f>
        <v>CC013C
CC015C</v>
      </c>
      <c r="B196" s="4">
        <v>3</v>
      </c>
      <c r="C196" s="21" t="s">
        <v>41</v>
      </c>
      <c r="D196" s="21" t="s">
        <v>36</v>
      </c>
      <c r="E196" s="27" t="s">
        <v>208</v>
      </c>
      <c r="F196" s="6"/>
      <c r="G196" s="33" t="s">
        <v>450</v>
      </c>
      <c r="H196" s="6" t="s">
        <v>539</v>
      </c>
      <c r="I196" s="6" t="s">
        <v>538</v>
      </c>
      <c r="J196" s="6"/>
      <c r="K196" s="6"/>
      <c r="L196" s="6" t="s">
        <v>534</v>
      </c>
      <c r="M196" s="21" t="s">
        <v>208</v>
      </c>
      <c r="N196" s="4"/>
      <c r="O196" s="4"/>
      <c r="P196" s="4"/>
      <c r="Q196" s="1" t="str">
        <f>IF($B196=0,$M196,_xlfn.TEXTBEFORE(Q195,"/",$B196,,,Q195)&amp;"/"&amp;$M196)&amp;IF(_xlfn.TEXTAFTER($D196,"..",,,,1)&lt;&gt;"1","[0]","")</f>
        <v>*/Consignment/HouseConsignment[0]/Consignor</v>
      </c>
    </row>
    <row r="197" spans="1:20" ht="12" customHeight="1" outlineLevel="4" x14ac:dyDescent="0.25">
      <c r="A197" s="19" t="str">
        <f>$E$2</f>
        <v>CC013C
CC015C</v>
      </c>
      <c r="B197" s="1">
        <v>4</v>
      </c>
      <c r="C197" s="1" t="s">
        <v>17</v>
      </c>
      <c r="D197" s="19" t="s">
        <v>36</v>
      </c>
      <c r="E197" s="28" t="s">
        <v>119</v>
      </c>
      <c r="F197" s="24" t="s">
        <v>120</v>
      </c>
      <c r="G197" s="24" t="s">
        <v>38</v>
      </c>
      <c r="H197" s="3" t="s">
        <v>537</v>
      </c>
      <c r="I197" s="3"/>
      <c r="J197" s="3"/>
      <c r="K197" s="3"/>
      <c r="L197" s="3" t="s">
        <v>535</v>
      </c>
      <c r="M197" s="19" t="s">
        <v>121</v>
      </c>
      <c r="P197" s="19" t="s">
        <v>122</v>
      </c>
      <c r="Q197" s="1" t="str">
        <f>IF($B197=0,$M197,_xlfn.TEXTBEFORE(Q196,"/",$B197,,,Q196)&amp;"/"&amp;$M197)&amp;IF(_xlfn.TEXTAFTER($D197,"..",,,,1)&lt;&gt;"1","[0]","")</f>
        <v>*/Consignment/HouseConsignment[0]/Consignor/identificationNumber</v>
      </c>
      <c r="T197" s="24" t="s">
        <v>424</v>
      </c>
    </row>
    <row r="198" spans="1:20" ht="12" customHeight="1" outlineLevel="4" x14ac:dyDescent="0.25">
      <c r="A198" s="19" t="str">
        <f>$E$2</f>
        <v>CC013C
CC015C</v>
      </c>
      <c r="B198" s="1">
        <v>4</v>
      </c>
      <c r="C198" s="1" t="s">
        <v>17</v>
      </c>
      <c r="D198" s="19" t="s">
        <v>36</v>
      </c>
      <c r="E198" s="28" t="s">
        <v>4</v>
      </c>
      <c r="F198" s="24" t="s">
        <v>126</v>
      </c>
      <c r="G198" s="24" t="s">
        <v>450</v>
      </c>
      <c r="H198" s="3"/>
      <c r="I198" s="3" t="s">
        <v>541</v>
      </c>
      <c r="J198" s="3"/>
      <c r="K198" s="3"/>
      <c r="L198" s="3" t="s">
        <v>536</v>
      </c>
      <c r="M198" s="19" t="s">
        <v>127</v>
      </c>
      <c r="P198" s="19" t="s">
        <v>128</v>
      </c>
      <c r="Q198" s="1" t="str">
        <f>IF($B198=0,$M198,_xlfn.TEXTBEFORE(Q197,"/",$B198,,,Q197)&amp;"/"&amp;$M198)&amp;IF(_xlfn.TEXTAFTER($D198,"..",,,,1)&lt;&gt;"1","[0]","")</f>
        <v>*/Consignment/HouseConsignment[0]/Consignor/name</v>
      </c>
      <c r="T198" s="24" t="s">
        <v>425</v>
      </c>
    </row>
    <row r="199" spans="1:20" ht="12" customHeight="1" outlineLevel="4" x14ac:dyDescent="0.25">
      <c r="A199" s="21" t="str">
        <f>$E$2</f>
        <v>CC013C
CC015C</v>
      </c>
      <c r="B199" s="4">
        <v>4</v>
      </c>
      <c r="C199" s="21" t="s">
        <v>41</v>
      </c>
      <c r="D199" s="21" t="s">
        <v>36</v>
      </c>
      <c r="E199" s="29" t="s">
        <v>129</v>
      </c>
      <c r="F199" s="6"/>
      <c r="G199" s="33" t="s">
        <v>450</v>
      </c>
      <c r="H199" s="6"/>
      <c r="I199" s="6" t="s">
        <v>541</v>
      </c>
      <c r="J199" s="6"/>
      <c r="K199" s="6"/>
      <c r="L199" s="6" t="s">
        <v>540</v>
      </c>
      <c r="M199" s="21" t="s">
        <v>129</v>
      </c>
      <c r="N199" s="4"/>
      <c r="O199" s="4"/>
      <c r="P199" s="4"/>
      <c r="Q199" s="1" t="str">
        <f>IF($B199=0,$M199,_xlfn.TEXTBEFORE(Q198,"/",$B199,,,Q198)&amp;"/"&amp;$M199)&amp;IF(_xlfn.TEXTAFTER($D199,"..",,,,1)&lt;&gt;"1","[0]","")</f>
        <v>*/Consignment/HouseConsignment[0]/Consignor/Address</v>
      </c>
    </row>
    <row r="200" spans="1:20" ht="12" customHeight="1" outlineLevel="5" x14ac:dyDescent="0.25">
      <c r="A200" s="19" t="str">
        <f>$E$2</f>
        <v>CC013C
CC015C</v>
      </c>
      <c r="B200" s="1">
        <v>5</v>
      </c>
      <c r="C200" s="1" t="s">
        <v>17</v>
      </c>
      <c r="D200" s="19" t="s">
        <v>18</v>
      </c>
      <c r="E200" s="30" t="s">
        <v>130</v>
      </c>
      <c r="F200" s="24" t="s">
        <v>126</v>
      </c>
      <c r="G200" s="24" t="s">
        <v>21</v>
      </c>
      <c r="H200" s="3"/>
      <c r="I200" s="3"/>
      <c r="J200" s="3"/>
      <c r="K200" s="3"/>
      <c r="L200" s="3" t="s">
        <v>542</v>
      </c>
      <c r="M200" s="19" t="s">
        <v>131</v>
      </c>
      <c r="P200" s="19" t="s">
        <v>132</v>
      </c>
      <c r="Q200" s="1" t="str">
        <f>IF($B200=0,$M200,_xlfn.TEXTBEFORE(Q199,"/",$B200,,,Q199)&amp;"/"&amp;$M200)&amp;IF(_xlfn.TEXTAFTER($D200,"..",,,,1)&lt;&gt;"1","[0]","")</f>
        <v>*/Consignment/HouseConsignment[0]/Consignor/Address/streetAndNumber</v>
      </c>
      <c r="T200" s="24" t="s">
        <v>425</v>
      </c>
    </row>
    <row r="201" spans="1:20" ht="12" customHeight="1" outlineLevel="5" x14ac:dyDescent="0.25">
      <c r="A201" s="19" t="str">
        <f>$E$2</f>
        <v>CC013C
CC015C</v>
      </c>
      <c r="B201" s="1">
        <v>5</v>
      </c>
      <c r="C201" s="1" t="s">
        <v>17</v>
      </c>
      <c r="D201" s="19" t="s">
        <v>36</v>
      </c>
      <c r="E201" s="30" t="s">
        <v>133</v>
      </c>
      <c r="F201" s="24" t="s">
        <v>120</v>
      </c>
      <c r="G201" s="24" t="s">
        <v>450</v>
      </c>
      <c r="H201" s="3"/>
      <c r="I201" s="3" t="s">
        <v>544</v>
      </c>
      <c r="J201" s="3"/>
      <c r="K201" s="3"/>
      <c r="L201" s="3" t="s">
        <v>543</v>
      </c>
      <c r="M201" s="19" t="s">
        <v>134</v>
      </c>
      <c r="P201" s="19" t="s">
        <v>135</v>
      </c>
      <c r="Q201" s="1" t="str">
        <f>IF($B201=0,$M201,_xlfn.TEXTBEFORE(Q200,"/",$B201,,,Q200)&amp;"/"&amp;$M201)&amp;IF(_xlfn.TEXTAFTER($D201,"..",,,,1)&lt;&gt;"1","[0]","")</f>
        <v>*/Consignment/HouseConsignment[0]/Consignor/Address/postcode</v>
      </c>
      <c r="T201" s="24" t="s">
        <v>424</v>
      </c>
    </row>
    <row r="202" spans="1:20" ht="12" customHeight="1" outlineLevel="5" x14ac:dyDescent="0.25">
      <c r="A202" s="19" t="str">
        <f>$E$2</f>
        <v>CC013C
CC015C</v>
      </c>
      <c r="B202" s="1">
        <v>5</v>
      </c>
      <c r="C202" s="1" t="s">
        <v>17</v>
      </c>
      <c r="D202" s="19" t="s">
        <v>18</v>
      </c>
      <c r="E202" s="30" t="s">
        <v>136</v>
      </c>
      <c r="F202" s="24" t="s">
        <v>101</v>
      </c>
      <c r="G202" s="24" t="s">
        <v>21</v>
      </c>
      <c r="H202" s="3"/>
      <c r="I202" s="3"/>
      <c r="J202" s="3"/>
      <c r="K202" s="3"/>
      <c r="L202" s="3" t="s">
        <v>545</v>
      </c>
      <c r="M202" s="19" t="s">
        <v>137</v>
      </c>
      <c r="P202" s="19" t="s">
        <v>138</v>
      </c>
      <c r="Q202" s="1" t="str">
        <f>IF($B202=0,$M202,_xlfn.TEXTBEFORE(Q201,"/",$B202,,,Q201)&amp;"/"&amp;$M202)&amp;IF(_xlfn.TEXTAFTER($D202,"..",,,,1)&lt;&gt;"1","[0]","")</f>
        <v>*/Consignment/HouseConsignment[0]/Consignor/Address/city</v>
      </c>
      <c r="T202" s="24" t="s">
        <v>422</v>
      </c>
    </row>
    <row r="203" spans="1:20" ht="12" customHeight="1" outlineLevel="5" x14ac:dyDescent="0.25">
      <c r="A203" s="19" t="str">
        <f>$E$2</f>
        <v>CC013C
CC015C</v>
      </c>
      <c r="B203" s="1">
        <v>5</v>
      </c>
      <c r="C203" s="1" t="s">
        <v>17</v>
      </c>
      <c r="D203" s="19" t="s">
        <v>18</v>
      </c>
      <c r="E203" s="30" t="s">
        <v>139</v>
      </c>
      <c r="F203" s="3" t="s">
        <v>140</v>
      </c>
      <c r="G203" s="24" t="s">
        <v>21</v>
      </c>
      <c r="H203" s="3"/>
      <c r="I203" s="3"/>
      <c r="J203" s="3" t="s">
        <v>547</v>
      </c>
      <c r="K203" s="3"/>
      <c r="L203" s="3" t="s">
        <v>546</v>
      </c>
      <c r="M203" s="19" t="s">
        <v>141</v>
      </c>
      <c r="P203" s="19" t="s">
        <v>142</v>
      </c>
      <c r="Q203" s="1" t="str">
        <f>IF($B203=0,$M203,_xlfn.TEXTBEFORE(Q202,"/",$B203,,,Q202)&amp;"/"&amp;$M203)&amp;IF(_xlfn.TEXTAFTER($D203,"..",,,,1)&lt;&gt;"1","[0]","")</f>
        <v>*/Consignment/HouseConsignment[0]/Consignor/Address/country</v>
      </c>
      <c r="T203" s="24" t="s">
        <v>426</v>
      </c>
    </row>
    <row r="204" spans="1:20" ht="12" customHeight="1" outlineLevel="4" x14ac:dyDescent="0.25">
      <c r="A204" s="21" t="str">
        <f>$E$2</f>
        <v>CC013C
CC015C</v>
      </c>
      <c r="B204" s="4">
        <v>4</v>
      </c>
      <c r="C204" s="21" t="s">
        <v>41</v>
      </c>
      <c r="D204" s="21" t="s">
        <v>36</v>
      </c>
      <c r="E204" s="29" t="s">
        <v>143</v>
      </c>
      <c r="F204" s="6"/>
      <c r="G204" s="33" t="s">
        <v>38</v>
      </c>
      <c r="H204" s="6" t="s">
        <v>549</v>
      </c>
      <c r="I204" s="6"/>
      <c r="J204" s="6"/>
      <c r="K204" s="6"/>
      <c r="L204" s="6" t="s">
        <v>548</v>
      </c>
      <c r="M204" s="21" t="s">
        <v>144</v>
      </c>
      <c r="N204" s="4"/>
      <c r="O204" s="4"/>
      <c r="P204" s="4"/>
      <c r="Q204" s="1" t="str">
        <f>IF($B204=0,$M204,_xlfn.TEXTBEFORE(Q203,"/",$B204,,,Q203)&amp;"/"&amp;$M204)&amp;IF(_xlfn.TEXTAFTER($D204,"..",,,,1)&lt;&gt;"1","[0]","")</f>
        <v>*/Consignment/HouseConsignment[0]/Consignor/ContactPerson</v>
      </c>
    </row>
    <row r="205" spans="1:20" ht="12" customHeight="1" outlineLevel="5" x14ac:dyDescent="0.25">
      <c r="A205" s="19" t="str">
        <f>$E$2</f>
        <v>CC013C
CC015C</v>
      </c>
      <c r="B205" s="1">
        <v>5</v>
      </c>
      <c r="C205" s="1" t="s">
        <v>17</v>
      </c>
      <c r="D205" s="19" t="s">
        <v>18</v>
      </c>
      <c r="E205" s="30" t="s">
        <v>4</v>
      </c>
      <c r="F205" s="24" t="s">
        <v>126</v>
      </c>
      <c r="G205" s="24" t="s">
        <v>21</v>
      </c>
      <c r="H205" s="3"/>
      <c r="I205" s="3"/>
      <c r="J205" s="3"/>
      <c r="K205" s="3"/>
      <c r="L205" s="3" t="s">
        <v>550</v>
      </c>
      <c r="M205" s="19" t="s">
        <v>127</v>
      </c>
      <c r="P205" s="19" t="s">
        <v>128</v>
      </c>
      <c r="Q205" s="1" t="str">
        <f>IF($B205=0,$M205,_xlfn.TEXTBEFORE(Q204,"/",$B205,,,Q204)&amp;"/"&amp;$M205)&amp;IF(_xlfn.TEXTAFTER($D205,"..",,,,1)&lt;&gt;"1","[0]","")</f>
        <v>*/Consignment/HouseConsignment[0]/Consignor/ContactPerson/name</v>
      </c>
      <c r="T205" s="24" t="s">
        <v>425</v>
      </c>
    </row>
    <row r="206" spans="1:20" ht="12" customHeight="1" outlineLevel="5" x14ac:dyDescent="0.25">
      <c r="A206" s="19" t="str">
        <f>$E$2</f>
        <v>CC013C
CC015C</v>
      </c>
      <c r="B206" s="1">
        <v>5</v>
      </c>
      <c r="C206" s="1" t="s">
        <v>17</v>
      </c>
      <c r="D206" s="19" t="s">
        <v>18</v>
      </c>
      <c r="E206" s="30" t="s">
        <v>145</v>
      </c>
      <c r="F206" s="24" t="s">
        <v>20</v>
      </c>
      <c r="G206" s="24" t="s">
        <v>21</v>
      </c>
      <c r="H206" s="3"/>
      <c r="I206" s="3"/>
      <c r="J206" s="3"/>
      <c r="K206" s="3"/>
      <c r="L206" s="3" t="s">
        <v>551</v>
      </c>
      <c r="M206" s="19" t="s">
        <v>146</v>
      </c>
      <c r="P206" s="19" t="s">
        <v>147</v>
      </c>
      <c r="Q206" s="1" t="str">
        <f>IF($B206=0,$M206,_xlfn.TEXTBEFORE(Q205,"/",$B206,,,Q205)&amp;"/"&amp;$M206)&amp;IF(_xlfn.TEXTAFTER($D206,"..",,,,1)&lt;&gt;"1","[0]","")</f>
        <v>*/Consignment/HouseConsignment[0]/Consignor/ContactPerson/phoneNumber</v>
      </c>
      <c r="T206" s="19" t="s">
        <v>413</v>
      </c>
    </row>
    <row r="207" spans="1:20" ht="12" customHeight="1" outlineLevel="5" x14ac:dyDescent="0.25">
      <c r="A207" s="19" t="str">
        <f>$E$2</f>
        <v>CC013C
CC015C</v>
      </c>
      <c r="B207" s="1">
        <v>5</v>
      </c>
      <c r="C207" s="1" t="s">
        <v>17</v>
      </c>
      <c r="D207" s="19" t="s">
        <v>36</v>
      </c>
      <c r="E207" s="30" t="s">
        <v>148</v>
      </c>
      <c r="F207" s="24" t="s">
        <v>149</v>
      </c>
      <c r="G207" s="24" t="s">
        <v>38</v>
      </c>
      <c r="H207" s="3" t="s">
        <v>458</v>
      </c>
      <c r="I207" s="3"/>
      <c r="J207" s="3"/>
      <c r="K207" s="3"/>
      <c r="L207" s="3" t="s">
        <v>552</v>
      </c>
      <c r="M207" s="19" t="s">
        <v>150</v>
      </c>
      <c r="P207" s="19" t="s">
        <v>151</v>
      </c>
      <c r="Q207" s="1" t="str">
        <f>IF($B207=0,$M207,_xlfn.TEXTBEFORE(Q206,"/",$B207,,,Q206)&amp;"/"&amp;$M207)&amp;IF(_xlfn.TEXTAFTER($D207,"..",,,,1)&lt;&gt;"1","[0]","")</f>
        <v>*/Consignment/HouseConsignment[0]/Consignor/ContactPerson/eMailAddress</v>
      </c>
      <c r="T207" s="24" t="s">
        <v>427</v>
      </c>
    </row>
    <row r="208" spans="1:20" ht="12" customHeight="1" outlineLevel="3" x14ac:dyDescent="0.25">
      <c r="A208" s="21" t="str">
        <f>$E$2</f>
        <v>CC013C
CC015C</v>
      </c>
      <c r="B208" s="4">
        <v>3</v>
      </c>
      <c r="C208" s="21" t="s">
        <v>41</v>
      </c>
      <c r="D208" s="21" t="s">
        <v>36</v>
      </c>
      <c r="E208" s="27" t="s">
        <v>209</v>
      </c>
      <c r="F208" s="6"/>
      <c r="G208" s="33" t="s">
        <v>450</v>
      </c>
      <c r="H208" s="6" t="s">
        <v>557</v>
      </c>
      <c r="I208" s="6" t="s">
        <v>556</v>
      </c>
      <c r="J208" s="6"/>
      <c r="K208" s="6"/>
      <c r="L208" s="6" t="s">
        <v>553</v>
      </c>
      <c r="M208" s="21" t="s">
        <v>209</v>
      </c>
      <c r="N208" s="4"/>
      <c r="O208" s="4"/>
      <c r="P208" s="4"/>
      <c r="Q208" s="1" t="str">
        <f>IF($B208=0,$M208,_xlfn.TEXTBEFORE(Q207,"/",$B208,,,Q207)&amp;"/"&amp;$M208)&amp;IF(_xlfn.TEXTAFTER($D208,"..",,,,1)&lt;&gt;"1","[0]","")</f>
        <v>*/Consignment/HouseConsignment[0]/Consignee</v>
      </c>
    </row>
    <row r="209" spans="1:20" ht="12" customHeight="1" outlineLevel="4" x14ac:dyDescent="0.25">
      <c r="A209" s="19" t="str">
        <f>$E$2</f>
        <v>CC013C
CC015C</v>
      </c>
      <c r="B209" s="1">
        <v>4</v>
      </c>
      <c r="C209" s="1" t="s">
        <v>17</v>
      </c>
      <c r="D209" s="19" t="s">
        <v>36</v>
      </c>
      <c r="E209" s="28" t="s">
        <v>119</v>
      </c>
      <c r="F209" s="24" t="s">
        <v>120</v>
      </c>
      <c r="G209" s="24" t="s">
        <v>38</v>
      </c>
      <c r="H209" s="3" t="s">
        <v>558</v>
      </c>
      <c r="I209" s="3"/>
      <c r="J209" s="3"/>
      <c r="K209" s="3"/>
      <c r="L209" s="3" t="s">
        <v>554</v>
      </c>
      <c r="M209" s="19" t="s">
        <v>121</v>
      </c>
      <c r="P209" s="19" t="s">
        <v>122</v>
      </c>
      <c r="Q209" s="1" t="str">
        <f>IF($B209=0,$M209,_xlfn.TEXTBEFORE(Q208,"/",$B209,,,Q208)&amp;"/"&amp;$M209)&amp;IF(_xlfn.TEXTAFTER($D209,"..",,,,1)&lt;&gt;"1","[0]","")</f>
        <v>*/Consignment/HouseConsignment[0]/Consignee/identificationNumber</v>
      </c>
      <c r="T209" s="24" t="s">
        <v>424</v>
      </c>
    </row>
    <row r="210" spans="1:20" ht="12" customHeight="1" outlineLevel="4" x14ac:dyDescent="0.25">
      <c r="A210" s="19" t="str">
        <f>$E$2</f>
        <v>CC013C
CC015C</v>
      </c>
      <c r="B210" s="1">
        <v>4</v>
      </c>
      <c r="C210" s="1" t="s">
        <v>17</v>
      </c>
      <c r="D210" s="19" t="s">
        <v>36</v>
      </c>
      <c r="E210" s="28" t="s">
        <v>4</v>
      </c>
      <c r="F210" s="24" t="s">
        <v>126</v>
      </c>
      <c r="G210" s="24" t="s">
        <v>450</v>
      </c>
      <c r="H210" s="3"/>
      <c r="I210" s="3" t="s">
        <v>541</v>
      </c>
      <c r="J210" s="3"/>
      <c r="K210" s="3"/>
      <c r="L210" s="3" t="s">
        <v>555</v>
      </c>
      <c r="M210" s="19" t="s">
        <v>127</v>
      </c>
      <c r="P210" s="19" t="s">
        <v>128</v>
      </c>
      <c r="Q210" s="1" t="str">
        <f>IF($B210=0,$M210,_xlfn.TEXTBEFORE(Q209,"/",$B210,,,Q209)&amp;"/"&amp;$M210)&amp;IF(_xlfn.TEXTAFTER($D210,"..",,,,1)&lt;&gt;"1","[0]","")</f>
        <v>*/Consignment/HouseConsignment[0]/Consignee/name</v>
      </c>
      <c r="T210" s="24" t="s">
        <v>425</v>
      </c>
    </row>
    <row r="211" spans="1:20" ht="12" customHeight="1" outlineLevel="4" x14ac:dyDescent="0.25">
      <c r="A211" s="21" t="str">
        <f>$E$2</f>
        <v>CC013C
CC015C</v>
      </c>
      <c r="B211" s="4">
        <v>4</v>
      </c>
      <c r="C211" s="21" t="s">
        <v>41</v>
      </c>
      <c r="D211" s="21" t="s">
        <v>36</v>
      </c>
      <c r="E211" s="29" t="s">
        <v>129</v>
      </c>
      <c r="F211" s="6"/>
      <c r="G211" s="33" t="s">
        <v>450</v>
      </c>
      <c r="H211" s="6"/>
      <c r="I211" s="6" t="s">
        <v>541</v>
      </c>
      <c r="J211" s="6"/>
      <c r="K211" s="6"/>
      <c r="L211" s="6" t="s">
        <v>559</v>
      </c>
      <c r="M211" s="21" t="s">
        <v>129</v>
      </c>
      <c r="N211" s="4"/>
      <c r="O211" s="4"/>
      <c r="P211" s="4"/>
      <c r="Q211" s="1" t="str">
        <f>IF($B211=0,$M211,_xlfn.TEXTBEFORE(Q210,"/",$B211,,,Q210)&amp;"/"&amp;$M211)&amp;IF(_xlfn.TEXTAFTER($D211,"..",,,,1)&lt;&gt;"1","[0]","")</f>
        <v>*/Consignment/HouseConsignment[0]/Consignee/Address</v>
      </c>
    </row>
    <row r="212" spans="1:20" ht="12" customHeight="1" outlineLevel="5" x14ac:dyDescent="0.25">
      <c r="A212" s="19" t="str">
        <f>$E$2</f>
        <v>CC013C
CC015C</v>
      </c>
      <c r="B212" s="1">
        <v>5</v>
      </c>
      <c r="C212" s="1" t="s">
        <v>17</v>
      </c>
      <c r="D212" s="19" t="s">
        <v>18</v>
      </c>
      <c r="E212" s="30" t="s">
        <v>130</v>
      </c>
      <c r="F212" s="24" t="s">
        <v>126</v>
      </c>
      <c r="G212" s="24" t="s">
        <v>21</v>
      </c>
      <c r="H212" s="3"/>
      <c r="I212" s="3"/>
      <c r="J212" s="3"/>
      <c r="K212" s="3"/>
      <c r="L212" s="3" t="s">
        <v>560</v>
      </c>
      <c r="M212" s="19" t="s">
        <v>131</v>
      </c>
      <c r="P212" s="19" t="s">
        <v>132</v>
      </c>
      <c r="Q212" s="1" t="str">
        <f>IF($B212=0,$M212,_xlfn.TEXTBEFORE(Q211,"/",$B212,,,Q211)&amp;"/"&amp;$M212)&amp;IF(_xlfn.TEXTAFTER($D212,"..",,,,1)&lt;&gt;"1","[0]","")</f>
        <v>*/Consignment/HouseConsignment[0]/Consignee/Address/streetAndNumber</v>
      </c>
      <c r="T212" s="24" t="s">
        <v>425</v>
      </c>
    </row>
    <row r="213" spans="1:20" ht="12" customHeight="1" outlineLevel="5" x14ac:dyDescent="0.25">
      <c r="A213" s="19" t="str">
        <f>$E$2</f>
        <v>CC013C
CC015C</v>
      </c>
      <c r="B213" s="1">
        <v>5</v>
      </c>
      <c r="C213" s="1" t="s">
        <v>17</v>
      </c>
      <c r="D213" s="19" t="s">
        <v>36</v>
      </c>
      <c r="E213" s="30" t="s">
        <v>133</v>
      </c>
      <c r="F213" s="24" t="s">
        <v>120</v>
      </c>
      <c r="G213" s="24" t="s">
        <v>450</v>
      </c>
      <c r="H213" s="3"/>
      <c r="I213" s="3" t="s">
        <v>544</v>
      </c>
      <c r="J213" s="3"/>
      <c r="K213" s="3"/>
      <c r="L213" s="3" t="s">
        <v>561</v>
      </c>
      <c r="M213" s="19" t="s">
        <v>134</v>
      </c>
      <c r="P213" s="19" t="s">
        <v>135</v>
      </c>
      <c r="Q213" s="1" t="str">
        <f>IF($B213=0,$M213,_xlfn.TEXTBEFORE(Q212,"/",$B213,,,Q212)&amp;"/"&amp;$M213)&amp;IF(_xlfn.TEXTAFTER($D213,"..",,,,1)&lt;&gt;"1","[0]","")</f>
        <v>*/Consignment/HouseConsignment[0]/Consignee/Address/postcode</v>
      </c>
      <c r="T213" s="24" t="s">
        <v>424</v>
      </c>
    </row>
    <row r="214" spans="1:20" ht="12" customHeight="1" outlineLevel="5" x14ac:dyDescent="0.25">
      <c r="A214" s="19" t="str">
        <f>$E$2</f>
        <v>CC013C
CC015C</v>
      </c>
      <c r="B214" s="1">
        <v>5</v>
      </c>
      <c r="C214" s="1" t="s">
        <v>17</v>
      </c>
      <c r="D214" s="19" t="s">
        <v>18</v>
      </c>
      <c r="E214" s="30" t="s">
        <v>136</v>
      </c>
      <c r="F214" s="24" t="s">
        <v>101</v>
      </c>
      <c r="G214" s="24" t="s">
        <v>21</v>
      </c>
      <c r="H214" s="3"/>
      <c r="I214" s="3"/>
      <c r="J214" s="3"/>
      <c r="K214" s="3"/>
      <c r="L214" s="3" t="s">
        <v>562</v>
      </c>
      <c r="M214" s="19" t="s">
        <v>137</v>
      </c>
      <c r="P214" s="19" t="s">
        <v>138</v>
      </c>
      <c r="Q214" s="1" t="str">
        <f>IF($B214=0,$M214,_xlfn.TEXTBEFORE(Q213,"/",$B214,,,Q213)&amp;"/"&amp;$M214)&amp;IF(_xlfn.TEXTAFTER($D214,"..",,,,1)&lt;&gt;"1","[0]","")</f>
        <v>*/Consignment/HouseConsignment[0]/Consignee/Address/city</v>
      </c>
      <c r="T214" s="24" t="s">
        <v>422</v>
      </c>
    </row>
    <row r="215" spans="1:20" ht="12" customHeight="1" outlineLevel="5" x14ac:dyDescent="0.25">
      <c r="A215" s="19" t="str">
        <f>$E$2</f>
        <v>CC013C
CC015C</v>
      </c>
      <c r="B215" s="1">
        <v>5</v>
      </c>
      <c r="C215" s="1" t="s">
        <v>17</v>
      </c>
      <c r="D215" s="19" t="s">
        <v>18</v>
      </c>
      <c r="E215" s="30" t="s">
        <v>139</v>
      </c>
      <c r="F215" s="3" t="s">
        <v>140</v>
      </c>
      <c r="G215" s="24" t="s">
        <v>21</v>
      </c>
      <c r="H215" s="3"/>
      <c r="I215" s="3"/>
      <c r="J215" s="3" t="s">
        <v>547</v>
      </c>
      <c r="K215" s="3"/>
      <c r="L215" s="3" t="s">
        <v>563</v>
      </c>
      <c r="M215" s="19" t="s">
        <v>141</v>
      </c>
      <c r="P215" s="19" t="s">
        <v>142</v>
      </c>
      <c r="Q215" s="1" t="str">
        <f>IF($B215=0,$M215,_xlfn.TEXTBEFORE(Q214,"/",$B215,,,Q214)&amp;"/"&amp;$M215)&amp;IF(_xlfn.TEXTAFTER($D215,"..",,,,1)&lt;&gt;"1","[0]","")</f>
        <v>*/Consignment/HouseConsignment[0]/Consignee/Address/country</v>
      </c>
      <c r="T215" s="24" t="s">
        <v>426</v>
      </c>
    </row>
    <row r="216" spans="1:20" ht="12" customHeight="1" outlineLevel="3" x14ac:dyDescent="0.25">
      <c r="A216" s="21" t="str">
        <f>$E$2</f>
        <v>CC013C
CC015C</v>
      </c>
      <c r="B216" s="4">
        <v>3</v>
      </c>
      <c r="C216" s="21" t="s">
        <v>41</v>
      </c>
      <c r="D216" s="21" t="s">
        <v>164</v>
      </c>
      <c r="E216" s="27" t="s">
        <v>210</v>
      </c>
      <c r="F216" s="6"/>
      <c r="G216" s="33" t="s">
        <v>38</v>
      </c>
      <c r="H216" s="6" t="s">
        <v>467</v>
      </c>
      <c r="I216" s="6"/>
      <c r="J216" s="6"/>
      <c r="K216" s="6"/>
      <c r="L216" s="6" t="s">
        <v>596</v>
      </c>
      <c r="M216" s="21" t="s">
        <v>211</v>
      </c>
      <c r="N216" s="4"/>
      <c r="O216" s="4"/>
      <c r="P216" s="4"/>
      <c r="Q216" s="1" t="str">
        <f>IF($B216=0,$M216,_xlfn.TEXTBEFORE(Q215,"/",$B216,,,Q215)&amp;"/"&amp;$M216)&amp;IF(_xlfn.TEXTAFTER($D216,"..",,,,1)&lt;&gt;"1","[0]","")</f>
        <v>*/Consignment/HouseConsignment[0]/AdditionalSupplyChainActor[0]</v>
      </c>
    </row>
    <row r="217" spans="1:20" ht="12" customHeight="1" outlineLevel="4" x14ac:dyDescent="0.25">
      <c r="A217" s="19" t="str">
        <f>$E$2</f>
        <v>CC013C
CC015C</v>
      </c>
      <c r="B217" s="1">
        <v>4</v>
      </c>
      <c r="C217" s="1" t="s">
        <v>17</v>
      </c>
      <c r="D217" s="19" t="s">
        <v>18</v>
      </c>
      <c r="E217" s="28" t="s">
        <v>93</v>
      </c>
      <c r="F217" s="24" t="s">
        <v>483</v>
      </c>
      <c r="G217" s="24" t="s">
        <v>21</v>
      </c>
      <c r="H217" s="3" t="s">
        <v>475</v>
      </c>
      <c r="I217" s="3"/>
      <c r="J217" s="3"/>
      <c r="K217" s="3"/>
      <c r="L217" s="3"/>
      <c r="M217" s="19" t="s">
        <v>95</v>
      </c>
      <c r="P217" s="19" t="s">
        <v>96</v>
      </c>
      <c r="Q217" s="1" t="str">
        <f>IF($B217=0,$M217,_xlfn.TEXTBEFORE(Q216,"/",$B217,,,Q216)&amp;"/"&amp;$M217)&amp;IF(_xlfn.TEXTAFTER($D217,"..",,,,1)&lt;&gt;"1","[0]","")</f>
        <v>*/Consignment/HouseConsignment[0]/AdditionalSupplyChainActor[0]/sequenceNumber</v>
      </c>
      <c r="T217" s="24" t="s">
        <v>421</v>
      </c>
    </row>
    <row r="218" spans="1:20" ht="12" customHeight="1" outlineLevel="4" x14ac:dyDescent="0.25">
      <c r="A218" s="19" t="str">
        <f>$E$2</f>
        <v>CC013C
CC015C</v>
      </c>
      <c r="B218" s="1">
        <v>4</v>
      </c>
      <c r="C218" s="1" t="s">
        <v>17</v>
      </c>
      <c r="D218" s="19" t="s">
        <v>18</v>
      </c>
      <c r="E218" s="28" t="s">
        <v>212</v>
      </c>
      <c r="F218" s="24" t="s">
        <v>213</v>
      </c>
      <c r="G218" s="24" t="s">
        <v>21</v>
      </c>
      <c r="H218" s="3"/>
      <c r="I218" s="3"/>
      <c r="J218" s="3" t="s">
        <v>599</v>
      </c>
      <c r="K218" s="3"/>
      <c r="L218" s="3" t="s">
        <v>598</v>
      </c>
      <c r="M218" s="19" t="s">
        <v>214</v>
      </c>
      <c r="P218" s="19" t="s">
        <v>215</v>
      </c>
      <c r="Q218" s="1" t="str">
        <f>IF($B218=0,$M218,_xlfn.TEXTBEFORE(Q217,"/",$B218,,,Q217)&amp;"/"&amp;$M218)&amp;IF(_xlfn.TEXTAFTER($D218,"..",,,,1)&lt;&gt;"1","[0]","")</f>
        <v>*/Consignment/HouseConsignment[0]/AdditionalSupplyChainActor[0]/role</v>
      </c>
      <c r="T218" s="19" t="s">
        <v>413</v>
      </c>
    </row>
    <row r="219" spans="1:20" ht="12" customHeight="1" outlineLevel="4" x14ac:dyDescent="0.25">
      <c r="A219" s="19" t="str">
        <f>$E$2</f>
        <v>CC013C
CC015C</v>
      </c>
      <c r="B219" s="1">
        <v>4</v>
      </c>
      <c r="C219" s="1" t="s">
        <v>17</v>
      </c>
      <c r="D219" s="19" t="s">
        <v>18</v>
      </c>
      <c r="E219" s="28" t="s">
        <v>119</v>
      </c>
      <c r="F219" s="3" t="s">
        <v>140</v>
      </c>
      <c r="G219" s="24" t="s">
        <v>21</v>
      </c>
      <c r="H219" s="3" t="s">
        <v>595</v>
      </c>
      <c r="I219" s="3"/>
      <c r="J219" s="3"/>
      <c r="K219" s="3"/>
      <c r="L219" s="3" t="s">
        <v>597</v>
      </c>
      <c r="M219" s="19" t="s">
        <v>121</v>
      </c>
      <c r="P219" s="19" t="s">
        <v>207</v>
      </c>
      <c r="Q219" s="1" t="str">
        <f>IF($B219=0,$M219,_xlfn.TEXTBEFORE(Q218,"/",$B219,,,Q218)&amp;"/"&amp;$M219)&amp;IF(_xlfn.TEXTAFTER($D219,"..",,,,1)&lt;&gt;"1","[0]","")</f>
        <v>*/Consignment/HouseConsignment[0]/AdditionalSupplyChainActor[0]/identificationNumber</v>
      </c>
      <c r="T219" s="24" t="s">
        <v>434</v>
      </c>
    </row>
    <row r="220" spans="1:20" ht="12" customHeight="1" outlineLevel="3" x14ac:dyDescent="0.25">
      <c r="A220" s="21" t="str">
        <f>$E$2</f>
        <v>CC013C
CC015C</v>
      </c>
      <c r="B220" s="4">
        <v>3</v>
      </c>
      <c r="C220" s="21" t="s">
        <v>41</v>
      </c>
      <c r="D220" s="21" t="s">
        <v>274</v>
      </c>
      <c r="E220" s="27" t="s">
        <v>275</v>
      </c>
      <c r="F220" s="6"/>
      <c r="G220" s="33" t="s">
        <v>450</v>
      </c>
      <c r="H220" s="6" t="s">
        <v>731</v>
      </c>
      <c r="I220" s="6" t="s">
        <v>730</v>
      </c>
      <c r="J220" s="6"/>
      <c r="K220" s="6"/>
      <c r="L220" s="6" t="s">
        <v>716</v>
      </c>
      <c r="M220" s="21" t="s">
        <v>276</v>
      </c>
      <c r="N220" s="4"/>
      <c r="O220" s="4"/>
      <c r="P220" s="4"/>
      <c r="Q220" s="1" t="str">
        <f>IF($B220=0,$M220,_xlfn.TEXTBEFORE(Q219,"/",$B220,,,Q219)&amp;"/"&amp;$M220)&amp;IF(_xlfn.TEXTAFTER($D220,"..",,,,1)&lt;&gt;"1","[0]","")</f>
        <v>*/Consignment/HouseConsignment[0]/DepartureTransportMeans[0]</v>
      </c>
    </row>
    <row r="221" spans="1:20" ht="12" customHeight="1" outlineLevel="4" x14ac:dyDescent="0.25">
      <c r="A221" s="19" t="str">
        <f>$E$2</f>
        <v>CC013C
CC015C</v>
      </c>
      <c r="B221" s="1">
        <v>4</v>
      </c>
      <c r="C221" s="1" t="s">
        <v>17</v>
      </c>
      <c r="D221" s="19" t="s">
        <v>18</v>
      </c>
      <c r="E221" s="28" t="s">
        <v>93</v>
      </c>
      <c r="F221" s="24" t="s">
        <v>717</v>
      </c>
      <c r="G221" s="24" t="s">
        <v>21</v>
      </c>
      <c r="H221" s="3" t="s">
        <v>475</v>
      </c>
      <c r="I221" s="3"/>
      <c r="J221" s="3"/>
      <c r="K221" s="3"/>
      <c r="L221" s="3"/>
      <c r="M221" s="19" t="s">
        <v>95</v>
      </c>
      <c r="P221" s="19" t="s">
        <v>96</v>
      </c>
      <c r="Q221" s="1" t="str">
        <f>IF($B221=0,$M221,_xlfn.TEXTBEFORE(Q220,"/",$B221,,,Q220)&amp;"/"&amp;$M221)&amp;IF(_xlfn.TEXTAFTER($D221,"..",,,,1)&lt;&gt;"1","[0]","")</f>
        <v>*/Consignment/HouseConsignment[0]/DepartureTransportMeans[0]/sequenceNumber</v>
      </c>
      <c r="T221" s="24" t="s">
        <v>421</v>
      </c>
    </row>
    <row r="222" spans="1:20" ht="12" customHeight="1" outlineLevel="4" x14ac:dyDescent="0.25">
      <c r="A222" s="19" t="str">
        <f>$E$2</f>
        <v>CC013C
CC015C</v>
      </c>
      <c r="B222" s="1">
        <v>4</v>
      </c>
      <c r="C222" s="1" t="s">
        <v>17</v>
      </c>
      <c r="D222" s="19" t="s">
        <v>18</v>
      </c>
      <c r="E222" s="28" t="s">
        <v>277</v>
      </c>
      <c r="F222" s="24" t="s">
        <v>278</v>
      </c>
      <c r="G222" s="24" t="s">
        <v>21</v>
      </c>
      <c r="H222" s="3" t="s">
        <v>785</v>
      </c>
      <c r="I222" s="3"/>
      <c r="J222" s="3" t="s">
        <v>732</v>
      </c>
      <c r="K222" s="3"/>
      <c r="L222" s="3" t="s">
        <v>727</v>
      </c>
      <c r="M222" s="19" t="s">
        <v>279</v>
      </c>
      <c r="P222" s="19" t="s">
        <v>280</v>
      </c>
      <c r="Q222" s="1" t="str">
        <f>IF($B222=0,$M222,_xlfn.TEXTBEFORE(Q221,"/",$B222,,,Q221)&amp;"/"&amp;$M222)&amp;IF(_xlfn.TEXTAFTER($D222,"..",,,,1)&lt;&gt;"1","[0]","")</f>
        <v>*/Consignment/HouseConsignment[0]/DepartureTransportMeans[0]/typeOfIdentification</v>
      </c>
      <c r="T222" s="19" t="s">
        <v>413</v>
      </c>
    </row>
    <row r="223" spans="1:20" ht="12" customHeight="1" outlineLevel="4" x14ac:dyDescent="0.25">
      <c r="A223" s="19" t="str">
        <f>$E$2</f>
        <v>CC013C
CC015C</v>
      </c>
      <c r="B223" s="1">
        <v>4</v>
      </c>
      <c r="C223" s="1" t="s">
        <v>17</v>
      </c>
      <c r="D223" s="19" t="s">
        <v>18</v>
      </c>
      <c r="E223" s="28" t="s">
        <v>119</v>
      </c>
      <c r="F223" s="24" t="s">
        <v>101</v>
      </c>
      <c r="G223" s="24" t="s">
        <v>21</v>
      </c>
      <c r="H223" s="3" t="s">
        <v>735</v>
      </c>
      <c r="I223" s="3"/>
      <c r="J223" s="3"/>
      <c r="K223" s="3"/>
      <c r="L223" s="3" t="s">
        <v>728</v>
      </c>
      <c r="M223" s="19" t="s">
        <v>121</v>
      </c>
      <c r="P223" s="19" t="s">
        <v>281</v>
      </c>
      <c r="Q223" s="1" t="str">
        <f>IF($B223=0,$M223,_xlfn.TEXTBEFORE(Q222,"/",$B223,,,Q222)&amp;"/"&amp;$M223)&amp;IF(_xlfn.TEXTAFTER($D223,"..",,,,1)&lt;&gt;"1","[0]","")</f>
        <v>*/Consignment/HouseConsignment[0]/DepartureTransportMeans[0]/identificationNumber</v>
      </c>
      <c r="T223" s="24" t="s">
        <v>422</v>
      </c>
    </row>
    <row r="224" spans="1:20" ht="12" customHeight="1" outlineLevel="4" x14ac:dyDescent="0.25">
      <c r="A224" s="19" t="str">
        <f>$E$2</f>
        <v>CC013C
CC015C</v>
      </c>
      <c r="B224" s="1">
        <v>4</v>
      </c>
      <c r="C224" s="1" t="s">
        <v>17</v>
      </c>
      <c r="D224" s="19" t="s">
        <v>18</v>
      </c>
      <c r="E224" s="28" t="s">
        <v>282</v>
      </c>
      <c r="F224" s="3" t="s">
        <v>140</v>
      </c>
      <c r="G224" s="24" t="s">
        <v>21</v>
      </c>
      <c r="H224" s="3" t="s">
        <v>734</v>
      </c>
      <c r="I224" s="3"/>
      <c r="J224" s="3" t="s">
        <v>733</v>
      </c>
      <c r="K224" s="3"/>
      <c r="L224" s="3" t="s">
        <v>729</v>
      </c>
      <c r="M224" s="19" t="s">
        <v>283</v>
      </c>
      <c r="P224" s="19" t="s">
        <v>284</v>
      </c>
      <c r="Q224" s="1" t="str">
        <f>IF($B224=0,$M224,_xlfn.TEXTBEFORE(Q223,"/",$B224,,,Q223)&amp;"/"&amp;$M224)&amp;IF(_xlfn.TEXTAFTER($D224,"..",,,,1)&lt;&gt;"1","[0]","")</f>
        <v>*/Consignment/HouseConsignment[0]/DepartureTransportMeans[0]/nationality</v>
      </c>
      <c r="T224" s="24" t="s">
        <v>426</v>
      </c>
    </row>
    <row r="225" spans="1:20" ht="12" customHeight="1" outlineLevel="3" x14ac:dyDescent="0.25">
      <c r="A225" s="21" t="str">
        <f>$E$2</f>
        <v>CC013C
CC015C</v>
      </c>
      <c r="B225" s="4">
        <v>3</v>
      </c>
      <c r="C225" s="21" t="s">
        <v>41</v>
      </c>
      <c r="D225" s="21" t="s">
        <v>164</v>
      </c>
      <c r="E225" s="27" t="s">
        <v>304</v>
      </c>
      <c r="F225" s="6"/>
      <c r="G225" s="33" t="s">
        <v>38</v>
      </c>
      <c r="H225" s="6"/>
      <c r="I225" s="6"/>
      <c r="J225" s="6"/>
      <c r="K225" s="6"/>
      <c r="L225" s="6" t="s">
        <v>477</v>
      </c>
      <c r="M225" s="21" t="s">
        <v>305</v>
      </c>
      <c r="N225" s="4"/>
      <c r="O225" s="4"/>
      <c r="P225" s="4"/>
      <c r="Q225" s="1" t="str">
        <f>IF($B225=0,$M225,_xlfn.TEXTBEFORE(Q224,"/",$B225,,,Q224)&amp;"/"&amp;$M225)&amp;IF(_xlfn.TEXTAFTER($D225,"..",,,,1)&lt;&gt;"1","[0]","")</f>
        <v>*/Consignment/HouseConsignment[0]/PreviousDocument[0]</v>
      </c>
    </row>
    <row r="226" spans="1:20" ht="12" customHeight="1" outlineLevel="4" x14ac:dyDescent="0.25">
      <c r="A226" s="19" t="str">
        <f>$E$2</f>
        <v>CC013C
CC015C</v>
      </c>
      <c r="B226" s="1">
        <v>4</v>
      </c>
      <c r="C226" s="1" t="s">
        <v>17</v>
      </c>
      <c r="D226" s="19" t="s">
        <v>18</v>
      </c>
      <c r="E226" s="28" t="s">
        <v>93</v>
      </c>
      <c r="F226" s="24" t="s">
        <v>483</v>
      </c>
      <c r="G226" s="24" t="s">
        <v>21</v>
      </c>
      <c r="H226" s="3" t="s">
        <v>475</v>
      </c>
      <c r="I226" s="3"/>
      <c r="J226" s="3"/>
      <c r="K226" s="3"/>
      <c r="L226" s="3"/>
      <c r="M226" s="19" t="s">
        <v>95</v>
      </c>
      <c r="P226" s="19" t="s">
        <v>96</v>
      </c>
      <c r="Q226" s="1" t="str">
        <f>IF($B226=0,$M226,_xlfn.TEXTBEFORE(Q225,"/",$B226,,,Q225)&amp;"/"&amp;$M226)&amp;IF(_xlfn.TEXTAFTER($D226,"..",,,,1)&lt;&gt;"1","[0]","")</f>
        <v>*/Consignment/HouseConsignment[0]/PreviousDocument[0]/sequenceNumber</v>
      </c>
      <c r="T226" s="24" t="s">
        <v>421</v>
      </c>
    </row>
    <row r="227" spans="1:20" ht="12" customHeight="1" outlineLevel="4" x14ac:dyDescent="0.25">
      <c r="A227" s="19" t="str">
        <f>$E$2</f>
        <v>CC013C
CC015C</v>
      </c>
      <c r="B227" s="1">
        <v>4</v>
      </c>
      <c r="C227" s="1" t="s">
        <v>17</v>
      </c>
      <c r="D227" s="19" t="s">
        <v>18</v>
      </c>
      <c r="E227" s="28" t="s">
        <v>2</v>
      </c>
      <c r="F227" s="24" t="s">
        <v>306</v>
      </c>
      <c r="G227" s="24" t="s">
        <v>21</v>
      </c>
      <c r="H227" s="3" t="s">
        <v>479</v>
      </c>
      <c r="I227" s="3"/>
      <c r="J227" s="3" t="s">
        <v>478</v>
      </c>
      <c r="K227" s="3"/>
      <c r="L227" s="3" t="s">
        <v>476</v>
      </c>
      <c r="M227" s="19" t="s">
        <v>98</v>
      </c>
      <c r="P227" s="19" t="s">
        <v>307</v>
      </c>
      <c r="Q227" s="1" t="str">
        <f>IF($B227=0,$M227,_xlfn.TEXTBEFORE(Q226,"/",$B227,,,Q226)&amp;"/"&amp;$M227)&amp;IF(_xlfn.TEXTAFTER($D227,"..",,,,1)&lt;&gt;"1","[0]","")</f>
        <v>*/Consignment/HouseConsignment[0]/PreviousDocument[0]/type</v>
      </c>
      <c r="T227" s="19" t="s">
        <v>413</v>
      </c>
    </row>
    <row r="228" spans="1:20" ht="12" customHeight="1" outlineLevel="4" x14ac:dyDescent="0.25">
      <c r="A228" s="19" t="str">
        <f>$E$2</f>
        <v>CC013C
CC015C</v>
      </c>
      <c r="B228" s="1">
        <v>4</v>
      </c>
      <c r="C228" s="1" t="s">
        <v>17</v>
      </c>
      <c r="D228" s="19" t="s">
        <v>18</v>
      </c>
      <c r="E228" s="28" t="s">
        <v>100</v>
      </c>
      <c r="F228" s="24" t="s">
        <v>126</v>
      </c>
      <c r="G228" s="24" t="s">
        <v>21</v>
      </c>
      <c r="H228" s="3" t="s">
        <v>481</v>
      </c>
      <c r="I228" s="3"/>
      <c r="J228" s="3"/>
      <c r="K228" s="3"/>
      <c r="L228" s="3" t="s">
        <v>480</v>
      </c>
      <c r="M228" s="19" t="s">
        <v>102</v>
      </c>
      <c r="P228" s="19" t="s">
        <v>308</v>
      </c>
      <c r="Q228" s="1" t="str">
        <f>IF($B228=0,$M228,_xlfn.TEXTBEFORE(Q227,"/",$B228,,,Q227)&amp;"/"&amp;$M228)&amp;IF(_xlfn.TEXTAFTER($D228,"..",,,,1)&lt;&gt;"1","[0]","")</f>
        <v>*/Consignment/HouseConsignment[0]/PreviousDocument[0]/referenceNumber</v>
      </c>
      <c r="T228" s="24" t="s">
        <v>425</v>
      </c>
    </row>
    <row r="229" spans="1:20" ht="12" customHeight="1" outlineLevel="4" x14ac:dyDescent="0.25">
      <c r="A229" s="19" t="str">
        <f>$E$2</f>
        <v>CC013C
CC015C</v>
      </c>
      <c r="B229" s="1">
        <v>4</v>
      </c>
      <c r="C229" s="1" t="s">
        <v>17</v>
      </c>
      <c r="D229" s="19" t="s">
        <v>36</v>
      </c>
      <c r="E229" s="28" t="s">
        <v>309</v>
      </c>
      <c r="F229" s="24" t="s">
        <v>101</v>
      </c>
      <c r="G229" s="24" t="s">
        <v>38</v>
      </c>
      <c r="H229" s="3"/>
      <c r="I229" s="3"/>
      <c r="J229" s="3"/>
      <c r="K229" s="3"/>
      <c r="L229" s="3" t="s">
        <v>482</v>
      </c>
      <c r="M229" s="19" t="s">
        <v>310</v>
      </c>
      <c r="P229" s="19" t="s">
        <v>311</v>
      </c>
      <c r="Q229" s="1" t="str">
        <f>IF($B229=0,$M229,_xlfn.TEXTBEFORE(Q228,"/",$B229,,,Q228)&amp;"/"&amp;$M229)&amp;IF(_xlfn.TEXTAFTER($D229,"..",,,,1)&lt;&gt;"1","[0]","")</f>
        <v>*/Consignment/HouseConsignment[0]/PreviousDocument[0]/complementOfInformation</v>
      </c>
      <c r="T229" s="24" t="s">
        <v>422</v>
      </c>
    </row>
    <row r="230" spans="1:20" ht="12" customHeight="1" outlineLevel="3" x14ac:dyDescent="0.25">
      <c r="A230" s="21" t="str">
        <f>$E$2</f>
        <v>CC013C
CC015C</v>
      </c>
      <c r="B230" s="4">
        <v>3</v>
      </c>
      <c r="C230" s="21" t="s">
        <v>41</v>
      </c>
      <c r="D230" s="21" t="s">
        <v>164</v>
      </c>
      <c r="E230" s="27" t="s">
        <v>312</v>
      </c>
      <c r="F230" s="6"/>
      <c r="G230" s="33" t="s">
        <v>38</v>
      </c>
      <c r="H230" s="6" t="s">
        <v>503</v>
      </c>
      <c r="I230" s="6"/>
      <c r="J230" s="6"/>
      <c r="K230" s="6"/>
      <c r="L230" s="6" t="s">
        <v>498</v>
      </c>
      <c r="M230" s="21" t="s">
        <v>313</v>
      </c>
      <c r="N230" s="4"/>
      <c r="O230" s="4"/>
      <c r="P230" s="4"/>
      <c r="Q230" s="1" t="str">
        <f>IF($B230=0,$M230,_xlfn.TEXTBEFORE(Q229,"/",$B230,,,Q229)&amp;"/"&amp;$M230)&amp;IF(_xlfn.TEXTAFTER($D230,"..",,,,1)&lt;&gt;"1","[0]","")</f>
        <v>*/Consignment/HouseConsignment[0]/SupportingDocument[0]</v>
      </c>
    </row>
    <row r="231" spans="1:20" ht="12" customHeight="1" outlineLevel="4" x14ac:dyDescent="0.25">
      <c r="A231" s="19" t="str">
        <f>$E$2</f>
        <v>CC013C
CC015C</v>
      </c>
      <c r="B231" s="1">
        <v>4</v>
      </c>
      <c r="C231" s="1" t="s">
        <v>17</v>
      </c>
      <c r="D231" s="19" t="s">
        <v>18</v>
      </c>
      <c r="E231" s="28" t="s">
        <v>93</v>
      </c>
      <c r="F231" s="24" t="s">
        <v>483</v>
      </c>
      <c r="G231" s="24" t="s">
        <v>21</v>
      </c>
      <c r="H231" s="3" t="s">
        <v>475</v>
      </c>
      <c r="I231" s="3"/>
      <c r="J231" s="3"/>
      <c r="K231" s="3"/>
      <c r="L231" s="3"/>
      <c r="M231" s="19" t="s">
        <v>95</v>
      </c>
      <c r="P231" s="19" t="s">
        <v>96</v>
      </c>
      <c r="Q231" s="1" t="str">
        <f>IF($B231=0,$M231,_xlfn.TEXTBEFORE(Q230,"/",$B231,,,Q230)&amp;"/"&amp;$M231)&amp;IF(_xlfn.TEXTAFTER($D231,"..",,,,1)&lt;&gt;"1","[0]","")</f>
        <v>*/Consignment/HouseConsignment[0]/SupportingDocument[0]/sequenceNumber</v>
      </c>
      <c r="T231" s="24" t="s">
        <v>421</v>
      </c>
    </row>
    <row r="232" spans="1:20" ht="12" customHeight="1" outlineLevel="4" x14ac:dyDescent="0.25">
      <c r="A232" s="19" t="str">
        <f>$E$2</f>
        <v>CC013C
CC015C</v>
      </c>
      <c r="B232" s="1">
        <v>4</v>
      </c>
      <c r="C232" s="1" t="s">
        <v>17</v>
      </c>
      <c r="D232" s="19" t="s">
        <v>18</v>
      </c>
      <c r="E232" s="28" t="s">
        <v>2</v>
      </c>
      <c r="F232" s="24" t="s">
        <v>306</v>
      </c>
      <c r="G232" s="24" t="s">
        <v>21</v>
      </c>
      <c r="H232" s="3" t="s">
        <v>505</v>
      </c>
      <c r="I232" s="3"/>
      <c r="J232" s="3" t="s">
        <v>507</v>
      </c>
      <c r="K232" s="3"/>
      <c r="L232" s="3" t="s">
        <v>500</v>
      </c>
      <c r="M232" s="19" t="s">
        <v>98</v>
      </c>
      <c r="P232" s="19" t="s">
        <v>307</v>
      </c>
      <c r="Q232" s="1" t="str">
        <f>IF($B232=0,$M232,_xlfn.TEXTBEFORE(Q231,"/",$B232,,,Q231)&amp;"/"&amp;$M232)&amp;IF(_xlfn.TEXTAFTER($D232,"..",,,,1)&lt;&gt;"1","[0]","")</f>
        <v>*/Consignment/HouseConsignment[0]/SupportingDocument[0]/type</v>
      </c>
      <c r="T232" s="19" t="s">
        <v>413</v>
      </c>
    </row>
    <row r="233" spans="1:20" ht="12" customHeight="1" outlineLevel="4" x14ac:dyDescent="0.25">
      <c r="A233" s="19" t="str">
        <f>$E$2</f>
        <v>CC013C
CC015C</v>
      </c>
      <c r="B233" s="1">
        <v>4</v>
      </c>
      <c r="C233" s="1" t="s">
        <v>17</v>
      </c>
      <c r="D233" s="19" t="s">
        <v>18</v>
      </c>
      <c r="E233" s="28" t="s">
        <v>100</v>
      </c>
      <c r="F233" s="24" t="s">
        <v>126</v>
      </c>
      <c r="G233" s="24" t="s">
        <v>21</v>
      </c>
      <c r="H233" s="3" t="s">
        <v>481</v>
      </c>
      <c r="I233" s="3"/>
      <c r="J233" s="3"/>
      <c r="K233" s="3"/>
      <c r="L233" s="3" t="s">
        <v>499</v>
      </c>
      <c r="M233" s="19" t="s">
        <v>102</v>
      </c>
      <c r="P233" s="19" t="s">
        <v>308</v>
      </c>
      <c r="Q233" s="1" t="str">
        <f>IF($B233=0,$M233,_xlfn.TEXTBEFORE(Q232,"/",$B233,,,Q232)&amp;"/"&amp;$M233)&amp;IF(_xlfn.TEXTAFTER($D233,"..",,,,1)&lt;&gt;"1","[0]","")</f>
        <v>*/Consignment/HouseConsignment[0]/SupportingDocument[0]/referenceNumber</v>
      </c>
      <c r="T233" s="24" t="s">
        <v>425</v>
      </c>
    </row>
    <row r="234" spans="1:20" ht="12" customHeight="1" outlineLevel="4" x14ac:dyDescent="0.25">
      <c r="A234" s="19" t="str">
        <f>$E$2</f>
        <v>CC013C
CC015C</v>
      </c>
      <c r="B234" s="1">
        <v>4</v>
      </c>
      <c r="C234" s="1" t="s">
        <v>17</v>
      </c>
      <c r="D234" s="19" t="s">
        <v>36</v>
      </c>
      <c r="E234" s="28" t="s">
        <v>314</v>
      </c>
      <c r="F234" s="24" t="s">
        <v>94</v>
      </c>
      <c r="G234" s="24" t="s">
        <v>38</v>
      </c>
      <c r="H234" s="3"/>
      <c r="I234" s="3"/>
      <c r="J234" s="3"/>
      <c r="K234" s="3"/>
      <c r="L234" s="3" t="s">
        <v>501</v>
      </c>
      <c r="M234" s="19" t="s">
        <v>315</v>
      </c>
      <c r="P234" s="19" t="s">
        <v>316</v>
      </c>
      <c r="Q234" s="1" t="str">
        <f>IF($B234=0,$M234,_xlfn.TEXTBEFORE(Q233,"/",$B234,,,Q233)&amp;"/"&amp;$M234)&amp;IF(_xlfn.TEXTAFTER($D234,"..",,,,1)&lt;&gt;"1","[0]","")</f>
        <v>*/Consignment/HouseConsignment[0]/SupportingDocument[0]/documentLineItemNumber</v>
      </c>
      <c r="T234" s="24" t="s">
        <v>421</v>
      </c>
    </row>
    <row r="235" spans="1:20" ht="12" customHeight="1" outlineLevel="4" x14ac:dyDescent="0.25">
      <c r="A235" s="19" t="str">
        <f>$E$2</f>
        <v>CC013C
CC015C</v>
      </c>
      <c r="B235" s="1">
        <v>4</v>
      </c>
      <c r="C235" s="1" t="s">
        <v>17</v>
      </c>
      <c r="D235" s="19" t="s">
        <v>36</v>
      </c>
      <c r="E235" s="28" t="s">
        <v>309</v>
      </c>
      <c r="F235" s="24" t="s">
        <v>101</v>
      </c>
      <c r="G235" s="24" t="s">
        <v>38</v>
      </c>
      <c r="H235" s="3"/>
      <c r="I235" s="3"/>
      <c r="J235" s="3"/>
      <c r="K235" s="3"/>
      <c r="L235" s="3" t="s">
        <v>502</v>
      </c>
      <c r="M235" s="19" t="s">
        <v>310</v>
      </c>
      <c r="P235" s="19" t="s">
        <v>311</v>
      </c>
      <c r="Q235" s="1" t="str">
        <f>IF($B235=0,$M235,_xlfn.TEXTBEFORE(Q234,"/",$B235,,,Q234)&amp;"/"&amp;$M235)&amp;IF(_xlfn.TEXTAFTER($D235,"..",,,,1)&lt;&gt;"1","[0]","")</f>
        <v>*/Consignment/HouseConsignment[0]/SupportingDocument[0]/complementOfInformation</v>
      </c>
      <c r="T235" s="24" t="s">
        <v>422</v>
      </c>
    </row>
    <row r="236" spans="1:20" ht="12" customHeight="1" outlineLevel="3" x14ac:dyDescent="0.25">
      <c r="A236" s="21" t="str">
        <f>$E$2</f>
        <v>CC013C
CC015C</v>
      </c>
      <c r="B236" s="4">
        <v>3</v>
      </c>
      <c r="C236" s="21" t="s">
        <v>41</v>
      </c>
      <c r="D236" s="21" t="s">
        <v>164</v>
      </c>
      <c r="E236" s="27" t="s">
        <v>317</v>
      </c>
      <c r="F236" s="6"/>
      <c r="G236" s="33" t="s">
        <v>38</v>
      </c>
      <c r="H236" s="6" t="s">
        <v>516</v>
      </c>
      <c r="I236" s="6"/>
      <c r="J236" s="6"/>
      <c r="K236" s="6"/>
      <c r="L236" s="6" t="s">
        <v>513</v>
      </c>
      <c r="M236" s="21" t="s">
        <v>318</v>
      </c>
      <c r="N236" s="4"/>
      <c r="O236" s="4"/>
      <c r="P236" s="4"/>
      <c r="Q236" s="1" t="str">
        <f>IF($B236=0,$M236,_xlfn.TEXTBEFORE(Q235,"/",$B236,,,Q235)&amp;"/"&amp;$M236)&amp;IF(_xlfn.TEXTAFTER($D236,"..",,,,1)&lt;&gt;"1","[0]","")</f>
        <v>*/Consignment/HouseConsignment[0]/TransportDocument[0]</v>
      </c>
    </row>
    <row r="237" spans="1:20" ht="12" customHeight="1" outlineLevel="4" x14ac:dyDescent="0.25">
      <c r="A237" s="19" t="str">
        <f>$E$2</f>
        <v>CC013C
CC015C</v>
      </c>
      <c r="B237" s="1">
        <v>4</v>
      </c>
      <c r="C237" s="1" t="s">
        <v>17</v>
      </c>
      <c r="D237" s="19" t="s">
        <v>18</v>
      </c>
      <c r="E237" s="28" t="s">
        <v>93</v>
      </c>
      <c r="F237" s="24" t="s">
        <v>483</v>
      </c>
      <c r="G237" s="24" t="s">
        <v>21</v>
      </c>
      <c r="H237" s="3" t="s">
        <v>475</v>
      </c>
      <c r="I237" s="3"/>
      <c r="J237" s="3"/>
      <c r="K237" s="3"/>
      <c r="L237" s="3"/>
      <c r="M237" s="19" t="s">
        <v>95</v>
      </c>
      <c r="P237" s="19" t="s">
        <v>96</v>
      </c>
      <c r="Q237" s="1" t="str">
        <f>IF($B237=0,$M237,_xlfn.TEXTBEFORE(Q236,"/",$B237,,,Q236)&amp;"/"&amp;$M237)&amp;IF(_xlfn.TEXTAFTER($D237,"..",,,,1)&lt;&gt;"1","[0]","")</f>
        <v>*/Consignment/HouseConsignment[0]/TransportDocument[0]/sequenceNumber</v>
      </c>
      <c r="T237" s="24" t="s">
        <v>421</v>
      </c>
    </row>
    <row r="238" spans="1:20" ht="12" customHeight="1" outlineLevel="4" x14ac:dyDescent="0.25">
      <c r="A238" s="19" t="str">
        <f>$E$2</f>
        <v>CC013C
CC015C</v>
      </c>
      <c r="B238" s="1">
        <v>4</v>
      </c>
      <c r="C238" s="1" t="s">
        <v>17</v>
      </c>
      <c r="D238" s="19" t="s">
        <v>18</v>
      </c>
      <c r="E238" s="28" t="s">
        <v>2</v>
      </c>
      <c r="F238" s="24" t="s">
        <v>306</v>
      </c>
      <c r="G238" s="24" t="s">
        <v>21</v>
      </c>
      <c r="H238" s="3" t="s">
        <v>505</v>
      </c>
      <c r="I238" s="3"/>
      <c r="J238" s="3" t="s">
        <v>517</v>
      </c>
      <c r="K238" s="3"/>
      <c r="L238" s="3" t="s">
        <v>514</v>
      </c>
      <c r="M238" s="19" t="s">
        <v>98</v>
      </c>
      <c r="P238" s="19" t="s">
        <v>307</v>
      </c>
      <c r="Q238" s="1" t="str">
        <f>IF($B238=0,$M238,_xlfn.TEXTBEFORE(Q237,"/",$B238,,,Q237)&amp;"/"&amp;$M238)&amp;IF(_xlfn.TEXTAFTER($D238,"..",,,,1)&lt;&gt;"1","[0]","")</f>
        <v>*/Consignment/HouseConsignment[0]/TransportDocument[0]/type</v>
      </c>
      <c r="T238" s="19" t="s">
        <v>413</v>
      </c>
    </row>
    <row r="239" spans="1:20" ht="12" customHeight="1" outlineLevel="4" x14ac:dyDescent="0.25">
      <c r="A239" s="19" t="str">
        <f>$E$2</f>
        <v>CC013C
CC015C</v>
      </c>
      <c r="B239" s="1">
        <v>4</v>
      </c>
      <c r="C239" s="1" t="s">
        <v>17</v>
      </c>
      <c r="D239" s="19" t="s">
        <v>18</v>
      </c>
      <c r="E239" s="28" t="s">
        <v>100</v>
      </c>
      <c r="F239" s="24" t="s">
        <v>126</v>
      </c>
      <c r="G239" s="24" t="s">
        <v>21</v>
      </c>
      <c r="H239" s="3" t="s">
        <v>481</v>
      </c>
      <c r="I239" s="3"/>
      <c r="J239" s="3"/>
      <c r="K239" s="3"/>
      <c r="L239" s="3" t="s">
        <v>515</v>
      </c>
      <c r="M239" s="19" t="s">
        <v>102</v>
      </c>
      <c r="P239" s="19" t="s">
        <v>308</v>
      </c>
      <c r="Q239" s="1" t="str">
        <f>IF($B239=0,$M239,_xlfn.TEXTBEFORE(Q238,"/",$B239,,,Q238)&amp;"/"&amp;$M239)&amp;IF(_xlfn.TEXTAFTER($D239,"..",,,,1)&lt;&gt;"1","[0]","")</f>
        <v>*/Consignment/HouseConsignment[0]/TransportDocument[0]/referenceNumber</v>
      </c>
      <c r="T239" s="24" t="s">
        <v>425</v>
      </c>
    </row>
    <row r="240" spans="1:20" ht="12" customHeight="1" outlineLevel="3" x14ac:dyDescent="0.25">
      <c r="A240" s="21" t="str">
        <f>$E$2</f>
        <v>CC013C
CC015C</v>
      </c>
      <c r="B240" s="4">
        <v>3</v>
      </c>
      <c r="C240" s="21" t="s">
        <v>41</v>
      </c>
      <c r="D240" s="21" t="s">
        <v>164</v>
      </c>
      <c r="E240" s="27" t="s">
        <v>319</v>
      </c>
      <c r="F240" s="6"/>
      <c r="G240" s="33" t="s">
        <v>38</v>
      </c>
      <c r="H240" s="6" t="s">
        <v>511</v>
      </c>
      <c r="I240" s="6"/>
      <c r="J240" s="6"/>
      <c r="K240" s="6"/>
      <c r="L240" s="6" t="s">
        <v>508</v>
      </c>
      <c r="M240" s="21" t="s">
        <v>320</v>
      </c>
      <c r="N240" s="4"/>
      <c r="O240" s="4"/>
      <c r="P240" s="4"/>
      <c r="Q240" s="1" t="str">
        <f>IF($B240=0,$M240,_xlfn.TEXTBEFORE(Q239,"/",$B240,,,Q239)&amp;"/"&amp;$M240)&amp;IF(_xlfn.TEXTAFTER($D240,"..",,,,1)&lt;&gt;"1","[0]","")</f>
        <v>*/Consignment/HouseConsignment[0]/AdditionalReference[0]</v>
      </c>
    </row>
    <row r="241" spans="1:20" ht="12" customHeight="1" outlineLevel="4" x14ac:dyDescent="0.25">
      <c r="A241" s="19" t="str">
        <f>$E$2</f>
        <v>CC013C
CC015C</v>
      </c>
      <c r="B241" s="1">
        <v>4</v>
      </c>
      <c r="C241" s="1" t="s">
        <v>17</v>
      </c>
      <c r="D241" s="19" t="s">
        <v>18</v>
      </c>
      <c r="E241" s="28" t="s">
        <v>93</v>
      </c>
      <c r="F241" s="24" t="s">
        <v>483</v>
      </c>
      <c r="G241" s="24" t="s">
        <v>21</v>
      </c>
      <c r="H241" s="3" t="s">
        <v>475</v>
      </c>
      <c r="I241" s="3"/>
      <c r="J241" s="3"/>
      <c r="K241" s="3"/>
      <c r="L241" s="3"/>
      <c r="M241" s="19" t="s">
        <v>95</v>
      </c>
      <c r="P241" s="19" t="s">
        <v>96</v>
      </c>
      <c r="Q241" s="1" t="str">
        <f>IF($B241=0,$M241,_xlfn.TEXTBEFORE(Q240,"/",$B241,,,Q240)&amp;"/"&amp;$M241)&amp;IF(_xlfn.TEXTAFTER($D241,"..",,,,1)&lt;&gt;"1","[0]","")</f>
        <v>*/Consignment/HouseConsignment[0]/AdditionalReference[0]/sequenceNumber</v>
      </c>
      <c r="T241" s="24" t="s">
        <v>421</v>
      </c>
    </row>
    <row r="242" spans="1:20" ht="12" customHeight="1" outlineLevel="4" x14ac:dyDescent="0.25">
      <c r="A242" s="19" t="str">
        <f>$E$2</f>
        <v>CC013C
CC015C</v>
      </c>
      <c r="B242" s="1">
        <v>4</v>
      </c>
      <c r="C242" s="1" t="s">
        <v>17</v>
      </c>
      <c r="D242" s="19" t="s">
        <v>18</v>
      </c>
      <c r="E242" s="28" t="s">
        <v>2</v>
      </c>
      <c r="F242" s="24" t="s">
        <v>306</v>
      </c>
      <c r="G242" s="24" t="s">
        <v>21</v>
      </c>
      <c r="H242" s="3" t="s">
        <v>505</v>
      </c>
      <c r="I242" s="3"/>
      <c r="J242" s="3" t="s">
        <v>512</v>
      </c>
      <c r="K242" s="3"/>
      <c r="L242" s="3" t="s">
        <v>509</v>
      </c>
      <c r="M242" s="19" t="s">
        <v>98</v>
      </c>
      <c r="P242" s="19" t="s">
        <v>307</v>
      </c>
      <c r="Q242" s="1" t="str">
        <f>IF($B242=0,$M242,_xlfn.TEXTBEFORE(Q241,"/",$B242,,,Q241)&amp;"/"&amp;$M242)&amp;IF(_xlfn.TEXTAFTER($D242,"..",,,,1)&lt;&gt;"1","[0]","")</f>
        <v>*/Consignment/HouseConsignment[0]/AdditionalReference[0]/type</v>
      </c>
      <c r="T242" s="19" t="s">
        <v>413</v>
      </c>
    </row>
    <row r="243" spans="1:20" ht="12" customHeight="1" outlineLevel="4" x14ac:dyDescent="0.25">
      <c r="A243" s="19" t="str">
        <f>$E$2</f>
        <v>CC013C
CC015C</v>
      </c>
      <c r="B243" s="1">
        <v>4</v>
      </c>
      <c r="C243" s="1" t="s">
        <v>17</v>
      </c>
      <c r="D243" s="19" t="s">
        <v>36</v>
      </c>
      <c r="E243" s="28" t="s">
        <v>100</v>
      </c>
      <c r="F243" s="24" t="s">
        <v>126</v>
      </c>
      <c r="G243" s="24" t="s">
        <v>38</v>
      </c>
      <c r="H243" s="3" t="s">
        <v>481</v>
      </c>
      <c r="I243" s="3"/>
      <c r="J243" s="3"/>
      <c r="K243" s="3"/>
      <c r="L243" s="3" t="s">
        <v>510</v>
      </c>
      <c r="M243" s="19" t="s">
        <v>102</v>
      </c>
      <c r="P243" s="19" t="s">
        <v>308</v>
      </c>
      <c r="Q243" s="1" t="str">
        <f>IF($B243=0,$M243,_xlfn.TEXTBEFORE(Q242,"/",$B243,,,Q242)&amp;"/"&amp;$M243)&amp;IF(_xlfn.TEXTAFTER($D243,"..",,,,1)&lt;&gt;"1","[0]","")</f>
        <v>*/Consignment/HouseConsignment[0]/AdditionalReference[0]/referenceNumber</v>
      </c>
      <c r="T243" s="24" t="s">
        <v>425</v>
      </c>
    </row>
    <row r="244" spans="1:20" ht="12" customHeight="1" outlineLevel="3" x14ac:dyDescent="0.25">
      <c r="A244" s="21" t="str">
        <f>$E$2</f>
        <v>CC013C
CC015C</v>
      </c>
      <c r="B244" s="4">
        <v>3</v>
      </c>
      <c r="C244" s="21" t="s">
        <v>41</v>
      </c>
      <c r="D244" s="21" t="s">
        <v>164</v>
      </c>
      <c r="E244" s="27" t="s">
        <v>321</v>
      </c>
      <c r="F244" s="6"/>
      <c r="G244" s="33" t="s">
        <v>38</v>
      </c>
      <c r="H244" s="6" t="s">
        <v>467</v>
      </c>
      <c r="I244" s="6"/>
      <c r="J244" s="6"/>
      <c r="K244" s="6"/>
      <c r="L244" s="6" t="s">
        <v>493</v>
      </c>
      <c r="M244" s="21" t="s">
        <v>322</v>
      </c>
      <c r="N244" s="4"/>
      <c r="O244" s="4"/>
      <c r="P244" s="4"/>
      <c r="Q244" s="1" t="str">
        <f>IF($B244=0,$M244,_xlfn.TEXTBEFORE(Q243,"/",$B244,,,Q243)&amp;"/"&amp;$M244)&amp;IF(_xlfn.TEXTAFTER($D244,"..",,,,1)&lt;&gt;"1","[0]","")</f>
        <v>*/Consignment/HouseConsignment[0]/AdditionalInformation[0]</v>
      </c>
    </row>
    <row r="245" spans="1:20" ht="12" customHeight="1" outlineLevel="4" x14ac:dyDescent="0.25">
      <c r="A245" s="19" t="str">
        <f>$E$2</f>
        <v>CC013C
CC015C</v>
      </c>
      <c r="B245" s="1">
        <v>4</v>
      </c>
      <c r="C245" s="1" t="s">
        <v>17</v>
      </c>
      <c r="D245" s="19" t="s">
        <v>18</v>
      </c>
      <c r="E245" s="28" t="s">
        <v>93</v>
      </c>
      <c r="F245" s="24" t="s">
        <v>483</v>
      </c>
      <c r="G245" s="24" t="s">
        <v>21</v>
      </c>
      <c r="H245" s="3" t="s">
        <v>475</v>
      </c>
      <c r="I245" s="3"/>
      <c r="J245" s="3"/>
      <c r="K245" s="3"/>
      <c r="L245" s="3"/>
      <c r="M245" s="19" t="s">
        <v>95</v>
      </c>
      <c r="P245" s="19" t="s">
        <v>96</v>
      </c>
      <c r="Q245" s="1" t="str">
        <f>IF($B245=0,$M245,_xlfn.TEXTBEFORE(Q244,"/",$B245,,,Q244)&amp;"/"&amp;$M245)&amp;IF(_xlfn.TEXTAFTER($D245,"..",,,,1)&lt;&gt;"1","[0]","")</f>
        <v>*/Consignment/HouseConsignment[0]/AdditionalInformation[0]/sequenceNumber</v>
      </c>
      <c r="T245" s="24" t="s">
        <v>421</v>
      </c>
    </row>
    <row r="246" spans="1:20" ht="12" customHeight="1" outlineLevel="4" x14ac:dyDescent="0.25">
      <c r="A246" s="19" t="str">
        <f>$E$2</f>
        <v>CC013C
CC015C</v>
      </c>
      <c r="B246" s="1">
        <v>4</v>
      </c>
      <c r="C246" s="1" t="s">
        <v>17</v>
      </c>
      <c r="D246" s="19" t="s">
        <v>18</v>
      </c>
      <c r="E246" s="28" t="s">
        <v>323</v>
      </c>
      <c r="F246" s="24" t="s">
        <v>324</v>
      </c>
      <c r="G246" s="24" t="s">
        <v>21</v>
      </c>
      <c r="H246" s="3" t="s">
        <v>497</v>
      </c>
      <c r="I246" s="3"/>
      <c r="J246" s="3"/>
      <c r="K246" s="3"/>
      <c r="L246" s="3" t="s">
        <v>495</v>
      </c>
      <c r="M246" s="19" t="s">
        <v>325</v>
      </c>
      <c r="P246" s="19" t="s">
        <v>326</v>
      </c>
      <c r="Q246" s="1" t="str">
        <f>IF($B246=0,$M246,_xlfn.TEXTBEFORE(Q245,"/",$B246,,,Q245)&amp;"/"&amp;$M246)&amp;IF(_xlfn.TEXTAFTER($D246,"..",,,,1)&lt;&gt;"1","[0]","")</f>
        <v>*/Consignment/HouseConsignment[0]/AdditionalInformation[0]/code</v>
      </c>
      <c r="T246" s="19" t="s">
        <v>413</v>
      </c>
    </row>
    <row r="247" spans="1:20" ht="12" customHeight="1" outlineLevel="4" x14ac:dyDescent="0.25">
      <c r="A247" s="19" t="str">
        <f>$E$2</f>
        <v>CC013C
CC015C</v>
      </c>
      <c r="B247" s="1">
        <v>4</v>
      </c>
      <c r="C247" s="1" t="s">
        <v>17</v>
      </c>
      <c r="D247" s="19" t="s">
        <v>36</v>
      </c>
      <c r="E247" s="28" t="s">
        <v>327</v>
      </c>
      <c r="F247" s="24" t="s">
        <v>328</v>
      </c>
      <c r="G247" s="24" t="s">
        <v>38</v>
      </c>
      <c r="H247" s="3"/>
      <c r="I247" s="3"/>
      <c r="J247" s="3"/>
      <c r="K247" s="3"/>
      <c r="L247" s="3" t="s">
        <v>496</v>
      </c>
      <c r="M247" s="19" t="s">
        <v>329</v>
      </c>
      <c r="P247" s="19" t="s">
        <v>330</v>
      </c>
      <c r="Q247" s="1" t="str">
        <f>IF($B247=0,$M247,_xlfn.TEXTBEFORE(Q246,"/",$B247,,,Q246)&amp;"/"&amp;$M247)&amp;IF(_xlfn.TEXTAFTER($D247,"..",,,,1)&lt;&gt;"1","[0]","")</f>
        <v>*/Consignment/HouseConsignment[0]/AdditionalInformation[0]/text</v>
      </c>
      <c r="T247" s="24" t="s">
        <v>443</v>
      </c>
    </row>
    <row r="248" spans="1:20" ht="12" customHeight="1" outlineLevel="3" x14ac:dyDescent="0.25">
      <c r="A248" s="21" t="str">
        <f>$E$2</f>
        <v>CC013C
CC015C</v>
      </c>
      <c r="B248" s="4">
        <v>3</v>
      </c>
      <c r="C248" s="21" t="s">
        <v>41</v>
      </c>
      <c r="D248" s="21" t="s">
        <v>36</v>
      </c>
      <c r="E248" s="27" t="s">
        <v>331</v>
      </c>
      <c r="F248" s="6"/>
      <c r="G248" s="33" t="s">
        <v>450</v>
      </c>
      <c r="H248" s="6" t="s">
        <v>604</v>
      </c>
      <c r="I248" s="6" t="s">
        <v>603</v>
      </c>
      <c r="J248" s="6"/>
      <c r="K248" s="6"/>
      <c r="L248" s="6" t="s">
        <v>600</v>
      </c>
      <c r="M248" s="21" t="s">
        <v>332</v>
      </c>
      <c r="N248" s="4"/>
      <c r="O248" s="4"/>
      <c r="P248" s="4"/>
      <c r="Q248" s="1" t="str">
        <f>IF($B248=0,$M248,_xlfn.TEXTBEFORE(Q247,"/",$B248,,,Q247)&amp;"/"&amp;$M248)&amp;IF(_xlfn.TEXTAFTER($D248,"..",,,,1)&lt;&gt;"1","[0]","")</f>
        <v>*/Consignment/HouseConsignment[0]/TransportCharges</v>
      </c>
    </row>
    <row r="249" spans="1:20" ht="12" customHeight="1" outlineLevel="4" x14ac:dyDescent="0.25">
      <c r="A249" s="19" t="str">
        <f>$E$2</f>
        <v>CC013C
CC015C</v>
      </c>
      <c r="B249" s="1">
        <v>4</v>
      </c>
      <c r="C249" s="1" t="s">
        <v>17</v>
      </c>
      <c r="D249" s="19" t="s">
        <v>18</v>
      </c>
      <c r="E249" s="28" t="s">
        <v>333</v>
      </c>
      <c r="F249" s="24" t="s">
        <v>334</v>
      </c>
      <c r="G249" s="24" t="s">
        <v>21</v>
      </c>
      <c r="H249" s="3"/>
      <c r="I249" s="3"/>
      <c r="J249" s="3" t="s">
        <v>602</v>
      </c>
      <c r="K249" s="3"/>
      <c r="L249" s="3" t="s">
        <v>601</v>
      </c>
      <c r="M249" s="19" t="s">
        <v>335</v>
      </c>
      <c r="P249" s="19" t="s">
        <v>336</v>
      </c>
      <c r="Q249" s="1" t="str">
        <f>IF($B249=0,$M249,_xlfn.TEXTBEFORE(Q248,"/",$B249,,,Q248)&amp;"/"&amp;$M249)&amp;IF(_xlfn.TEXTAFTER($D249,"..",,,,1)&lt;&gt;"1","[0]","")</f>
        <v>*/Consignment/HouseConsignment[0]/TransportCharges/methodOfPayment</v>
      </c>
      <c r="T249" s="24" t="s">
        <v>444</v>
      </c>
    </row>
    <row r="250" spans="1:20" ht="12" customHeight="1" outlineLevel="3" x14ac:dyDescent="0.25">
      <c r="A250" s="21" t="str">
        <f>$E$2</f>
        <v>CC013C
CC015C</v>
      </c>
      <c r="B250" s="4">
        <v>3</v>
      </c>
      <c r="C250" s="21" t="s">
        <v>41</v>
      </c>
      <c r="D250" s="21" t="s">
        <v>340</v>
      </c>
      <c r="E250" s="27" t="s">
        <v>341</v>
      </c>
      <c r="F250" s="6"/>
      <c r="G250" s="33" t="s">
        <v>21</v>
      </c>
      <c r="H250" s="6"/>
      <c r="I250" s="6"/>
      <c r="J250" s="6"/>
      <c r="K250" s="6"/>
      <c r="L250" s="6" t="s">
        <v>464</v>
      </c>
      <c r="M250" s="21" t="s">
        <v>342</v>
      </c>
      <c r="N250" s="4"/>
      <c r="O250" s="4"/>
      <c r="P250" s="4"/>
      <c r="Q250" s="1" t="str">
        <f>IF($B250=0,$M250,_xlfn.TEXTBEFORE(Q249,"/",$B250,,,Q249)&amp;"/"&amp;$M250)&amp;IF(_xlfn.TEXTAFTER($D250,"..",,,,1)&lt;&gt;"1","[0]","")</f>
        <v>*/Consignment/HouseConsignment[0]/ConsignmentItem[0]</v>
      </c>
    </row>
    <row r="251" spans="1:20" ht="12" customHeight="1" outlineLevel="4" x14ac:dyDescent="0.25">
      <c r="A251" s="19" t="str">
        <f>$E$2</f>
        <v>CC013C
CC015C</v>
      </c>
      <c r="B251" s="1">
        <v>4</v>
      </c>
      <c r="C251" s="1" t="s">
        <v>17</v>
      </c>
      <c r="D251" s="19" t="s">
        <v>18</v>
      </c>
      <c r="E251" s="28" t="s">
        <v>343</v>
      </c>
      <c r="F251" s="24" t="s">
        <v>94</v>
      </c>
      <c r="G251" s="24" t="s">
        <v>21</v>
      </c>
      <c r="H251" s="3" t="s">
        <v>466</v>
      </c>
      <c r="I251" s="3"/>
      <c r="J251" s="3"/>
      <c r="K251" s="3"/>
      <c r="L251" s="3" t="s">
        <v>465</v>
      </c>
      <c r="M251" s="19" t="s">
        <v>344</v>
      </c>
      <c r="P251" s="19" t="s">
        <v>345</v>
      </c>
      <c r="Q251" s="1" t="str">
        <f>IF($B251=0,$M251,_xlfn.TEXTBEFORE(Q250,"/",$B251,,,Q250)&amp;"/"&amp;$M251)&amp;IF(_xlfn.TEXTAFTER($D251,"..",,,,1)&lt;&gt;"1","[0]","")</f>
        <v>*/Consignment/HouseConsignment[0]/ConsignmentItem[0]/goodsItemNumber</v>
      </c>
      <c r="T251" s="24" t="s">
        <v>421</v>
      </c>
    </row>
    <row r="252" spans="1:20" ht="12" customHeight="1" outlineLevel="4" x14ac:dyDescent="0.25">
      <c r="A252" s="19" t="str">
        <f>$E$2</f>
        <v>CC013C
CC015C</v>
      </c>
      <c r="B252" s="1">
        <v>4</v>
      </c>
      <c r="C252" s="1" t="s">
        <v>17</v>
      </c>
      <c r="D252" s="19" t="s">
        <v>18</v>
      </c>
      <c r="E252" s="28" t="s">
        <v>234</v>
      </c>
      <c r="F252" s="24" t="s">
        <v>235</v>
      </c>
      <c r="G252" s="24" t="s">
        <v>21</v>
      </c>
      <c r="H252" s="3" t="s">
        <v>751</v>
      </c>
      <c r="I252" s="3"/>
      <c r="J252" s="3"/>
      <c r="K252" s="3"/>
      <c r="L252" s="3" t="s">
        <v>752</v>
      </c>
      <c r="M252" s="19" t="s">
        <v>236</v>
      </c>
      <c r="P252" s="19" t="s">
        <v>237</v>
      </c>
      <c r="Q252" s="1" t="str">
        <f>IF($B252=0,$M252,_xlfn.TEXTBEFORE(Q251,"/",$B252,,,Q251)&amp;"/"&amp;$M252)&amp;IF(_xlfn.TEXTAFTER($D252,"..",,,,1)&lt;&gt;"1","[0]","")</f>
        <v>*/Consignment/HouseConsignment[0]/ConsignmentItem[0]/declarationGoodsItemNumber</v>
      </c>
      <c r="T252" s="24" t="s">
        <v>438</v>
      </c>
    </row>
    <row r="253" spans="1:20" ht="12" customHeight="1" outlineLevel="4" x14ac:dyDescent="0.25">
      <c r="A253" s="19" t="str">
        <f>$E$2</f>
        <v>CC013C
CC015C</v>
      </c>
      <c r="B253" s="1">
        <v>4</v>
      </c>
      <c r="C253" s="1" t="s">
        <v>17</v>
      </c>
      <c r="D253" s="19" t="s">
        <v>36</v>
      </c>
      <c r="E253" s="28" t="s">
        <v>52</v>
      </c>
      <c r="F253" s="24" t="s">
        <v>53</v>
      </c>
      <c r="G253" s="24" t="s">
        <v>38</v>
      </c>
      <c r="H253" s="3"/>
      <c r="I253" s="3"/>
      <c r="J253" s="3"/>
      <c r="K253" s="3"/>
      <c r="L253" s="3" t="s">
        <v>460</v>
      </c>
      <c r="M253" s="19" t="s">
        <v>54</v>
      </c>
      <c r="P253" s="19" t="s">
        <v>55</v>
      </c>
      <c r="Q253" s="1" t="str">
        <f>IF($B253=0,$M253,_xlfn.TEXTBEFORE(Q252,"/",$B253,,,Q252)&amp;"/"&amp;$M253)&amp;IF(_xlfn.TEXTAFTER($D253,"..",,,,1)&lt;&gt;"1","[0]","")</f>
        <v>*/Consignment/HouseConsignment[0]/ConsignmentItem[0]/declarationType</v>
      </c>
      <c r="T253" s="19" t="s">
        <v>413</v>
      </c>
    </row>
    <row r="254" spans="1:20" ht="12" customHeight="1" outlineLevel="4" x14ac:dyDescent="0.25">
      <c r="A254" s="19" t="str">
        <f>$E$2</f>
        <v>CC013C
CC015C</v>
      </c>
      <c r="B254" s="1">
        <v>4</v>
      </c>
      <c r="C254" s="1" t="s">
        <v>17</v>
      </c>
      <c r="D254" s="19" t="s">
        <v>36</v>
      </c>
      <c r="E254" s="28" t="s">
        <v>184</v>
      </c>
      <c r="F254" s="3" t="s">
        <v>140</v>
      </c>
      <c r="G254" s="24" t="s">
        <v>450</v>
      </c>
      <c r="H254" s="3" t="s">
        <v>611</v>
      </c>
      <c r="I254" s="3" t="s">
        <v>610</v>
      </c>
      <c r="J254" s="3" t="s">
        <v>606</v>
      </c>
      <c r="K254" s="3"/>
      <c r="L254" s="3" t="s">
        <v>609</v>
      </c>
      <c r="M254" s="19" t="s">
        <v>185</v>
      </c>
      <c r="P254" s="19" t="s">
        <v>186</v>
      </c>
      <c r="Q254" s="1" t="str">
        <f>IF($B254=0,$M254,_xlfn.TEXTBEFORE(Q253,"/",$B254,,,Q253)&amp;"/"&amp;$M254)&amp;IF(_xlfn.TEXTAFTER($D254,"..",,,,1)&lt;&gt;"1","[0]","")</f>
        <v>*/Consignment/HouseConsignment[0]/ConsignmentItem[0]/countryOfDispatch</v>
      </c>
      <c r="T254" s="24" t="s">
        <v>426</v>
      </c>
    </row>
    <row r="255" spans="1:20" ht="12" customHeight="1" outlineLevel="4" x14ac:dyDescent="0.25">
      <c r="A255" s="19" t="str">
        <f>$E$2</f>
        <v>CC013C
CC015C</v>
      </c>
      <c r="B255" s="1">
        <v>4</v>
      </c>
      <c r="C255" s="1" t="s">
        <v>17</v>
      </c>
      <c r="D255" s="19" t="s">
        <v>36</v>
      </c>
      <c r="E255" s="28" t="s">
        <v>187</v>
      </c>
      <c r="F255" s="3" t="s">
        <v>140</v>
      </c>
      <c r="G255" s="24" t="s">
        <v>450</v>
      </c>
      <c r="H255" s="3" t="s">
        <v>608</v>
      </c>
      <c r="I255" s="3" t="s">
        <v>607</v>
      </c>
      <c r="J255" s="3" t="s">
        <v>606</v>
      </c>
      <c r="K255" s="3"/>
      <c r="L255" s="3" t="s">
        <v>605</v>
      </c>
      <c r="M255" s="19" t="s">
        <v>188</v>
      </c>
      <c r="P255" s="19" t="s">
        <v>189</v>
      </c>
      <c r="Q255" s="1" t="str">
        <f>IF($B255=0,$M255,_xlfn.TEXTBEFORE(Q254,"/",$B255,,,Q254)&amp;"/"&amp;$M255)&amp;IF(_xlfn.TEXTAFTER($D255,"..",,,,1)&lt;&gt;"1","[0]","")</f>
        <v>*/Consignment/HouseConsignment[0]/ConsignmentItem[0]/countryOfDestination</v>
      </c>
      <c r="T255" s="24" t="s">
        <v>426</v>
      </c>
    </row>
    <row r="256" spans="1:20" ht="12" customHeight="1" outlineLevel="4" x14ac:dyDescent="0.25">
      <c r="A256" s="19" t="str">
        <f>$E$2</f>
        <v>CC013C
CC015C</v>
      </c>
      <c r="B256" s="1">
        <v>4</v>
      </c>
      <c r="C256" s="1" t="s">
        <v>17</v>
      </c>
      <c r="D256" s="19" t="s">
        <v>36</v>
      </c>
      <c r="E256" s="28" t="s">
        <v>202</v>
      </c>
      <c r="F256" s="24" t="s">
        <v>203</v>
      </c>
      <c r="G256" s="24" t="s">
        <v>450</v>
      </c>
      <c r="H256" s="3" t="s">
        <v>523</v>
      </c>
      <c r="I256" s="3" t="s">
        <v>522</v>
      </c>
      <c r="J256" s="3"/>
      <c r="K256" s="3"/>
      <c r="L256" s="3" t="s">
        <v>521</v>
      </c>
      <c r="M256" s="19" t="s">
        <v>204</v>
      </c>
      <c r="P256" s="19" t="s">
        <v>205</v>
      </c>
      <c r="Q256" s="1" t="str">
        <f>IF($B256=0,$M256,_xlfn.TEXTBEFORE(Q255,"/",$B256,,,Q255)&amp;"/"&amp;$M256)&amp;IF(_xlfn.TEXTAFTER($D256,"..",,,,1)&lt;&gt;"1","[0]","")</f>
        <v>*/Consignment/HouseConsignment[0]/ConsignmentItem[0]/referenceNumberUCR</v>
      </c>
      <c r="T256" s="24" t="s">
        <v>433</v>
      </c>
    </row>
    <row r="257" spans="1:20" ht="12" customHeight="1" outlineLevel="4" x14ac:dyDescent="0.25">
      <c r="A257" s="21" t="str">
        <f>$E$2</f>
        <v>CC013C
CC015C</v>
      </c>
      <c r="B257" s="4">
        <v>4</v>
      </c>
      <c r="C257" s="21" t="s">
        <v>41</v>
      </c>
      <c r="D257" s="21" t="s">
        <v>164</v>
      </c>
      <c r="E257" s="29" t="s">
        <v>210</v>
      </c>
      <c r="F257" s="6"/>
      <c r="G257" s="33" t="s">
        <v>38</v>
      </c>
      <c r="H257" s="6" t="s">
        <v>467</v>
      </c>
      <c r="I257" s="6"/>
      <c r="J257" s="6"/>
      <c r="K257" s="6"/>
      <c r="L257" s="6" t="s">
        <v>596</v>
      </c>
      <c r="M257" s="21" t="s">
        <v>211</v>
      </c>
      <c r="N257" s="4"/>
      <c r="O257" s="4"/>
      <c r="P257" s="4"/>
      <c r="Q257" s="1" t="str">
        <f>IF($B257=0,$M257,_xlfn.TEXTBEFORE(Q256,"/",$B257,,,Q256)&amp;"/"&amp;$M257)&amp;IF(_xlfn.TEXTAFTER($D257,"..",,,,1)&lt;&gt;"1","[0]","")</f>
        <v>*/Consignment/HouseConsignment[0]/ConsignmentItem[0]/AdditionalSupplyChainActor[0]</v>
      </c>
    </row>
    <row r="258" spans="1:20" ht="12" customHeight="1" outlineLevel="5" x14ac:dyDescent="0.25">
      <c r="A258" s="19" t="str">
        <f>$E$2</f>
        <v>CC013C
CC015C</v>
      </c>
      <c r="B258" s="1">
        <v>5</v>
      </c>
      <c r="C258" s="1" t="s">
        <v>17</v>
      </c>
      <c r="D258" s="19" t="s">
        <v>18</v>
      </c>
      <c r="E258" s="30" t="s">
        <v>93</v>
      </c>
      <c r="F258" s="24" t="s">
        <v>483</v>
      </c>
      <c r="G258" s="24" t="s">
        <v>21</v>
      </c>
      <c r="H258" s="3" t="s">
        <v>475</v>
      </c>
      <c r="I258" s="3"/>
      <c r="J258" s="3"/>
      <c r="K258" s="3"/>
      <c r="L258" s="3"/>
      <c r="M258" s="19" t="s">
        <v>95</v>
      </c>
      <c r="P258" s="19" t="s">
        <v>96</v>
      </c>
      <c r="Q258" s="1" t="str">
        <f>IF($B258=0,$M258,_xlfn.TEXTBEFORE(Q257,"/",$B258,,,Q257)&amp;"/"&amp;$M258)&amp;IF(_xlfn.TEXTAFTER($D258,"..",,,,1)&lt;&gt;"1","[0]","")</f>
        <v>*/Consignment/HouseConsignment[0]/ConsignmentItem[0]/AdditionalSupplyChainActor[0]/sequenceNumber</v>
      </c>
      <c r="T258" s="24" t="s">
        <v>421</v>
      </c>
    </row>
    <row r="259" spans="1:20" ht="12" customHeight="1" outlineLevel="5" x14ac:dyDescent="0.25">
      <c r="A259" s="19" t="str">
        <f>$E$2</f>
        <v>CC013C
CC015C</v>
      </c>
      <c r="B259" s="1">
        <v>5</v>
      </c>
      <c r="C259" s="1" t="s">
        <v>17</v>
      </c>
      <c r="D259" s="19" t="s">
        <v>18</v>
      </c>
      <c r="E259" s="30" t="s">
        <v>212</v>
      </c>
      <c r="F259" s="24" t="s">
        <v>213</v>
      </c>
      <c r="G259" s="24" t="s">
        <v>21</v>
      </c>
      <c r="H259" s="3"/>
      <c r="I259" s="3"/>
      <c r="J259" s="3" t="s">
        <v>599</v>
      </c>
      <c r="K259" s="3"/>
      <c r="L259" s="3" t="s">
        <v>598</v>
      </c>
      <c r="M259" s="19" t="s">
        <v>214</v>
      </c>
      <c r="P259" s="19" t="s">
        <v>215</v>
      </c>
      <c r="Q259" s="1" t="str">
        <f>IF($B259=0,$M259,_xlfn.TEXTBEFORE(Q258,"/",$B259,,,Q258)&amp;"/"&amp;$M259)&amp;IF(_xlfn.TEXTAFTER($D259,"..",,,,1)&lt;&gt;"1","[0]","")</f>
        <v>*/Consignment/HouseConsignment[0]/ConsignmentItem[0]/AdditionalSupplyChainActor[0]/role</v>
      </c>
      <c r="T259" s="19" t="s">
        <v>413</v>
      </c>
    </row>
    <row r="260" spans="1:20" ht="12" customHeight="1" outlineLevel="5" x14ac:dyDescent="0.25">
      <c r="A260" s="19" t="str">
        <f>$E$2</f>
        <v>CC013C
CC015C</v>
      </c>
      <c r="B260" s="1">
        <v>5</v>
      </c>
      <c r="C260" s="1" t="s">
        <v>17</v>
      </c>
      <c r="D260" s="19" t="s">
        <v>18</v>
      </c>
      <c r="E260" s="30" t="s">
        <v>119</v>
      </c>
      <c r="F260" s="3" t="s">
        <v>140</v>
      </c>
      <c r="G260" s="24" t="s">
        <v>21</v>
      </c>
      <c r="H260" s="3" t="s">
        <v>595</v>
      </c>
      <c r="I260" s="3"/>
      <c r="J260" s="3"/>
      <c r="K260" s="3"/>
      <c r="L260" s="3" t="s">
        <v>597</v>
      </c>
      <c r="M260" s="19" t="s">
        <v>121</v>
      </c>
      <c r="P260" s="19" t="s">
        <v>207</v>
      </c>
      <c r="Q260" s="1" t="str">
        <f>IF($B260=0,$M260,_xlfn.TEXTBEFORE(Q259,"/",$B260,,,Q259)&amp;"/"&amp;$M260)&amp;IF(_xlfn.TEXTAFTER($D260,"..",,,,1)&lt;&gt;"1","[0]","")</f>
        <v>*/Consignment/HouseConsignment[0]/ConsignmentItem[0]/AdditionalSupplyChainActor[0]/identificationNumber</v>
      </c>
      <c r="T260" s="24" t="s">
        <v>434</v>
      </c>
    </row>
    <row r="261" spans="1:20" ht="12" customHeight="1" outlineLevel="4" x14ac:dyDescent="0.25">
      <c r="A261" s="21" t="str">
        <f>$E$2</f>
        <v>CC013C
CC015C</v>
      </c>
      <c r="B261" s="4">
        <v>4</v>
      </c>
      <c r="C261" s="21" t="s">
        <v>41</v>
      </c>
      <c r="D261" s="21" t="s">
        <v>18</v>
      </c>
      <c r="E261" s="29" t="s">
        <v>346</v>
      </c>
      <c r="F261" s="6"/>
      <c r="G261" s="33" t="s">
        <v>21</v>
      </c>
      <c r="H261" s="6"/>
      <c r="I261" s="6"/>
      <c r="J261" s="6"/>
      <c r="K261" s="6"/>
      <c r="L261" s="6" t="s">
        <v>694</v>
      </c>
      <c r="M261" s="21" t="s">
        <v>346</v>
      </c>
      <c r="N261" s="4"/>
      <c r="O261" s="4"/>
      <c r="P261" s="4"/>
      <c r="Q261" s="1" t="str">
        <f>IF($B261=0,$M261,_xlfn.TEXTBEFORE(Q260,"/",$B261,,,Q260)&amp;"/"&amp;$M261)&amp;IF(_xlfn.TEXTAFTER($D261,"..",,,,1)&lt;&gt;"1","[0]","")</f>
        <v>*/Consignment/HouseConsignment[0]/ConsignmentItem[0]/Commodity</v>
      </c>
    </row>
    <row r="262" spans="1:20" ht="12" customHeight="1" outlineLevel="5" x14ac:dyDescent="0.25">
      <c r="A262" s="19" t="str">
        <f>$E$2</f>
        <v>CC013C
CC015C</v>
      </c>
      <c r="B262" s="1">
        <v>5</v>
      </c>
      <c r="C262" s="1" t="s">
        <v>17</v>
      </c>
      <c r="D262" s="19" t="s">
        <v>18</v>
      </c>
      <c r="E262" s="30" t="s">
        <v>347</v>
      </c>
      <c r="F262" s="24" t="s">
        <v>328</v>
      </c>
      <c r="G262" s="24" t="s">
        <v>21</v>
      </c>
      <c r="H262" s="3"/>
      <c r="I262" s="3"/>
      <c r="J262" s="3"/>
      <c r="K262" s="3"/>
      <c r="L262" s="3" t="s">
        <v>695</v>
      </c>
      <c r="M262" s="19" t="s">
        <v>348</v>
      </c>
      <c r="P262" s="19" t="s">
        <v>349</v>
      </c>
      <c r="Q262" s="1" t="str">
        <f>IF($B262=0,$M262,_xlfn.TEXTBEFORE(Q261,"/",$B262,,,Q261)&amp;"/"&amp;$M262)&amp;IF(_xlfn.TEXTAFTER($D262,"..",,,,1)&lt;&gt;"1","[0]","")</f>
        <v>*/Consignment/HouseConsignment[0]/ConsignmentItem[0]/Commodity/descriptionOfGoods</v>
      </c>
      <c r="T262" s="24" t="s">
        <v>443</v>
      </c>
    </row>
    <row r="263" spans="1:20" ht="12" customHeight="1" outlineLevel="5" x14ac:dyDescent="0.25">
      <c r="A263" s="19" t="str">
        <f>$E$2</f>
        <v>CC013C
CC015C</v>
      </c>
      <c r="B263" s="1">
        <v>5</v>
      </c>
      <c r="C263" s="1" t="s">
        <v>17</v>
      </c>
      <c r="D263" s="19" t="s">
        <v>36</v>
      </c>
      <c r="E263" s="30" t="s">
        <v>350</v>
      </c>
      <c r="F263" s="24" t="s">
        <v>351</v>
      </c>
      <c r="G263" s="24" t="s">
        <v>38</v>
      </c>
      <c r="H263" s="3" t="s">
        <v>709</v>
      </c>
      <c r="I263" s="3"/>
      <c r="J263" s="3" t="s">
        <v>710</v>
      </c>
      <c r="K263" s="3"/>
      <c r="L263" s="3" t="s">
        <v>708</v>
      </c>
      <c r="M263" s="19" t="s">
        <v>352</v>
      </c>
      <c r="P263" s="19" t="s">
        <v>353</v>
      </c>
      <c r="Q263" s="1" t="str">
        <f>IF($B263=0,$M263,_xlfn.TEXTBEFORE(Q262,"/",$B263,,,Q262)&amp;"/"&amp;$M263)&amp;IF(_xlfn.TEXTAFTER($D263,"..",,,,1)&lt;&gt;"1","[0]","")</f>
        <v>*/Consignment/HouseConsignment[0]/ConsignmentItem[0]/Commodity/cusCode</v>
      </c>
      <c r="T263" s="19" t="s">
        <v>413</v>
      </c>
    </row>
    <row r="264" spans="1:20" ht="12" customHeight="1" outlineLevel="5" x14ac:dyDescent="0.25">
      <c r="A264" s="21" t="str">
        <f>$E$2</f>
        <v>CC013C
CC015C</v>
      </c>
      <c r="B264" s="4">
        <v>5</v>
      </c>
      <c r="C264" s="21" t="s">
        <v>41</v>
      </c>
      <c r="D264" s="21" t="s">
        <v>36</v>
      </c>
      <c r="E264" s="31" t="s">
        <v>354</v>
      </c>
      <c r="F264" s="6"/>
      <c r="G264" s="33" t="s">
        <v>450</v>
      </c>
      <c r="H264" s="6" t="s">
        <v>706</v>
      </c>
      <c r="I264" s="6" t="s">
        <v>707</v>
      </c>
      <c r="J264" s="6"/>
      <c r="K264" s="6"/>
      <c r="L264" s="6" t="s">
        <v>705</v>
      </c>
      <c r="M264" s="21" t="s">
        <v>355</v>
      </c>
      <c r="N264" s="4"/>
      <c r="O264" s="4"/>
      <c r="P264" s="4"/>
      <c r="Q264" s="1" t="str">
        <f>IF($B264=0,$M264,_xlfn.TEXTBEFORE(Q263,"/",$B264,,,Q263)&amp;"/"&amp;$M264)&amp;IF(_xlfn.TEXTAFTER($D264,"..",,,,1)&lt;&gt;"1","[0]","")</f>
        <v>*/Consignment/HouseConsignment[0]/ConsignmentItem[0]/Commodity/CommodityCode</v>
      </c>
    </row>
    <row r="265" spans="1:20" ht="12" customHeight="1" outlineLevel="6" x14ac:dyDescent="0.25">
      <c r="A265" s="19" t="str">
        <f>$E$2</f>
        <v>CC013C
CC015C</v>
      </c>
      <c r="B265" s="1">
        <v>6</v>
      </c>
      <c r="C265" s="1" t="s">
        <v>17</v>
      </c>
      <c r="D265" s="19" t="s">
        <v>18</v>
      </c>
      <c r="E265" s="32" t="s">
        <v>356</v>
      </c>
      <c r="F265" s="24" t="s">
        <v>357</v>
      </c>
      <c r="G265" s="24" t="s">
        <v>21</v>
      </c>
      <c r="H265" s="3"/>
      <c r="I265" s="3"/>
      <c r="J265" s="3" t="s">
        <v>712</v>
      </c>
      <c r="K265" s="3"/>
      <c r="L265" s="3" t="s">
        <v>711</v>
      </c>
      <c r="M265" s="19" t="s">
        <v>358</v>
      </c>
      <c r="P265" s="19" t="s">
        <v>359</v>
      </c>
      <c r="Q265" s="1" t="str">
        <f>IF($B265=0,$M265,_xlfn.TEXTBEFORE(Q264,"/",$B265,,,Q264)&amp;"/"&amp;$M265)&amp;IF(_xlfn.TEXTAFTER($D265,"..",,,,1)&lt;&gt;"1","[0]","")</f>
        <v>*/Consignment/HouseConsignment[0]/ConsignmentItem[0]/Commodity/CommodityCode/harmonizedSystemSubHeadingCode</v>
      </c>
      <c r="T265" s="19" t="s">
        <v>413</v>
      </c>
    </row>
    <row r="266" spans="1:20" ht="12" customHeight="1" outlineLevel="6" x14ac:dyDescent="0.25">
      <c r="A266" s="19" t="str">
        <f>$E$2</f>
        <v>CC013C
CC015C</v>
      </c>
      <c r="B266" s="1">
        <v>6</v>
      </c>
      <c r="C266" s="1" t="s">
        <v>17</v>
      </c>
      <c r="D266" s="19" t="s">
        <v>36</v>
      </c>
      <c r="E266" s="32" t="s">
        <v>360</v>
      </c>
      <c r="F266" s="24" t="s">
        <v>361</v>
      </c>
      <c r="G266" s="24" t="s">
        <v>450</v>
      </c>
      <c r="H266" s="3" t="s">
        <v>714</v>
      </c>
      <c r="I266" s="3" t="s">
        <v>715</v>
      </c>
      <c r="J266" s="3"/>
      <c r="K266" s="3"/>
      <c r="L266" s="3" t="s">
        <v>713</v>
      </c>
      <c r="M266" s="19" t="s">
        <v>362</v>
      </c>
      <c r="P266" s="19" t="s">
        <v>363</v>
      </c>
      <c r="Q266" s="1" t="str">
        <f>IF($B266=0,$M266,_xlfn.TEXTBEFORE(Q265,"/",$B266,,,Q265)&amp;"/"&amp;$M266)&amp;IF(_xlfn.TEXTAFTER($D266,"..",,,,1)&lt;&gt;"1","[0]","")</f>
        <v>*/Consignment/HouseConsignment[0]/ConsignmentItem[0]/Commodity/CommodityCode/combinedNomenclatureCode</v>
      </c>
      <c r="T266" s="24" t="s">
        <v>445</v>
      </c>
    </row>
    <row r="267" spans="1:20" ht="12" customHeight="1" outlineLevel="5" x14ac:dyDescent="0.25">
      <c r="A267" s="21" t="str">
        <f>$E$2</f>
        <v>CC013C
CC015C</v>
      </c>
      <c r="B267" s="4">
        <v>5</v>
      </c>
      <c r="C267" s="21" t="s">
        <v>41</v>
      </c>
      <c r="D267" s="21" t="s">
        <v>164</v>
      </c>
      <c r="E267" s="31" t="s">
        <v>364</v>
      </c>
      <c r="F267" s="6"/>
      <c r="G267" s="33" t="s">
        <v>38</v>
      </c>
      <c r="H267" s="6"/>
      <c r="I267" s="6"/>
      <c r="J267" s="6"/>
      <c r="K267" s="6"/>
      <c r="L267" s="6" t="s">
        <v>703</v>
      </c>
      <c r="M267" s="21" t="s">
        <v>365</v>
      </c>
      <c r="N267" s="4"/>
      <c r="O267" s="4"/>
      <c r="P267" s="4"/>
      <c r="Q267" s="1" t="str">
        <f>IF($B267=0,$M267,_xlfn.TEXTBEFORE(Q266,"/",$B267,,,Q266)&amp;"/"&amp;$M267)&amp;IF(_xlfn.TEXTAFTER($D267,"..",,,,1)&lt;&gt;"1","[0]","")</f>
        <v>*/Consignment/HouseConsignment[0]/ConsignmentItem[0]/Commodity/DangerousGoods[0]</v>
      </c>
    </row>
    <row r="268" spans="1:20" ht="12" customHeight="1" outlineLevel="6" x14ac:dyDescent="0.25">
      <c r="A268" s="19" t="str">
        <f>$E$2</f>
        <v>CC013C
CC015C</v>
      </c>
      <c r="B268" s="1">
        <v>6</v>
      </c>
      <c r="C268" s="1" t="s">
        <v>17</v>
      </c>
      <c r="D268" s="19" t="s">
        <v>18</v>
      </c>
      <c r="E268" s="32" t="s">
        <v>93</v>
      </c>
      <c r="F268" s="24" t="s">
        <v>483</v>
      </c>
      <c r="G268" s="24" t="s">
        <v>21</v>
      </c>
      <c r="H268" s="3"/>
      <c r="I268" s="3"/>
      <c r="J268" s="3"/>
      <c r="K268" s="3"/>
      <c r="L268" s="3"/>
      <c r="M268" s="19" t="s">
        <v>95</v>
      </c>
      <c r="P268" s="19" t="s">
        <v>96</v>
      </c>
      <c r="Q268" s="1" t="str">
        <f>IF($B268=0,$M268,_xlfn.TEXTBEFORE(Q267,"/",$B268,,,Q267)&amp;"/"&amp;$M268)&amp;IF(_xlfn.TEXTAFTER($D268,"..",,,,1)&lt;&gt;"1","[0]","")</f>
        <v>*/Consignment/HouseConsignment[0]/ConsignmentItem[0]/Commodity/DangerousGoods[0]/sequenceNumber</v>
      </c>
      <c r="T268" s="24" t="s">
        <v>421</v>
      </c>
    </row>
    <row r="269" spans="1:20" ht="12" customHeight="1" outlineLevel="6" x14ac:dyDescent="0.25">
      <c r="A269" s="19" t="str">
        <f>$E$2</f>
        <v>CC013C
CC015C</v>
      </c>
      <c r="B269" s="1">
        <v>6</v>
      </c>
      <c r="C269" s="1" t="s">
        <v>17</v>
      </c>
      <c r="D269" s="19" t="s">
        <v>18</v>
      </c>
      <c r="E269" s="32" t="s">
        <v>366</v>
      </c>
      <c r="F269" s="24" t="s">
        <v>306</v>
      </c>
      <c r="G269" s="24" t="s">
        <v>21</v>
      </c>
      <c r="H269" s="3"/>
      <c r="I269" s="3"/>
      <c r="J269" s="3"/>
      <c r="K269" s="3"/>
      <c r="L269" s="3" t="s">
        <v>704</v>
      </c>
      <c r="M269" s="19" t="s">
        <v>367</v>
      </c>
      <c r="P269" s="19" t="s">
        <v>368</v>
      </c>
      <c r="Q269" s="1" t="str">
        <f>IF($B269=0,$M269,_xlfn.TEXTBEFORE(Q268,"/",$B269,,,Q268)&amp;"/"&amp;$M269)&amp;IF(_xlfn.TEXTAFTER($D269,"..",,,,1)&lt;&gt;"1","[0]","")</f>
        <v>*/Consignment/HouseConsignment[0]/ConsignmentItem[0]/Commodity/DangerousGoods[0]/UNNumber</v>
      </c>
      <c r="T269" s="19" t="s">
        <v>413</v>
      </c>
    </row>
    <row r="270" spans="1:20" ht="12" customHeight="1" outlineLevel="5" x14ac:dyDescent="0.25">
      <c r="A270" s="21" t="str">
        <f>$E$2</f>
        <v>CC013C
CC015C</v>
      </c>
      <c r="B270" s="4">
        <v>5</v>
      </c>
      <c r="C270" s="21" t="s">
        <v>41</v>
      </c>
      <c r="D270" s="21" t="s">
        <v>18</v>
      </c>
      <c r="E270" s="31" t="s">
        <v>369</v>
      </c>
      <c r="F270" s="6"/>
      <c r="G270" s="33" t="s">
        <v>21</v>
      </c>
      <c r="H270" s="6"/>
      <c r="I270" s="6"/>
      <c r="J270" s="6"/>
      <c r="K270" s="6"/>
      <c r="L270" s="6" t="s">
        <v>691</v>
      </c>
      <c r="M270" s="21" t="s">
        <v>370</v>
      </c>
      <c r="N270" s="4"/>
      <c r="O270" s="4"/>
      <c r="P270" s="4"/>
      <c r="Q270" s="1" t="str">
        <f>IF($B270=0,$M270,_xlfn.TEXTBEFORE(Q269,"/",$B270,,,Q269)&amp;"/"&amp;$M270)&amp;IF(_xlfn.TEXTAFTER($D270,"..",,,,1)&lt;&gt;"1","[0]","")</f>
        <v>*/Consignment/HouseConsignment[0]/ConsignmentItem[0]/Commodity/GoodsMeasure</v>
      </c>
    </row>
    <row r="271" spans="1:20" ht="12" customHeight="1" outlineLevel="6" x14ac:dyDescent="0.25">
      <c r="A271" s="19" t="str">
        <f>$E$2</f>
        <v>CC013C
CC015C</v>
      </c>
      <c r="B271" s="1">
        <v>6</v>
      </c>
      <c r="C271" s="1" t="s">
        <v>17</v>
      </c>
      <c r="D271" s="19" t="s">
        <v>18</v>
      </c>
      <c r="E271" s="32" t="s">
        <v>198</v>
      </c>
      <c r="F271" s="24" t="s">
        <v>371</v>
      </c>
      <c r="G271" s="24" t="s">
        <v>21</v>
      </c>
      <c r="H271" s="3" t="s">
        <v>693</v>
      </c>
      <c r="I271" s="3"/>
      <c r="J271" s="3"/>
      <c r="K271" s="3"/>
      <c r="L271" s="3" t="s">
        <v>692</v>
      </c>
      <c r="M271" s="19" t="s">
        <v>200</v>
      </c>
      <c r="P271" s="19" t="s">
        <v>372</v>
      </c>
      <c r="Q271" s="1" t="str">
        <f>IF($B271=0,$M271,_xlfn.TEXTBEFORE(Q270,"/",$B271,,,Q270)&amp;"/"&amp;$M271)&amp;IF(_xlfn.TEXTAFTER($D271,"..",,,,1)&lt;&gt;"1","[0]","")</f>
        <v>*/Consignment/HouseConsignment[0]/ConsignmentItem[0]/Commodity/GoodsMeasure/grossMass</v>
      </c>
      <c r="T271" s="24" t="s">
        <v>446</v>
      </c>
    </row>
    <row r="272" spans="1:20" ht="12" customHeight="1" outlineLevel="6" x14ac:dyDescent="0.25">
      <c r="A272" s="19" t="str">
        <f>$E$2</f>
        <v>CC013C
CC015C</v>
      </c>
      <c r="B272" s="1">
        <v>6</v>
      </c>
      <c r="C272" s="1" t="s">
        <v>17</v>
      </c>
      <c r="D272" s="19" t="s">
        <v>36</v>
      </c>
      <c r="E272" s="32" t="s">
        <v>373</v>
      </c>
      <c r="F272" s="24" t="s">
        <v>199</v>
      </c>
      <c r="G272" s="24" t="s">
        <v>38</v>
      </c>
      <c r="H272" s="3" t="s">
        <v>689</v>
      </c>
      <c r="I272" s="3" t="s">
        <v>687</v>
      </c>
      <c r="J272" s="3"/>
      <c r="K272" s="3"/>
      <c r="L272" s="3" t="s">
        <v>688</v>
      </c>
      <c r="M272" s="19" t="s">
        <v>374</v>
      </c>
      <c r="P272" s="19" t="s">
        <v>375</v>
      </c>
      <c r="Q272" s="1" t="str">
        <f>IF($B272=0,$M272,_xlfn.TEXTBEFORE(Q271,"/",$B272,,,Q271)&amp;"/"&amp;$M272)&amp;IF(_xlfn.TEXTAFTER($D272,"..",,,,1)&lt;&gt;"1","[0]","")</f>
        <v>*/Consignment/HouseConsignment[0]/ConsignmentItem[0]/Commodity/GoodsMeasure/netMass</v>
      </c>
      <c r="T272" s="24" t="s">
        <v>432</v>
      </c>
    </row>
    <row r="273" spans="1:20" ht="12" customHeight="1" outlineLevel="6" x14ac:dyDescent="0.25">
      <c r="A273" s="19" t="str">
        <f>$E$2</f>
        <v>CC013C
CC015C</v>
      </c>
      <c r="B273" s="1">
        <v>6</v>
      </c>
      <c r="C273" s="1" t="s">
        <v>17</v>
      </c>
      <c r="D273" s="19" t="s">
        <v>36</v>
      </c>
      <c r="E273" s="32" t="s">
        <v>376</v>
      </c>
      <c r="F273" s="24" t="s">
        <v>199</v>
      </c>
      <c r="G273" s="24" t="s">
        <v>38</v>
      </c>
      <c r="H273" s="3"/>
      <c r="I273" s="3"/>
      <c r="J273" s="3"/>
      <c r="K273" s="3"/>
      <c r="L273" s="3" t="s">
        <v>690</v>
      </c>
      <c r="M273" s="19" t="s">
        <v>377</v>
      </c>
      <c r="P273" s="19" t="s">
        <v>378</v>
      </c>
      <c r="Q273" s="1" t="str">
        <f>IF($B273=0,$M273,_xlfn.TEXTBEFORE(Q272,"/",$B273,,,Q272)&amp;"/"&amp;$M273)&amp;IF(_xlfn.TEXTAFTER($D273,"..",,,,1)&lt;&gt;"1","[0]","")</f>
        <v>*/Consignment/HouseConsignment[0]/ConsignmentItem[0]/Commodity/GoodsMeasure/supplementaryUnits</v>
      </c>
      <c r="T273" s="24" t="s">
        <v>432</v>
      </c>
    </row>
    <row r="274" spans="1:20" ht="12" customHeight="1" outlineLevel="4" x14ac:dyDescent="0.25">
      <c r="A274" s="21" t="str">
        <f>$E$2</f>
        <v>CC013C
CC015C</v>
      </c>
      <c r="B274" s="4">
        <v>4</v>
      </c>
      <c r="C274" s="21" t="s">
        <v>41</v>
      </c>
      <c r="D274" s="21" t="s">
        <v>379</v>
      </c>
      <c r="E274" s="29" t="s">
        <v>380</v>
      </c>
      <c r="F274" s="6"/>
      <c r="G274" s="33" t="s">
        <v>21</v>
      </c>
      <c r="H274" s="6"/>
      <c r="I274" s="6"/>
      <c r="J274" s="6"/>
      <c r="K274" s="6"/>
      <c r="L274" s="6" t="s">
        <v>696</v>
      </c>
      <c r="M274" s="21" t="s">
        <v>380</v>
      </c>
      <c r="N274" s="4"/>
      <c r="O274" s="4"/>
      <c r="P274" s="4"/>
      <c r="Q274" s="1" t="str">
        <f>IF($B274=0,$M274,_xlfn.TEXTBEFORE(Q273,"/",$B274,,,Q273)&amp;"/"&amp;$M274)&amp;IF(_xlfn.TEXTAFTER($D274,"..",,,,1)&lt;&gt;"1","[0]","")</f>
        <v>*/Consignment/HouseConsignment[0]/ConsignmentItem[0]/Packaging[0]</v>
      </c>
    </row>
    <row r="275" spans="1:20" ht="12" customHeight="1" outlineLevel="5" x14ac:dyDescent="0.25">
      <c r="A275" s="19" t="str">
        <f>$E$2</f>
        <v>CC013C
CC015C</v>
      </c>
      <c r="B275" s="1">
        <v>5</v>
      </c>
      <c r="C275" s="1" t="s">
        <v>17</v>
      </c>
      <c r="D275" s="19" t="s">
        <v>18</v>
      </c>
      <c r="E275" s="30" t="s">
        <v>93</v>
      </c>
      <c r="F275" s="24" t="s">
        <v>483</v>
      </c>
      <c r="G275" s="24" t="s">
        <v>21</v>
      </c>
      <c r="H275" s="3" t="s">
        <v>475</v>
      </c>
      <c r="I275" s="3"/>
      <c r="J275" s="3"/>
      <c r="K275" s="3"/>
      <c r="L275" s="3"/>
      <c r="M275" s="19" t="s">
        <v>95</v>
      </c>
      <c r="P275" s="19" t="s">
        <v>96</v>
      </c>
      <c r="Q275" s="1" t="str">
        <f>IF($B275=0,$M275,_xlfn.TEXTBEFORE(Q274,"/",$B275,,,Q274)&amp;"/"&amp;$M275)&amp;IF(_xlfn.TEXTAFTER($D275,"..",,,,1)&lt;&gt;"1","[0]","")</f>
        <v>*/Consignment/HouseConsignment[0]/ConsignmentItem[0]/Packaging[0]/sequenceNumber</v>
      </c>
      <c r="T275" s="24" t="s">
        <v>421</v>
      </c>
    </row>
    <row r="276" spans="1:20" ht="12" customHeight="1" outlineLevel="5" x14ac:dyDescent="0.25">
      <c r="A276" s="19" t="str">
        <f>$E$2</f>
        <v>CC013C
CC015C</v>
      </c>
      <c r="B276" s="1">
        <v>5</v>
      </c>
      <c r="C276" s="1" t="s">
        <v>17</v>
      </c>
      <c r="D276" s="19" t="s">
        <v>18</v>
      </c>
      <c r="E276" s="30" t="s">
        <v>381</v>
      </c>
      <c r="F276" s="24" t="s">
        <v>382</v>
      </c>
      <c r="G276" s="24" t="s">
        <v>21</v>
      </c>
      <c r="H276" s="3"/>
      <c r="I276" s="3"/>
      <c r="J276" s="3" t="s">
        <v>487</v>
      </c>
      <c r="K276" s="3"/>
      <c r="L276" s="3" t="s">
        <v>697</v>
      </c>
      <c r="M276" s="19" t="s">
        <v>383</v>
      </c>
      <c r="P276" s="19" t="s">
        <v>384</v>
      </c>
      <c r="Q276" s="1" t="str">
        <f>IF($B276=0,$M276,_xlfn.TEXTBEFORE(Q275,"/",$B276,,,Q275)&amp;"/"&amp;$M276)&amp;IF(_xlfn.TEXTAFTER($D276,"..",,,,1)&lt;&gt;"1","[0]","")</f>
        <v>*/Consignment/HouseConsignment[0]/ConsignmentItem[0]/Packaging[0]/typeOfPackages</v>
      </c>
      <c r="T276" s="19" t="s">
        <v>413</v>
      </c>
    </row>
    <row r="277" spans="1:20" ht="12" customHeight="1" outlineLevel="5" x14ac:dyDescent="0.25">
      <c r="A277" s="19" t="str">
        <f>$E$2</f>
        <v>CC013C
CC015C</v>
      </c>
      <c r="B277" s="1">
        <v>5</v>
      </c>
      <c r="C277" s="1" t="s">
        <v>17</v>
      </c>
      <c r="D277" s="19" t="s">
        <v>36</v>
      </c>
      <c r="E277" s="30" t="s">
        <v>385</v>
      </c>
      <c r="F277" s="24" t="s">
        <v>386</v>
      </c>
      <c r="G277" s="24" t="s">
        <v>450</v>
      </c>
      <c r="H277" s="3" t="s">
        <v>700</v>
      </c>
      <c r="I277" s="3" t="s">
        <v>701</v>
      </c>
      <c r="J277" s="3"/>
      <c r="K277" s="3"/>
      <c r="L277" s="3" t="s">
        <v>698</v>
      </c>
      <c r="M277" s="19" t="s">
        <v>387</v>
      </c>
      <c r="P277" s="19" t="s">
        <v>388</v>
      </c>
      <c r="Q277" s="1" t="str">
        <f>IF($B277=0,$M277,_xlfn.TEXTBEFORE(Q276,"/",$B277,,,Q276)&amp;"/"&amp;$M277)&amp;IF(_xlfn.TEXTAFTER($D277,"..",,,,1)&lt;&gt;"1","[0]","")</f>
        <v>*/Consignment/HouseConsignment[0]/ConsignmentItem[0]/Packaging[0]/numberOfPackages</v>
      </c>
      <c r="T277" s="24" t="s">
        <v>447</v>
      </c>
    </row>
    <row r="278" spans="1:20" ht="12" customHeight="1" outlineLevel="5" x14ac:dyDescent="0.25">
      <c r="A278" s="19" t="str">
        <f>$E$2</f>
        <v>CC013C
CC015C</v>
      </c>
      <c r="B278" s="1">
        <v>5</v>
      </c>
      <c r="C278" s="1" t="s">
        <v>17</v>
      </c>
      <c r="D278" s="19" t="s">
        <v>36</v>
      </c>
      <c r="E278" s="30" t="s">
        <v>389</v>
      </c>
      <c r="F278" s="24" t="s">
        <v>328</v>
      </c>
      <c r="G278" s="24" t="s">
        <v>450</v>
      </c>
      <c r="H278" s="3" t="s">
        <v>702</v>
      </c>
      <c r="I278" s="3" t="s">
        <v>701</v>
      </c>
      <c r="J278" s="3"/>
      <c r="K278" s="3"/>
      <c r="L278" s="3" t="s">
        <v>699</v>
      </c>
      <c r="M278" s="19" t="s">
        <v>390</v>
      </c>
      <c r="P278" s="19" t="s">
        <v>391</v>
      </c>
      <c r="Q278" s="1" t="str">
        <f>IF($B278=0,$M278,_xlfn.TEXTBEFORE(Q277,"/",$B278,,,Q277)&amp;"/"&amp;$M278)&amp;IF(_xlfn.TEXTAFTER($D278,"..",,,,1)&lt;&gt;"1","[0]","")</f>
        <v>*/Consignment/HouseConsignment[0]/ConsignmentItem[0]/Packaging[0]/shippingMarks</v>
      </c>
      <c r="T278" s="24" t="s">
        <v>443</v>
      </c>
    </row>
    <row r="279" spans="1:20" ht="12" customHeight="1" outlineLevel="4" x14ac:dyDescent="0.25">
      <c r="A279" s="21" t="str">
        <f>$E$2</f>
        <v>CC013C
CC015C</v>
      </c>
      <c r="B279" s="4">
        <v>4</v>
      </c>
      <c r="C279" s="21" t="s">
        <v>41</v>
      </c>
      <c r="D279" s="21" t="s">
        <v>164</v>
      </c>
      <c r="E279" s="29" t="s">
        <v>304</v>
      </c>
      <c r="F279" s="6"/>
      <c r="G279" s="33" t="s">
        <v>38</v>
      </c>
      <c r="H279" s="6"/>
      <c r="I279" s="6"/>
      <c r="J279" s="6"/>
      <c r="K279" s="6"/>
      <c r="L279" s="6" t="s">
        <v>477</v>
      </c>
      <c r="M279" s="21" t="s">
        <v>305</v>
      </c>
      <c r="N279" s="4"/>
      <c r="O279" s="4"/>
      <c r="P279" s="4"/>
      <c r="Q279" s="1" t="str">
        <f>IF($B279=0,$M279,_xlfn.TEXTBEFORE(Q278,"/",$B279,,,Q278)&amp;"/"&amp;$M279)&amp;IF(_xlfn.TEXTAFTER($D279,"..",,,,1)&lt;&gt;"1","[0]","")</f>
        <v>*/Consignment/HouseConsignment[0]/ConsignmentItem[0]/PreviousDocument[0]</v>
      </c>
    </row>
    <row r="280" spans="1:20" ht="12" customHeight="1" outlineLevel="5" x14ac:dyDescent="0.25">
      <c r="A280" s="19" t="str">
        <f>$E$2</f>
        <v>CC013C
CC015C</v>
      </c>
      <c r="B280" s="1">
        <v>5</v>
      </c>
      <c r="C280" s="1" t="s">
        <v>17</v>
      </c>
      <c r="D280" s="19" t="s">
        <v>18</v>
      </c>
      <c r="E280" s="30" t="s">
        <v>93</v>
      </c>
      <c r="F280" s="24" t="s">
        <v>483</v>
      </c>
      <c r="G280" s="24" t="s">
        <v>21</v>
      </c>
      <c r="H280" s="3" t="s">
        <v>475</v>
      </c>
      <c r="I280" s="3"/>
      <c r="J280" s="3"/>
      <c r="K280" s="3"/>
      <c r="L280" s="3"/>
      <c r="M280" s="19" t="s">
        <v>95</v>
      </c>
      <c r="P280" s="19" t="s">
        <v>96</v>
      </c>
      <c r="Q280" s="1" t="str">
        <f>IF($B280=0,$M280,_xlfn.TEXTBEFORE(Q279,"/",$B280,,,Q279)&amp;"/"&amp;$M280)&amp;IF(_xlfn.TEXTAFTER($D280,"..",,,,1)&lt;&gt;"1","[0]","")</f>
        <v>*/Consignment/HouseConsignment[0]/ConsignmentItem[0]/PreviousDocument[0]/sequenceNumber</v>
      </c>
      <c r="T280" s="24" t="s">
        <v>421</v>
      </c>
    </row>
    <row r="281" spans="1:20" ht="12" customHeight="1" outlineLevel="5" x14ac:dyDescent="0.25">
      <c r="A281" s="19" t="str">
        <f>$E$2</f>
        <v>CC013C
CC015C</v>
      </c>
      <c r="B281" s="1">
        <v>5</v>
      </c>
      <c r="C281" s="1" t="s">
        <v>17</v>
      </c>
      <c r="D281" s="19" t="s">
        <v>18</v>
      </c>
      <c r="E281" s="30" t="s">
        <v>2</v>
      </c>
      <c r="F281" s="24" t="s">
        <v>306</v>
      </c>
      <c r="G281" s="24" t="s">
        <v>21</v>
      </c>
      <c r="H281" s="3" t="s">
        <v>479</v>
      </c>
      <c r="I281" s="3"/>
      <c r="J281" s="3" t="s">
        <v>478</v>
      </c>
      <c r="K281" s="3"/>
      <c r="L281" s="3" t="s">
        <v>476</v>
      </c>
      <c r="M281" s="19" t="s">
        <v>98</v>
      </c>
      <c r="P281" s="19" t="s">
        <v>307</v>
      </c>
      <c r="Q281" s="1" t="str">
        <f>IF($B281=0,$M281,_xlfn.TEXTBEFORE(Q280,"/",$B281,,,Q280)&amp;"/"&amp;$M281)&amp;IF(_xlfn.TEXTAFTER($D281,"..",,,,1)&lt;&gt;"1","[0]","")</f>
        <v>*/Consignment/HouseConsignment[0]/ConsignmentItem[0]/PreviousDocument[0]/type</v>
      </c>
      <c r="T281" s="19" t="s">
        <v>413</v>
      </c>
    </row>
    <row r="282" spans="1:20" ht="12" customHeight="1" outlineLevel="5" x14ac:dyDescent="0.25">
      <c r="A282" s="19" t="str">
        <f>$E$2</f>
        <v>CC013C
CC015C</v>
      </c>
      <c r="B282" s="1">
        <v>5</v>
      </c>
      <c r="C282" s="1" t="s">
        <v>17</v>
      </c>
      <c r="D282" s="19" t="s">
        <v>18</v>
      </c>
      <c r="E282" s="30" t="s">
        <v>100</v>
      </c>
      <c r="F282" s="24" t="s">
        <v>126</v>
      </c>
      <c r="G282" s="24" t="s">
        <v>21</v>
      </c>
      <c r="H282" s="3" t="s">
        <v>481</v>
      </c>
      <c r="I282" s="3"/>
      <c r="J282" s="3"/>
      <c r="K282" s="3"/>
      <c r="L282" s="3" t="s">
        <v>480</v>
      </c>
      <c r="M282" s="19" t="s">
        <v>102</v>
      </c>
      <c r="P282" s="19" t="s">
        <v>308</v>
      </c>
      <c r="Q282" s="1" t="str">
        <f>IF($B282=0,$M282,_xlfn.TEXTBEFORE(Q281,"/",$B282,,,Q281)&amp;"/"&amp;$M282)&amp;IF(_xlfn.TEXTAFTER($D282,"..",,,,1)&lt;&gt;"1","[0]","")</f>
        <v>*/Consignment/HouseConsignment[0]/ConsignmentItem[0]/PreviousDocument[0]/referenceNumber</v>
      </c>
      <c r="T282" s="24" t="s">
        <v>425</v>
      </c>
    </row>
    <row r="283" spans="1:20" ht="12" customHeight="1" outlineLevel="5" x14ac:dyDescent="0.25">
      <c r="A283" s="19" t="str">
        <f>$E$2</f>
        <v>CC013C
CC015C</v>
      </c>
      <c r="B283" s="1">
        <v>5</v>
      </c>
      <c r="C283" s="1" t="s">
        <v>17</v>
      </c>
      <c r="D283" s="19" t="s">
        <v>36</v>
      </c>
      <c r="E283" s="30" t="s">
        <v>343</v>
      </c>
      <c r="F283" s="24" t="s">
        <v>94</v>
      </c>
      <c r="G283" s="24" t="s">
        <v>38</v>
      </c>
      <c r="H283" s="3" t="s">
        <v>485</v>
      </c>
      <c r="I283" s="3"/>
      <c r="J283" s="3"/>
      <c r="K283" s="3"/>
      <c r="L283" s="3" t="s">
        <v>484</v>
      </c>
      <c r="M283" s="19" t="s">
        <v>344</v>
      </c>
      <c r="P283" s="19" t="s">
        <v>345</v>
      </c>
      <c r="Q283" s="1" t="str">
        <f>IF($B283=0,$M283,_xlfn.TEXTBEFORE(Q282,"/",$B283,,,Q282)&amp;"/"&amp;$M283)&amp;IF(_xlfn.TEXTAFTER($D283,"..",,,,1)&lt;&gt;"1","[0]","")</f>
        <v>*/Consignment/HouseConsignment[0]/ConsignmentItem[0]/PreviousDocument[0]/goodsItemNumber</v>
      </c>
      <c r="T283" s="24" t="s">
        <v>421</v>
      </c>
    </row>
    <row r="284" spans="1:20" ht="12" customHeight="1" outlineLevel="5" x14ac:dyDescent="0.25">
      <c r="A284" s="19" t="str">
        <f>$E$2</f>
        <v>CC013C
CC015C</v>
      </c>
      <c r="B284" s="1">
        <v>5</v>
      </c>
      <c r="C284" s="1" t="s">
        <v>17</v>
      </c>
      <c r="D284" s="19" t="s">
        <v>36</v>
      </c>
      <c r="E284" s="30" t="s">
        <v>381</v>
      </c>
      <c r="F284" s="24" t="s">
        <v>382</v>
      </c>
      <c r="G284" s="24" t="s">
        <v>38</v>
      </c>
      <c r="H284" s="3"/>
      <c r="I284" s="3"/>
      <c r="J284" s="3" t="s">
        <v>487</v>
      </c>
      <c r="K284" s="3"/>
      <c r="L284" s="3" t="s">
        <v>486</v>
      </c>
      <c r="M284" s="19" t="s">
        <v>383</v>
      </c>
      <c r="P284" s="19" t="s">
        <v>384</v>
      </c>
      <c r="Q284" s="1" t="str">
        <f>IF($B284=0,$M284,_xlfn.TEXTBEFORE(Q283,"/",$B284,,,Q283)&amp;"/"&amp;$M284)&amp;IF(_xlfn.TEXTAFTER($D284,"..",,,,1)&lt;&gt;"1","[0]","")</f>
        <v>*/Consignment/HouseConsignment[0]/ConsignmentItem[0]/PreviousDocument[0]/typeOfPackages</v>
      </c>
      <c r="T284" s="19" t="s">
        <v>413</v>
      </c>
    </row>
    <row r="285" spans="1:20" ht="12" customHeight="1" outlineLevel="5" x14ac:dyDescent="0.25">
      <c r="A285" s="19" t="str">
        <f>$E$2</f>
        <v>CC013C
CC015C</v>
      </c>
      <c r="B285" s="1">
        <v>5</v>
      </c>
      <c r="C285" s="1" t="s">
        <v>17</v>
      </c>
      <c r="D285" s="19" t="s">
        <v>36</v>
      </c>
      <c r="E285" s="30" t="s">
        <v>385</v>
      </c>
      <c r="F285" s="24" t="s">
        <v>392</v>
      </c>
      <c r="G285" s="24" t="s">
        <v>38</v>
      </c>
      <c r="H285" s="3"/>
      <c r="I285" s="3"/>
      <c r="J285" s="3"/>
      <c r="K285" s="3"/>
      <c r="L285" s="3" t="s">
        <v>488</v>
      </c>
      <c r="M285" s="19" t="s">
        <v>387</v>
      </c>
      <c r="P285" s="19" t="s">
        <v>393</v>
      </c>
      <c r="Q285" s="1" t="str">
        <f>IF($B285=0,$M285,_xlfn.TEXTBEFORE(Q284,"/",$B285,,,Q284)&amp;"/"&amp;$M285)&amp;IF(_xlfn.TEXTAFTER($D285,"..",,,,1)&lt;&gt;"1","[0]","")</f>
        <v>*/Consignment/HouseConsignment[0]/ConsignmentItem[0]/PreviousDocument[0]/numberOfPackages</v>
      </c>
      <c r="T285" s="24" t="s">
        <v>448</v>
      </c>
    </row>
    <row r="286" spans="1:20" ht="12" customHeight="1" outlineLevel="5" x14ac:dyDescent="0.25">
      <c r="A286" s="19" t="str">
        <f>$E$2</f>
        <v>CC013C
CC015C</v>
      </c>
      <c r="B286" s="1">
        <v>5</v>
      </c>
      <c r="C286" s="1" t="s">
        <v>17</v>
      </c>
      <c r="D286" s="19" t="s">
        <v>36</v>
      </c>
      <c r="E286" s="30" t="s">
        <v>394</v>
      </c>
      <c r="F286" s="24" t="s">
        <v>97</v>
      </c>
      <c r="G286" s="24" t="s">
        <v>450</v>
      </c>
      <c r="H286" s="3"/>
      <c r="I286" s="3" t="s">
        <v>490</v>
      </c>
      <c r="J286" s="3" t="s">
        <v>491</v>
      </c>
      <c r="K286" s="3"/>
      <c r="L286" s="3" t="s">
        <v>489</v>
      </c>
      <c r="M286" s="19" t="s">
        <v>395</v>
      </c>
      <c r="P286" s="19" t="s">
        <v>396</v>
      </c>
      <c r="Q286" s="1" t="str">
        <f>IF($B286=0,$M286,_xlfn.TEXTBEFORE(Q285,"/",$B286,,,Q285)&amp;"/"&amp;$M286)&amp;IF(_xlfn.TEXTAFTER($D286,"..",,,,1)&lt;&gt;"1","[0]","")</f>
        <v>*/Consignment/HouseConsignment[0]/ConsignmentItem[0]/PreviousDocument[0]/measurementUnitAndQualifier</v>
      </c>
      <c r="T286" s="19" t="s">
        <v>413</v>
      </c>
    </row>
    <row r="287" spans="1:20" ht="12" customHeight="1" outlineLevel="5" x14ac:dyDescent="0.25">
      <c r="A287" s="19" t="str">
        <f>$E$2</f>
        <v>CC013C
CC015C</v>
      </c>
      <c r="B287" s="1">
        <v>5</v>
      </c>
      <c r="C287" s="1" t="s">
        <v>17</v>
      </c>
      <c r="D287" s="19" t="s">
        <v>36</v>
      </c>
      <c r="E287" s="30" t="s">
        <v>397</v>
      </c>
      <c r="F287" s="24" t="s">
        <v>199</v>
      </c>
      <c r="G287" s="24" t="s">
        <v>38</v>
      </c>
      <c r="H287" s="3"/>
      <c r="I287" s="3"/>
      <c r="J287" s="3"/>
      <c r="K287" s="3"/>
      <c r="L287" s="3" t="s">
        <v>492</v>
      </c>
      <c r="M287" s="19" t="s">
        <v>398</v>
      </c>
      <c r="P287" s="19" t="s">
        <v>399</v>
      </c>
      <c r="Q287" s="1" t="str">
        <f>IF($B287=0,$M287,_xlfn.TEXTBEFORE(Q286,"/",$B287,,,Q286)&amp;"/"&amp;$M287)&amp;IF(_xlfn.TEXTAFTER($D287,"..",,,,1)&lt;&gt;"1","[0]","")</f>
        <v>*/Consignment/HouseConsignment[0]/ConsignmentItem[0]/PreviousDocument[0]/quantity</v>
      </c>
      <c r="T287" s="24" t="s">
        <v>432</v>
      </c>
    </row>
    <row r="288" spans="1:20" ht="12" customHeight="1" outlineLevel="5" x14ac:dyDescent="0.25">
      <c r="A288" s="19" t="str">
        <f>$E$2</f>
        <v>CC013C
CC015C</v>
      </c>
      <c r="B288" s="1">
        <v>5</v>
      </c>
      <c r="C288" s="1" t="s">
        <v>17</v>
      </c>
      <c r="D288" s="19" t="s">
        <v>36</v>
      </c>
      <c r="E288" s="30" t="s">
        <v>309</v>
      </c>
      <c r="F288" s="24" t="s">
        <v>101</v>
      </c>
      <c r="G288" s="24" t="s">
        <v>38</v>
      </c>
      <c r="H288" s="3"/>
      <c r="I288" s="3"/>
      <c r="J288" s="3"/>
      <c r="K288" s="3"/>
      <c r="L288" s="3" t="s">
        <v>482</v>
      </c>
      <c r="M288" s="19" t="s">
        <v>310</v>
      </c>
      <c r="P288" s="19" t="s">
        <v>311</v>
      </c>
      <c r="Q288" s="1" t="str">
        <f>IF($B288=0,$M288,_xlfn.TEXTBEFORE(Q287,"/",$B288,,,Q287)&amp;"/"&amp;$M288)&amp;IF(_xlfn.TEXTAFTER($D288,"..",,,,1)&lt;&gt;"1","[0]","")</f>
        <v>*/Consignment/HouseConsignment[0]/ConsignmentItem[0]/PreviousDocument[0]/complementOfInformation</v>
      </c>
      <c r="T288" s="24" t="s">
        <v>422</v>
      </c>
    </row>
    <row r="289" spans="1:20" ht="12" customHeight="1" outlineLevel="4" x14ac:dyDescent="0.25">
      <c r="A289" s="21" t="str">
        <f>$E$2</f>
        <v>CC013C
CC015C</v>
      </c>
      <c r="B289" s="4">
        <v>4</v>
      </c>
      <c r="C289" s="21" t="s">
        <v>41</v>
      </c>
      <c r="D289" s="21" t="s">
        <v>164</v>
      </c>
      <c r="E289" s="29" t="s">
        <v>312</v>
      </c>
      <c r="F289" s="6"/>
      <c r="G289" s="33" t="s">
        <v>38</v>
      </c>
      <c r="H289" s="6" t="s">
        <v>506</v>
      </c>
      <c r="I289" s="6"/>
      <c r="J289" s="6"/>
      <c r="K289" s="6"/>
      <c r="L289" s="6" t="s">
        <v>498</v>
      </c>
      <c r="M289" s="21" t="s">
        <v>313</v>
      </c>
      <c r="N289" s="4"/>
      <c r="O289" s="4"/>
      <c r="P289" s="4"/>
      <c r="Q289" s="1" t="str">
        <f>IF($B289=0,$M289,_xlfn.TEXTBEFORE(Q288,"/",$B289,,,Q288)&amp;"/"&amp;$M289)&amp;IF(_xlfn.TEXTAFTER($D289,"..",,,,1)&lt;&gt;"1","[0]","")</f>
        <v>*/Consignment/HouseConsignment[0]/ConsignmentItem[0]/SupportingDocument[0]</v>
      </c>
    </row>
    <row r="290" spans="1:20" ht="12" customHeight="1" outlineLevel="5" x14ac:dyDescent="0.25">
      <c r="A290" s="19" t="str">
        <f>$E$2</f>
        <v>CC013C
CC015C</v>
      </c>
      <c r="B290" s="1">
        <v>5</v>
      </c>
      <c r="C290" s="1" t="s">
        <v>17</v>
      </c>
      <c r="D290" s="19" t="s">
        <v>18</v>
      </c>
      <c r="E290" s="30" t="s">
        <v>93</v>
      </c>
      <c r="F290" s="24" t="s">
        <v>483</v>
      </c>
      <c r="G290" s="24" t="s">
        <v>21</v>
      </c>
      <c r="H290" s="3" t="s">
        <v>475</v>
      </c>
      <c r="I290" s="3"/>
      <c r="J290" s="3"/>
      <c r="K290" s="3"/>
      <c r="L290" s="3"/>
      <c r="M290" s="19" t="s">
        <v>95</v>
      </c>
      <c r="P290" s="19" t="s">
        <v>96</v>
      </c>
      <c r="Q290" s="1" t="str">
        <f>IF($B290=0,$M290,_xlfn.TEXTBEFORE(Q289,"/",$B290,,,Q289)&amp;"/"&amp;$M290)&amp;IF(_xlfn.TEXTAFTER($D290,"..",,,,1)&lt;&gt;"1","[0]","")</f>
        <v>*/Consignment/HouseConsignment[0]/ConsignmentItem[0]/SupportingDocument[0]/sequenceNumber</v>
      </c>
      <c r="T290" s="24" t="s">
        <v>421</v>
      </c>
    </row>
    <row r="291" spans="1:20" ht="12" customHeight="1" outlineLevel="5" x14ac:dyDescent="0.25">
      <c r="A291" s="19" t="str">
        <f>$E$2</f>
        <v>CC013C
CC015C</v>
      </c>
      <c r="B291" s="1">
        <v>5</v>
      </c>
      <c r="C291" s="1" t="s">
        <v>17</v>
      </c>
      <c r="D291" s="19" t="s">
        <v>18</v>
      </c>
      <c r="E291" s="30" t="s">
        <v>2</v>
      </c>
      <c r="F291" s="24" t="s">
        <v>306</v>
      </c>
      <c r="G291" s="24" t="s">
        <v>21</v>
      </c>
      <c r="H291" s="3" t="s">
        <v>505</v>
      </c>
      <c r="I291" s="3"/>
      <c r="J291" s="3" t="s">
        <v>507</v>
      </c>
      <c r="K291" s="3"/>
      <c r="L291" s="3" t="s">
        <v>500</v>
      </c>
      <c r="M291" s="19" t="s">
        <v>98</v>
      </c>
      <c r="P291" s="19" t="s">
        <v>307</v>
      </c>
      <c r="Q291" s="1" t="str">
        <f>IF($B291=0,$M291,_xlfn.TEXTBEFORE(Q290,"/",$B291,,,Q290)&amp;"/"&amp;$M291)&amp;IF(_xlfn.TEXTAFTER($D291,"..",,,,1)&lt;&gt;"1","[0]","")</f>
        <v>*/Consignment/HouseConsignment[0]/ConsignmentItem[0]/SupportingDocument[0]/type</v>
      </c>
      <c r="T291" s="19" t="s">
        <v>413</v>
      </c>
    </row>
    <row r="292" spans="1:20" ht="12" customHeight="1" outlineLevel="5" x14ac:dyDescent="0.25">
      <c r="A292" s="19" t="str">
        <f>$E$2</f>
        <v>CC013C
CC015C</v>
      </c>
      <c r="B292" s="1">
        <v>5</v>
      </c>
      <c r="C292" s="1" t="s">
        <v>17</v>
      </c>
      <c r="D292" s="19" t="s">
        <v>18</v>
      </c>
      <c r="E292" s="30" t="s">
        <v>100</v>
      </c>
      <c r="F292" s="24" t="s">
        <v>126</v>
      </c>
      <c r="G292" s="24" t="s">
        <v>21</v>
      </c>
      <c r="H292" s="3" t="s">
        <v>481</v>
      </c>
      <c r="I292" s="3"/>
      <c r="J292" s="3"/>
      <c r="K292" s="3"/>
      <c r="L292" s="3" t="s">
        <v>499</v>
      </c>
      <c r="M292" s="19" t="s">
        <v>102</v>
      </c>
      <c r="P292" s="19" t="s">
        <v>308</v>
      </c>
      <c r="Q292" s="1" t="str">
        <f>IF($B292=0,$M292,_xlfn.TEXTBEFORE(Q291,"/",$B292,,,Q291)&amp;"/"&amp;$M292)&amp;IF(_xlfn.TEXTAFTER($D292,"..",,,,1)&lt;&gt;"1","[0]","")</f>
        <v>*/Consignment/HouseConsignment[0]/ConsignmentItem[0]/SupportingDocument[0]/referenceNumber</v>
      </c>
      <c r="T292" s="24" t="s">
        <v>425</v>
      </c>
    </row>
    <row r="293" spans="1:20" ht="12" customHeight="1" outlineLevel="5" x14ac:dyDescent="0.25">
      <c r="A293" s="19" t="str">
        <f>$E$2</f>
        <v>CC013C
CC015C</v>
      </c>
      <c r="B293" s="1">
        <v>5</v>
      </c>
      <c r="C293" s="1" t="s">
        <v>17</v>
      </c>
      <c r="D293" s="19" t="s">
        <v>36</v>
      </c>
      <c r="E293" s="30" t="s">
        <v>314</v>
      </c>
      <c r="F293" s="24" t="s">
        <v>94</v>
      </c>
      <c r="G293" s="24" t="s">
        <v>38</v>
      </c>
      <c r="H293" s="3"/>
      <c r="I293" s="3"/>
      <c r="J293" s="3"/>
      <c r="K293" s="3"/>
      <c r="L293" s="3" t="s">
        <v>501</v>
      </c>
      <c r="M293" s="19" t="s">
        <v>315</v>
      </c>
      <c r="P293" s="19" t="s">
        <v>316</v>
      </c>
      <c r="Q293" s="1" t="str">
        <f>IF($B293=0,$M293,_xlfn.TEXTBEFORE(Q292,"/",$B293,,,Q292)&amp;"/"&amp;$M293)&amp;IF(_xlfn.TEXTAFTER($D293,"..",,,,1)&lt;&gt;"1","[0]","")</f>
        <v>*/Consignment/HouseConsignment[0]/ConsignmentItem[0]/SupportingDocument[0]/documentLineItemNumber</v>
      </c>
      <c r="T293" s="24" t="s">
        <v>421</v>
      </c>
    </row>
    <row r="294" spans="1:20" ht="12" customHeight="1" outlineLevel="5" x14ac:dyDescent="0.25">
      <c r="A294" s="19" t="str">
        <f>$E$2</f>
        <v>CC013C
CC015C</v>
      </c>
      <c r="B294" s="1">
        <v>5</v>
      </c>
      <c r="C294" s="1" t="s">
        <v>17</v>
      </c>
      <c r="D294" s="19" t="s">
        <v>36</v>
      </c>
      <c r="E294" s="30" t="s">
        <v>309</v>
      </c>
      <c r="F294" s="24" t="s">
        <v>101</v>
      </c>
      <c r="G294" s="24" t="s">
        <v>38</v>
      </c>
      <c r="H294" s="3"/>
      <c r="I294" s="3"/>
      <c r="J294" s="3"/>
      <c r="K294" s="3"/>
      <c r="L294" s="3" t="s">
        <v>502</v>
      </c>
      <c r="M294" s="19" t="s">
        <v>310</v>
      </c>
      <c r="P294" s="19" t="s">
        <v>311</v>
      </c>
      <c r="Q294" s="1" t="str">
        <f>IF($B294=0,$M294,_xlfn.TEXTBEFORE(Q293,"/",$B294,,,Q293)&amp;"/"&amp;$M294)&amp;IF(_xlfn.TEXTAFTER($D294,"..",,,,1)&lt;&gt;"1","[0]","")</f>
        <v>*/Consignment/HouseConsignment[0]/ConsignmentItem[0]/SupportingDocument[0]/complementOfInformation</v>
      </c>
      <c r="T294" s="24" t="s">
        <v>422</v>
      </c>
    </row>
    <row r="295" spans="1:20" ht="12" customHeight="1" outlineLevel="4" x14ac:dyDescent="0.25">
      <c r="A295" s="21" t="str">
        <f>$E$2</f>
        <v>CC013C
CC015C</v>
      </c>
      <c r="B295" s="4">
        <v>4</v>
      </c>
      <c r="C295" s="21" t="s">
        <v>41</v>
      </c>
      <c r="D295" s="21" t="s">
        <v>164</v>
      </c>
      <c r="E295" s="29" t="s">
        <v>319</v>
      </c>
      <c r="F295" s="6"/>
      <c r="G295" s="33" t="s">
        <v>38</v>
      </c>
      <c r="H295" s="6" t="s">
        <v>511</v>
      </c>
      <c r="I295" s="6"/>
      <c r="J295" s="6"/>
      <c r="K295" s="6"/>
      <c r="L295" s="6" t="s">
        <v>508</v>
      </c>
      <c r="M295" s="21" t="s">
        <v>320</v>
      </c>
      <c r="N295" s="4"/>
      <c r="O295" s="4"/>
      <c r="P295" s="4"/>
      <c r="Q295" s="1" t="str">
        <f>IF($B295=0,$M295,_xlfn.TEXTBEFORE(Q294,"/",$B295,,,Q294)&amp;"/"&amp;$M295)&amp;IF(_xlfn.TEXTAFTER($D295,"..",,,,1)&lt;&gt;"1","[0]","")</f>
        <v>*/Consignment/HouseConsignment[0]/ConsignmentItem[0]/AdditionalReference[0]</v>
      </c>
    </row>
    <row r="296" spans="1:20" ht="12" customHeight="1" outlineLevel="5" x14ac:dyDescent="0.25">
      <c r="A296" s="19" t="str">
        <f>$E$2</f>
        <v>CC013C
CC015C</v>
      </c>
      <c r="B296" s="1">
        <v>5</v>
      </c>
      <c r="C296" s="1" t="s">
        <v>17</v>
      </c>
      <c r="D296" s="19" t="s">
        <v>18</v>
      </c>
      <c r="E296" s="30" t="s">
        <v>93</v>
      </c>
      <c r="F296" s="24" t="s">
        <v>483</v>
      </c>
      <c r="G296" s="24" t="s">
        <v>21</v>
      </c>
      <c r="H296" s="3" t="s">
        <v>475</v>
      </c>
      <c r="I296" s="3"/>
      <c r="J296" s="3"/>
      <c r="K296" s="3"/>
      <c r="L296" s="3"/>
      <c r="M296" s="19" t="s">
        <v>95</v>
      </c>
      <c r="P296" s="19" t="s">
        <v>96</v>
      </c>
      <c r="Q296" s="1" t="str">
        <f>IF($B296=0,$M296,_xlfn.TEXTBEFORE(Q295,"/",$B296,,,Q295)&amp;"/"&amp;$M296)&amp;IF(_xlfn.TEXTAFTER($D296,"..",,,,1)&lt;&gt;"1","[0]","")</f>
        <v>*/Consignment/HouseConsignment[0]/ConsignmentItem[0]/AdditionalReference[0]/sequenceNumber</v>
      </c>
      <c r="T296" s="24" t="s">
        <v>421</v>
      </c>
    </row>
    <row r="297" spans="1:20" ht="12" customHeight="1" outlineLevel="5" x14ac:dyDescent="0.25">
      <c r="A297" s="19" t="str">
        <f>$E$2</f>
        <v>CC013C
CC015C</v>
      </c>
      <c r="B297" s="1">
        <v>5</v>
      </c>
      <c r="C297" s="1" t="s">
        <v>17</v>
      </c>
      <c r="D297" s="19" t="s">
        <v>18</v>
      </c>
      <c r="E297" s="30" t="s">
        <v>2</v>
      </c>
      <c r="F297" s="24" t="s">
        <v>306</v>
      </c>
      <c r="G297" s="24" t="s">
        <v>21</v>
      </c>
      <c r="H297" s="3" t="s">
        <v>505</v>
      </c>
      <c r="I297" s="3"/>
      <c r="J297" s="3" t="s">
        <v>512</v>
      </c>
      <c r="K297" s="3"/>
      <c r="L297" s="3" t="s">
        <v>509</v>
      </c>
      <c r="M297" s="19" t="s">
        <v>98</v>
      </c>
      <c r="P297" s="19" t="s">
        <v>307</v>
      </c>
      <c r="Q297" s="1" t="str">
        <f>IF($B297=0,$M297,_xlfn.TEXTBEFORE(Q296,"/",$B297,,,Q296)&amp;"/"&amp;$M297)&amp;IF(_xlfn.TEXTAFTER($D297,"..",,,,1)&lt;&gt;"1","[0]","")</f>
        <v>*/Consignment/HouseConsignment[0]/ConsignmentItem[0]/AdditionalReference[0]/type</v>
      </c>
      <c r="T297" s="19" t="s">
        <v>413</v>
      </c>
    </row>
    <row r="298" spans="1:20" ht="12" customHeight="1" outlineLevel="5" x14ac:dyDescent="0.25">
      <c r="A298" s="19" t="str">
        <f>$E$2</f>
        <v>CC013C
CC015C</v>
      </c>
      <c r="B298" s="1">
        <v>5</v>
      </c>
      <c r="C298" s="1" t="s">
        <v>17</v>
      </c>
      <c r="D298" s="19" t="s">
        <v>36</v>
      </c>
      <c r="E298" s="30" t="s">
        <v>100</v>
      </c>
      <c r="F298" s="24" t="s">
        <v>126</v>
      </c>
      <c r="G298" s="24" t="s">
        <v>38</v>
      </c>
      <c r="H298" s="3" t="s">
        <v>481</v>
      </c>
      <c r="I298" s="3"/>
      <c r="J298" s="3"/>
      <c r="K298" s="3"/>
      <c r="L298" s="3" t="s">
        <v>510</v>
      </c>
      <c r="M298" s="19" t="s">
        <v>102</v>
      </c>
      <c r="P298" s="19" t="s">
        <v>308</v>
      </c>
      <c r="Q298" s="1" t="str">
        <f>IF($B298=0,$M298,_xlfn.TEXTBEFORE(Q297,"/",$B298,,,Q297)&amp;"/"&amp;$M298)&amp;IF(_xlfn.TEXTAFTER($D298,"..",,,,1)&lt;&gt;"1","[0]","")</f>
        <v>*/Consignment/HouseConsignment[0]/ConsignmentItem[0]/AdditionalReference[0]/referenceNumber</v>
      </c>
      <c r="T298" s="24" t="s">
        <v>425</v>
      </c>
    </row>
    <row r="299" spans="1:20" ht="12" customHeight="1" outlineLevel="4" x14ac:dyDescent="0.25">
      <c r="A299" s="21" t="str">
        <f>$E$2</f>
        <v>CC013C
CC015C</v>
      </c>
      <c r="B299" s="4">
        <v>4</v>
      </c>
      <c r="C299" s="21" t="s">
        <v>41</v>
      </c>
      <c r="D299" s="21" t="s">
        <v>164</v>
      </c>
      <c r="E299" s="29" t="s">
        <v>321</v>
      </c>
      <c r="F299" s="6"/>
      <c r="G299" s="33" t="s">
        <v>38</v>
      </c>
      <c r="H299" s="6" t="s">
        <v>467</v>
      </c>
      <c r="I299" s="6"/>
      <c r="J299" s="6"/>
      <c r="K299" s="6"/>
      <c r="L299" s="6" t="s">
        <v>493</v>
      </c>
      <c r="M299" s="21" t="s">
        <v>322</v>
      </c>
      <c r="N299" s="4"/>
      <c r="O299" s="4"/>
      <c r="P299" s="4"/>
      <c r="Q299" s="1" t="str">
        <f>IF($B299=0,$M299,_xlfn.TEXTBEFORE(Q298,"/",$B299,,,Q298)&amp;"/"&amp;$M299)&amp;IF(_xlfn.TEXTAFTER($D299,"..",,,,1)&lt;&gt;"1","[0]","")</f>
        <v>*/Consignment/HouseConsignment[0]/ConsignmentItem[0]/AdditionalInformation[0]</v>
      </c>
    </row>
    <row r="300" spans="1:20" ht="12" customHeight="1" outlineLevel="5" x14ac:dyDescent="0.25">
      <c r="A300" s="19" t="str">
        <f>$E$2</f>
        <v>CC013C
CC015C</v>
      </c>
      <c r="B300" s="1">
        <v>5</v>
      </c>
      <c r="C300" s="1" t="s">
        <v>17</v>
      </c>
      <c r="D300" s="19" t="s">
        <v>18</v>
      </c>
      <c r="E300" s="30" t="s">
        <v>93</v>
      </c>
      <c r="F300" s="24" t="s">
        <v>483</v>
      </c>
      <c r="G300" s="24" t="s">
        <v>21</v>
      </c>
      <c r="H300" s="3" t="s">
        <v>475</v>
      </c>
      <c r="I300" s="3"/>
      <c r="J300" s="3"/>
      <c r="K300" s="3"/>
      <c r="L300" s="3"/>
      <c r="M300" s="19" t="s">
        <v>95</v>
      </c>
      <c r="P300" s="19" t="s">
        <v>96</v>
      </c>
      <c r="Q300" s="1" t="str">
        <f>IF($B300=0,$M300,_xlfn.TEXTBEFORE(Q299,"/",$B300,,,Q299)&amp;"/"&amp;$M300)&amp;IF(_xlfn.TEXTAFTER($D300,"..",,,,1)&lt;&gt;"1","[0]","")</f>
        <v>*/Consignment/HouseConsignment[0]/ConsignmentItem[0]/AdditionalInformation[0]/sequenceNumber</v>
      </c>
      <c r="T300" s="24" t="s">
        <v>421</v>
      </c>
    </row>
    <row r="301" spans="1:20" ht="12" customHeight="1" outlineLevel="5" x14ac:dyDescent="0.25">
      <c r="A301" s="19" t="str">
        <f>$E$2</f>
        <v>CC013C
CC015C</v>
      </c>
      <c r="B301" s="1">
        <v>5</v>
      </c>
      <c r="C301" s="1" t="s">
        <v>17</v>
      </c>
      <c r="D301" s="19" t="s">
        <v>18</v>
      </c>
      <c r="E301" s="30" t="s">
        <v>323</v>
      </c>
      <c r="F301" s="24" t="s">
        <v>324</v>
      </c>
      <c r="G301" s="24" t="s">
        <v>21</v>
      </c>
      <c r="H301" s="3" t="s">
        <v>497</v>
      </c>
      <c r="I301" s="3"/>
      <c r="J301" s="3"/>
      <c r="K301" s="3"/>
      <c r="L301" s="3" t="s">
        <v>495</v>
      </c>
      <c r="M301" s="19" t="s">
        <v>325</v>
      </c>
      <c r="P301" s="19" t="s">
        <v>326</v>
      </c>
      <c r="Q301" s="1" t="str">
        <f>IF($B301=0,$M301,_xlfn.TEXTBEFORE(Q300,"/",$B301,,,Q300)&amp;"/"&amp;$M301)&amp;IF(_xlfn.TEXTAFTER($D301,"..",,,,1)&lt;&gt;"1","[0]","")</f>
        <v>*/Consignment/HouseConsignment[0]/ConsignmentItem[0]/AdditionalInformation[0]/code</v>
      </c>
      <c r="T301" s="19" t="s">
        <v>413</v>
      </c>
    </row>
    <row r="302" spans="1:20" ht="12" customHeight="1" outlineLevel="5" x14ac:dyDescent="0.25">
      <c r="A302" s="19" t="str">
        <f>$E$2</f>
        <v>CC013C
CC015C</v>
      </c>
      <c r="B302" s="1">
        <v>5</v>
      </c>
      <c r="C302" s="1" t="s">
        <v>17</v>
      </c>
      <c r="D302" s="19" t="s">
        <v>36</v>
      </c>
      <c r="E302" s="30" t="s">
        <v>327</v>
      </c>
      <c r="F302" s="24" t="s">
        <v>328</v>
      </c>
      <c r="G302" s="24" t="s">
        <v>38</v>
      </c>
      <c r="H302" s="3"/>
      <c r="I302" s="3"/>
      <c r="J302" s="3"/>
      <c r="K302" s="3"/>
      <c r="L302" s="3" t="s">
        <v>496</v>
      </c>
      <c r="M302" s="19" t="s">
        <v>329</v>
      </c>
      <c r="P302" s="19" t="s">
        <v>330</v>
      </c>
      <c r="Q302" s="1" t="str">
        <f>IF($B302=0,$M302,_xlfn.TEXTBEFORE(Q301,"/",$B302,,,Q301)&amp;"/"&amp;$M302)&amp;IF(_xlfn.TEXTAFTER($D302,"..",,,,1)&lt;&gt;"1","[0]","")</f>
        <v>*/Consignment/HouseConsignment[0]/ConsignmentItem[0]/AdditionalInformation[0]/text</v>
      </c>
      <c r="T302" s="24" t="s">
        <v>443</v>
      </c>
    </row>
    <row r="303" spans="1:20" ht="12" customHeight="1" x14ac:dyDescent="0.25"/>
  </sheetData>
  <conditionalFormatting sqref="A1:P303">
    <cfRule type="cellIs" priority="1" stopIfTrue="1" operator="equal">
      <formula>INDIRECT(ADDRESS(ROW(),COLUMN(),1,1,"compare"))</formula>
    </cfRule>
    <cfRule type="cellIs" dxfId="2" priority="2" stopIfTrue="1" operator="equal">
      <formula>""</formula>
    </cfRule>
    <cfRule type="expression" dxfId="1" priority="3" stopIfTrue="1">
      <formula>INDIRECT(ADDRESS(ROW(),COLUMN(),1,1,"compare"))=""</formula>
    </cfRule>
    <cfRule type="cellIs" dxfId="0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1012A-1366-4AD7-B0D8-780BD24CB057}">
  <sheetPr codeName="Ark5">
    <tabColor rgb="FF00B0F0"/>
    <outlinePr summaryBelow="0" summaryRight="0"/>
  </sheetPr>
  <dimension ref="A1:R302"/>
  <sheetViews>
    <sheetView workbookViewId="0">
      <pane xSplit="1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E2" sqref="E2"/>
    </sheetView>
  </sheetViews>
  <sheetFormatPr defaultColWidth="11.5703125" defaultRowHeight="12" outlineLevelRow="4" x14ac:dyDescent="0.25"/>
  <cols>
    <col min="1" max="3" width="0" style="1" hidden="1" customWidth="1"/>
    <col min="4" max="4" width="6.7109375" style="1" customWidth="1"/>
    <col min="5" max="5" width="70.7109375" style="1" customWidth="1"/>
    <col min="6" max="11" width="8.7109375" style="1" customWidth="1"/>
    <col min="12" max="14" width="24.7109375" style="1" customWidth="1"/>
    <col min="15" max="15" width="0" style="1" hidden="1" customWidth="1"/>
    <col min="16" max="17" width="24.7109375" style="1" customWidth="1"/>
    <col min="18" max="16384" width="11.5703125" style="1"/>
  </cols>
  <sheetData>
    <row r="1" spans="1:18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409</v>
      </c>
      <c r="K1" s="3" t="s">
        <v>9</v>
      </c>
      <c r="L1" s="3" t="s">
        <v>410</v>
      </c>
      <c r="M1" s="1" t="s">
        <v>10</v>
      </c>
      <c r="N1" s="1" t="s">
        <v>411</v>
      </c>
      <c r="P1" s="1" t="s">
        <v>11</v>
      </c>
      <c r="Q1" s="1" t="s">
        <v>12</v>
      </c>
      <c r="R1" s="1" t="s">
        <v>412</v>
      </c>
    </row>
    <row r="2" spans="1:18" ht="12" customHeight="1" x14ac:dyDescent="0.25">
      <c r="A2" s="1" t="str">
        <f t="shared" ref="A2:A137" si="0">$E$2</f>
        <v>CC170C</v>
      </c>
      <c r="B2" s="1">
        <v>0</v>
      </c>
      <c r="C2" s="1" t="s">
        <v>13</v>
      </c>
      <c r="E2" s="1" t="s">
        <v>402</v>
      </c>
      <c r="F2" s="3"/>
      <c r="G2" s="3"/>
      <c r="H2" s="3"/>
      <c r="I2" s="3"/>
      <c r="J2" s="3"/>
      <c r="K2" s="3"/>
      <c r="L2" s="3"/>
      <c r="M2" s="1" t="s">
        <v>15</v>
      </c>
      <c r="P2" s="1" t="s">
        <v>403</v>
      </c>
      <c r="Q2" s="1" t="str">
        <f t="shared" ref="Q2:Q137" si="1">IF($B2=0,$M2,_xlfn.TEXTBEFORE(Q1,"/",$B2,,,Q1)&amp;"/"&amp;$M2)&amp;IF(_xlfn.TEXTAFTER($D2,"..",,,,1)&lt;&gt;"1","[0]","")</f>
        <v>*</v>
      </c>
    </row>
    <row r="3" spans="1:18" ht="12" customHeight="1" outlineLevel="1" x14ac:dyDescent="0.25">
      <c r="A3" s="1" t="str">
        <f t="shared" si="0"/>
        <v>CC170C</v>
      </c>
      <c r="B3" s="1">
        <v>1</v>
      </c>
      <c r="C3" s="1" t="s">
        <v>17</v>
      </c>
      <c r="D3" s="1" t="s">
        <v>18</v>
      </c>
      <c r="E3" s="2" t="s">
        <v>19</v>
      </c>
      <c r="F3" s="3" t="s">
        <v>20</v>
      </c>
      <c r="G3" s="3" t="s">
        <v>21</v>
      </c>
      <c r="H3" s="3"/>
      <c r="I3" s="3"/>
      <c r="J3" s="3"/>
      <c r="K3" s="3"/>
      <c r="L3" s="3"/>
      <c r="M3" s="1" t="s">
        <v>22</v>
      </c>
      <c r="P3" s="1" t="s">
        <v>23</v>
      </c>
      <c r="Q3" s="1" t="str">
        <f t="shared" si="1"/>
        <v>*/messageSender</v>
      </c>
    </row>
    <row r="4" spans="1:18" ht="12" customHeight="1" outlineLevel="1" x14ac:dyDescent="0.25">
      <c r="A4" s="1" t="str">
        <f t="shared" si="0"/>
        <v>CC170C</v>
      </c>
      <c r="B4" s="1">
        <v>1</v>
      </c>
      <c r="C4" s="1" t="s">
        <v>17</v>
      </c>
      <c r="D4" s="1" t="s">
        <v>18</v>
      </c>
      <c r="E4" s="2" t="s">
        <v>24</v>
      </c>
      <c r="F4" s="3" t="s">
        <v>20</v>
      </c>
      <c r="G4" s="3" t="s">
        <v>21</v>
      </c>
      <c r="H4" s="3"/>
      <c r="I4" s="3"/>
      <c r="J4" s="3"/>
      <c r="K4" s="3"/>
      <c r="L4" s="3"/>
      <c r="M4" s="1" t="s">
        <v>25</v>
      </c>
      <c r="P4" s="1" t="s">
        <v>26</v>
      </c>
      <c r="Q4" s="1" t="str">
        <f t="shared" si="1"/>
        <v>*/messageRecipient</v>
      </c>
    </row>
    <row r="5" spans="1:18" ht="12" customHeight="1" outlineLevel="1" x14ac:dyDescent="0.25">
      <c r="A5" s="1" t="str">
        <f t="shared" si="0"/>
        <v>CC170C</v>
      </c>
      <c r="B5" s="1">
        <v>1</v>
      </c>
      <c r="C5" s="1" t="s">
        <v>17</v>
      </c>
      <c r="D5" s="1" t="s">
        <v>18</v>
      </c>
      <c r="E5" s="2" t="s">
        <v>27</v>
      </c>
      <c r="F5" s="3" t="s">
        <v>65</v>
      </c>
      <c r="G5" s="3" t="s">
        <v>21</v>
      </c>
      <c r="H5" s="3"/>
      <c r="I5" s="3"/>
      <c r="J5" s="3"/>
      <c r="K5" s="3"/>
      <c r="L5" s="3"/>
      <c r="M5" s="1" t="s">
        <v>28</v>
      </c>
      <c r="P5" s="1" t="s">
        <v>29</v>
      </c>
      <c r="Q5" s="1" t="str">
        <f t="shared" si="1"/>
        <v>*/preparationDateAndTime</v>
      </c>
    </row>
    <row r="6" spans="1:18" ht="12" customHeight="1" outlineLevel="1" x14ac:dyDescent="0.25">
      <c r="A6" s="1" t="str">
        <f t="shared" si="0"/>
        <v>CC170C</v>
      </c>
      <c r="B6" s="1">
        <v>1</v>
      </c>
      <c r="C6" s="1" t="s">
        <v>17</v>
      </c>
      <c r="D6" s="1" t="s">
        <v>18</v>
      </c>
      <c r="E6" s="2" t="s">
        <v>30</v>
      </c>
      <c r="F6" s="3" t="s">
        <v>20</v>
      </c>
      <c r="G6" s="3" t="s">
        <v>21</v>
      </c>
      <c r="H6" s="3"/>
      <c r="I6" s="3"/>
      <c r="J6" s="3"/>
      <c r="K6" s="3"/>
      <c r="L6" s="3"/>
      <c r="M6" s="1" t="s">
        <v>31</v>
      </c>
      <c r="P6" s="1" t="s">
        <v>32</v>
      </c>
      <c r="Q6" s="1" t="str">
        <f t="shared" si="1"/>
        <v>*/messageIdentification</v>
      </c>
    </row>
    <row r="7" spans="1:18" ht="12" customHeight="1" outlineLevel="1" x14ac:dyDescent="0.25">
      <c r="A7" s="1" t="str">
        <f t="shared" si="0"/>
        <v>CC170C</v>
      </c>
      <c r="B7" s="1">
        <v>1</v>
      </c>
      <c r="C7" s="1" t="s">
        <v>17</v>
      </c>
      <c r="D7" s="1" t="s">
        <v>18</v>
      </c>
      <c r="E7" s="2" t="s">
        <v>33</v>
      </c>
      <c r="F7" s="3" t="s">
        <v>452</v>
      </c>
      <c r="G7" s="3" t="s">
        <v>21</v>
      </c>
      <c r="H7" s="3"/>
      <c r="I7" s="3"/>
      <c r="J7" s="3" t="s">
        <v>451</v>
      </c>
      <c r="K7" s="3"/>
      <c r="L7" s="3"/>
      <c r="M7" s="1" t="s">
        <v>34</v>
      </c>
      <c r="P7" s="1" t="s">
        <v>35</v>
      </c>
      <c r="Q7" s="1" t="str">
        <f t="shared" si="1"/>
        <v>*/messageType</v>
      </c>
    </row>
    <row r="8" spans="1:18" ht="12" customHeight="1" outlineLevel="1" x14ac:dyDescent="0.25">
      <c r="A8" s="1" t="str">
        <f t="shared" si="0"/>
        <v>CC170C</v>
      </c>
      <c r="B8" s="1">
        <v>1</v>
      </c>
      <c r="C8" s="1" t="s">
        <v>17</v>
      </c>
      <c r="D8" s="1" t="s">
        <v>36</v>
      </c>
      <c r="E8" s="2" t="s">
        <v>37</v>
      </c>
      <c r="F8" s="3" t="s">
        <v>20</v>
      </c>
      <c r="G8" s="3" t="s">
        <v>450</v>
      </c>
      <c r="H8" s="3" t="s">
        <v>454</v>
      </c>
      <c r="I8" s="3" t="s">
        <v>453</v>
      </c>
      <c r="J8" s="3"/>
      <c r="K8" s="3"/>
      <c r="L8" s="3"/>
      <c r="M8" s="1" t="s">
        <v>39</v>
      </c>
      <c r="P8" s="1" t="s">
        <v>40</v>
      </c>
      <c r="Q8" s="1" t="str">
        <f t="shared" si="1"/>
        <v>*/correlationIdentifier</v>
      </c>
    </row>
    <row r="9" spans="1:18" ht="12" customHeight="1" outlineLevel="1" x14ac:dyDescent="0.25">
      <c r="A9" s="4" t="str">
        <f t="shared" si="0"/>
        <v>CC170C</v>
      </c>
      <c r="B9" s="4">
        <v>1</v>
      </c>
      <c r="C9" s="4" t="s">
        <v>41</v>
      </c>
      <c r="D9" s="4" t="s">
        <v>18</v>
      </c>
      <c r="E9" s="5" t="s">
        <v>42</v>
      </c>
      <c r="F9" s="6"/>
      <c r="G9" s="6" t="s">
        <v>21</v>
      </c>
      <c r="H9" s="6"/>
      <c r="I9" s="6"/>
      <c r="J9" s="6"/>
      <c r="K9" s="6"/>
      <c r="L9" s="6"/>
      <c r="M9" s="4" t="s">
        <v>43</v>
      </c>
      <c r="N9" s="4"/>
      <c r="O9" s="4"/>
      <c r="Q9" s="1" t="str">
        <f t="shared" si="1"/>
        <v>*/TransitOperation</v>
      </c>
    </row>
    <row r="10" spans="1:18" ht="12" customHeight="1" outlineLevel="2" x14ac:dyDescent="0.25">
      <c r="A10" s="1" t="str">
        <f t="shared" si="0"/>
        <v>CC170C</v>
      </c>
      <c r="B10" s="1">
        <v>2</v>
      </c>
      <c r="C10" s="1" t="s">
        <v>17</v>
      </c>
      <c r="D10" s="1" t="s">
        <v>18</v>
      </c>
      <c r="E10" s="7" t="s">
        <v>44</v>
      </c>
      <c r="F10" s="3" t="s">
        <v>45</v>
      </c>
      <c r="G10" s="3" t="s">
        <v>450</v>
      </c>
      <c r="H10" s="3"/>
      <c r="I10" s="3"/>
      <c r="J10" s="3"/>
      <c r="K10" s="3"/>
      <c r="L10" s="3" t="s">
        <v>524</v>
      </c>
      <c r="M10" s="1" t="s">
        <v>46</v>
      </c>
      <c r="P10" s="1" t="s">
        <v>47</v>
      </c>
      <c r="Q10" s="1" t="str">
        <f t="shared" si="1"/>
        <v>*/TransitOperation/LRN</v>
      </c>
    </row>
    <row r="11" spans="1:18" ht="12" customHeight="1" outlineLevel="2" x14ac:dyDescent="0.25">
      <c r="E11" s="7"/>
      <c r="F11" s="3"/>
      <c r="G11" s="3"/>
      <c r="H11" s="3"/>
      <c r="I11" s="3"/>
      <c r="J11" s="3"/>
      <c r="K11" s="3"/>
      <c r="L11" s="3"/>
    </row>
    <row r="12" spans="1:18" ht="12" customHeight="1" outlineLevel="2" x14ac:dyDescent="0.25">
      <c r="E12" s="7"/>
      <c r="F12" s="3"/>
      <c r="G12" s="3"/>
      <c r="H12" s="3"/>
      <c r="I12" s="3"/>
      <c r="J12" s="3"/>
      <c r="K12" s="3"/>
      <c r="L12" s="3"/>
    </row>
    <row r="13" spans="1:18" ht="12" customHeight="1" outlineLevel="2" x14ac:dyDescent="0.25">
      <c r="E13" s="7"/>
      <c r="F13" s="3"/>
      <c r="G13" s="3"/>
      <c r="H13" s="3"/>
      <c r="I13" s="3"/>
      <c r="J13" s="3"/>
      <c r="K13" s="3"/>
      <c r="L13" s="3"/>
    </row>
    <row r="14" spans="1:18" ht="12" customHeight="1" outlineLevel="2" x14ac:dyDescent="0.25">
      <c r="E14" s="7"/>
      <c r="F14" s="3"/>
      <c r="G14" s="3"/>
      <c r="H14" s="3"/>
      <c r="I14" s="3"/>
      <c r="J14" s="3"/>
      <c r="K14" s="3"/>
      <c r="L14" s="3"/>
    </row>
    <row r="15" spans="1:18" ht="12" customHeight="1" outlineLevel="2" x14ac:dyDescent="0.25">
      <c r="E15" s="7"/>
      <c r="F15" s="3"/>
      <c r="G15" s="3"/>
      <c r="H15" s="3"/>
      <c r="I15" s="3"/>
      <c r="J15" s="3"/>
      <c r="K15" s="3"/>
      <c r="L15" s="3"/>
    </row>
    <row r="16" spans="1:18" ht="12" customHeight="1" outlineLevel="2" x14ac:dyDescent="0.25">
      <c r="E16" s="7"/>
      <c r="F16" s="3"/>
      <c r="G16" s="3"/>
      <c r="H16" s="3"/>
      <c r="I16" s="3"/>
      <c r="J16" s="3"/>
      <c r="K16" s="3"/>
      <c r="L16" s="3"/>
    </row>
    <row r="17" spans="1:17" ht="12" customHeight="1" outlineLevel="2" x14ac:dyDescent="0.25">
      <c r="E17" s="7"/>
      <c r="F17" s="3"/>
      <c r="G17" s="3"/>
      <c r="H17" s="3"/>
      <c r="I17" s="3"/>
      <c r="J17" s="3"/>
      <c r="K17" s="3"/>
      <c r="L17" s="3"/>
    </row>
    <row r="18" spans="1:17" ht="12" customHeight="1" outlineLevel="2" x14ac:dyDescent="0.25">
      <c r="E18" s="7"/>
      <c r="F18" s="3"/>
      <c r="G18" s="3"/>
      <c r="H18" s="3"/>
      <c r="I18" s="3"/>
      <c r="J18" s="3"/>
      <c r="K18" s="3"/>
      <c r="L18" s="3"/>
    </row>
    <row r="19" spans="1:17" ht="12" customHeight="1" outlineLevel="2" x14ac:dyDescent="0.25">
      <c r="E19" s="7"/>
      <c r="F19" s="3"/>
      <c r="G19" s="3"/>
      <c r="H19" s="3"/>
      <c r="I19" s="3"/>
      <c r="J19" s="3"/>
      <c r="K19" s="3"/>
      <c r="L19" s="3"/>
    </row>
    <row r="20" spans="1:17" ht="12" customHeight="1" outlineLevel="2" x14ac:dyDescent="0.25">
      <c r="E20" s="7"/>
      <c r="F20" s="3"/>
      <c r="G20" s="3"/>
      <c r="H20" s="3"/>
      <c r="I20" s="3"/>
      <c r="J20" s="3"/>
      <c r="K20" s="3"/>
      <c r="L20" s="3"/>
    </row>
    <row r="21" spans="1:17" ht="12" customHeight="1" outlineLevel="2" x14ac:dyDescent="0.25">
      <c r="E21" s="7"/>
      <c r="F21" s="3"/>
      <c r="G21" s="3"/>
      <c r="H21" s="3"/>
      <c r="I21" s="3"/>
      <c r="J21" s="3"/>
      <c r="K21" s="3"/>
      <c r="L21" s="3"/>
    </row>
    <row r="22" spans="1:17" ht="12" customHeight="1" outlineLevel="2" x14ac:dyDescent="0.25">
      <c r="A22" s="1" t="str">
        <f t="shared" si="0"/>
        <v>CC170C</v>
      </c>
      <c r="B22" s="1">
        <v>2</v>
      </c>
      <c r="C22" s="1" t="s">
        <v>17</v>
      </c>
      <c r="D22" s="1" t="s">
        <v>36</v>
      </c>
      <c r="E22" s="7" t="s">
        <v>87</v>
      </c>
      <c r="F22" s="3" t="s">
        <v>88</v>
      </c>
      <c r="G22" s="3" t="s">
        <v>450</v>
      </c>
      <c r="H22" s="3" t="s">
        <v>458</v>
      </c>
      <c r="I22" s="3" t="s">
        <v>457</v>
      </c>
      <c r="J22" s="3"/>
      <c r="K22" s="3"/>
      <c r="L22" s="3"/>
      <c r="M22" s="1" t="s">
        <v>89</v>
      </c>
      <c r="P22" s="1" t="s">
        <v>90</v>
      </c>
      <c r="Q22" s="1" t="str">
        <f>IF($B22=0,$M22,_xlfn.TEXTBEFORE(Q10,"/",$B22,,,Q10)&amp;"/"&amp;$M22)&amp;IF(_xlfn.TEXTAFTER($D22,"..",,,,1)&lt;&gt;"1","[0]","")</f>
        <v>*/TransitOperation/limitDate</v>
      </c>
    </row>
    <row r="23" spans="1:17" ht="12" customHeight="1" outlineLevel="1" x14ac:dyDescent="0.25">
      <c r="E23" s="7"/>
      <c r="F23" s="3"/>
      <c r="G23" s="3"/>
      <c r="H23" s="3"/>
      <c r="I23" s="3"/>
      <c r="J23" s="3"/>
      <c r="K23" s="3"/>
      <c r="L23" s="3"/>
    </row>
    <row r="24" spans="1:17" ht="12" customHeight="1" outlineLevel="2" x14ac:dyDescent="0.25">
      <c r="E24" s="7"/>
      <c r="F24" s="3"/>
      <c r="G24" s="3"/>
      <c r="H24" s="3"/>
      <c r="I24" s="3"/>
      <c r="J24" s="3"/>
      <c r="K24" s="3"/>
      <c r="L24" s="3"/>
    </row>
    <row r="25" spans="1:17" ht="12" customHeight="1" outlineLevel="2" x14ac:dyDescent="0.25">
      <c r="E25" s="7"/>
      <c r="F25" s="3"/>
      <c r="G25" s="3"/>
      <c r="H25" s="3"/>
      <c r="I25" s="3"/>
      <c r="J25" s="3"/>
      <c r="K25" s="3"/>
      <c r="L25" s="3"/>
    </row>
    <row r="26" spans="1:17" ht="12" customHeight="1" outlineLevel="2" x14ac:dyDescent="0.25">
      <c r="E26" s="7"/>
      <c r="F26" s="3"/>
      <c r="G26" s="3"/>
      <c r="H26" s="3"/>
      <c r="I26" s="3"/>
      <c r="J26" s="3"/>
      <c r="K26" s="3"/>
      <c r="L26" s="3"/>
    </row>
    <row r="27" spans="1:17" ht="12" customHeight="1" outlineLevel="1" x14ac:dyDescent="0.25">
      <c r="A27" s="4" t="str">
        <f t="shared" si="0"/>
        <v>CC170C</v>
      </c>
      <c r="B27" s="4">
        <v>1</v>
      </c>
      <c r="C27" s="4" t="s">
        <v>41</v>
      </c>
      <c r="D27" s="4" t="s">
        <v>18</v>
      </c>
      <c r="E27" s="5" t="s">
        <v>104</v>
      </c>
      <c r="F27" s="6"/>
      <c r="G27" s="6" t="s">
        <v>21</v>
      </c>
      <c r="H27" s="6"/>
      <c r="I27" s="6"/>
      <c r="J27" s="6"/>
      <c r="K27" s="6"/>
      <c r="L27" s="6" t="s">
        <v>669</v>
      </c>
      <c r="M27" s="4" t="s">
        <v>105</v>
      </c>
      <c r="N27" s="4"/>
      <c r="O27" s="4"/>
      <c r="Q27" s="1" t="str">
        <f>IF($B27=0,$M27,_xlfn.TEXTBEFORE(Q22,"/",$B27,,,Q22)&amp;"/"&amp;$M27)&amp;IF(_xlfn.TEXTAFTER($D27,"..",,,,1)&lt;&gt;"1","[0]","")</f>
        <v>*/CustomsOfficeOfDeparture</v>
      </c>
    </row>
    <row r="28" spans="1:17" ht="12" customHeight="1" outlineLevel="2" x14ac:dyDescent="0.25">
      <c r="A28" s="1" t="str">
        <f t="shared" si="0"/>
        <v>CC170C</v>
      </c>
      <c r="B28" s="1">
        <v>2</v>
      </c>
      <c r="C28" s="1" t="s">
        <v>17</v>
      </c>
      <c r="D28" s="1" t="s">
        <v>18</v>
      </c>
      <c r="E28" s="7" t="s">
        <v>100</v>
      </c>
      <c r="F28" s="3" t="s">
        <v>106</v>
      </c>
      <c r="G28" s="3" t="s">
        <v>21</v>
      </c>
      <c r="H28" s="3" t="s">
        <v>671</v>
      </c>
      <c r="I28" s="3"/>
      <c r="J28" s="3" t="s">
        <v>645</v>
      </c>
      <c r="K28" s="3"/>
      <c r="L28" s="3" t="s">
        <v>670</v>
      </c>
      <c r="M28" s="1" t="s">
        <v>102</v>
      </c>
      <c r="P28" s="1" t="s">
        <v>107</v>
      </c>
      <c r="Q28" s="1" t="str">
        <f t="shared" si="1"/>
        <v>*/CustomsOfficeOfDeparture/referenceNumber</v>
      </c>
    </row>
    <row r="29" spans="1:17" ht="12" customHeight="1" outlineLevel="1" x14ac:dyDescent="0.25">
      <c r="E29" s="7"/>
      <c r="F29" s="3"/>
      <c r="G29" s="3"/>
      <c r="H29" s="3"/>
      <c r="I29" s="3"/>
      <c r="J29" s="3"/>
      <c r="K29" s="3"/>
      <c r="L29" s="3"/>
    </row>
    <row r="30" spans="1:17" ht="12" customHeight="1" outlineLevel="2" x14ac:dyDescent="0.25">
      <c r="E30" s="7"/>
      <c r="F30" s="3"/>
      <c r="G30" s="3"/>
      <c r="H30" s="3"/>
      <c r="I30" s="3"/>
      <c r="J30" s="3"/>
      <c r="K30" s="3"/>
      <c r="L30" s="3"/>
    </row>
    <row r="31" spans="1:17" ht="12" customHeight="1" outlineLevel="1" x14ac:dyDescent="0.25">
      <c r="E31" s="7"/>
      <c r="F31" s="3"/>
      <c r="G31" s="3"/>
      <c r="H31" s="3"/>
      <c r="I31" s="3"/>
      <c r="J31" s="3"/>
      <c r="K31" s="3"/>
      <c r="L31" s="3"/>
    </row>
    <row r="32" spans="1:17" ht="12" customHeight="1" outlineLevel="2" x14ac:dyDescent="0.25">
      <c r="E32" s="7"/>
      <c r="F32" s="3"/>
      <c r="G32" s="3"/>
      <c r="H32" s="3"/>
      <c r="I32" s="3"/>
      <c r="J32" s="3"/>
      <c r="K32" s="3"/>
      <c r="L32" s="3"/>
    </row>
    <row r="33" spans="1:17" ht="12" customHeight="1" outlineLevel="2" x14ac:dyDescent="0.25">
      <c r="E33" s="7"/>
      <c r="F33" s="3"/>
      <c r="G33" s="3"/>
      <c r="H33" s="3"/>
      <c r="I33" s="3"/>
      <c r="J33" s="3"/>
      <c r="K33" s="3"/>
      <c r="L33" s="3"/>
    </row>
    <row r="34" spans="1:17" ht="12" customHeight="1" outlineLevel="2" x14ac:dyDescent="0.25">
      <c r="E34" s="7"/>
      <c r="F34" s="3"/>
      <c r="G34" s="3"/>
      <c r="H34" s="3"/>
      <c r="I34" s="3"/>
      <c r="J34" s="3"/>
      <c r="K34" s="3"/>
      <c r="L34" s="3"/>
    </row>
    <row r="35" spans="1:17" ht="12" customHeight="1" outlineLevel="1" x14ac:dyDescent="0.25">
      <c r="E35" s="7"/>
      <c r="F35" s="3"/>
      <c r="G35" s="3"/>
      <c r="H35" s="3"/>
      <c r="I35" s="3"/>
      <c r="J35" s="3"/>
      <c r="K35" s="3"/>
      <c r="L35" s="3"/>
    </row>
    <row r="36" spans="1:17" ht="12" customHeight="1" outlineLevel="2" x14ac:dyDescent="0.25">
      <c r="E36" s="7"/>
      <c r="F36" s="3"/>
      <c r="G36" s="3"/>
      <c r="H36" s="3"/>
      <c r="I36" s="3"/>
      <c r="J36" s="3"/>
      <c r="K36" s="3"/>
      <c r="L36" s="3"/>
    </row>
    <row r="37" spans="1:17" ht="12" customHeight="1" outlineLevel="2" x14ac:dyDescent="0.25">
      <c r="E37" s="7"/>
      <c r="F37" s="3"/>
      <c r="G37" s="3"/>
      <c r="H37" s="3"/>
      <c r="I37" s="3"/>
      <c r="J37" s="3"/>
      <c r="K37" s="3"/>
      <c r="L37" s="3"/>
    </row>
    <row r="38" spans="1:17" ht="12" customHeight="1" outlineLevel="1" x14ac:dyDescent="0.25">
      <c r="A38" s="4" t="str">
        <f t="shared" si="0"/>
        <v>CC170C</v>
      </c>
      <c r="B38" s="4">
        <v>1</v>
      </c>
      <c r="C38" s="4" t="s">
        <v>41</v>
      </c>
      <c r="D38" s="4" t="s">
        <v>18</v>
      </c>
      <c r="E38" s="5" t="s">
        <v>117</v>
      </c>
      <c r="F38" s="6"/>
      <c r="G38" s="6" t="s">
        <v>21</v>
      </c>
      <c r="H38" s="6"/>
      <c r="I38" s="6"/>
      <c r="J38" s="6"/>
      <c r="K38" s="6"/>
      <c r="L38" s="6" t="s">
        <v>573</v>
      </c>
      <c r="M38" s="4" t="s">
        <v>118</v>
      </c>
      <c r="N38" s="4"/>
      <c r="O38" s="4"/>
      <c r="Q38" s="1" t="str">
        <f>IF($B38=0,$M38,_xlfn.TEXTBEFORE(Q28,"/",$B38,,,Q28)&amp;"/"&amp;$M38)&amp;IF(_xlfn.TEXTAFTER($D38,"..",,,,1)&lt;&gt;"1","[0]","")</f>
        <v>*/HolderOfTheTransitProcedure</v>
      </c>
    </row>
    <row r="39" spans="1:17" ht="12" customHeight="1" outlineLevel="2" x14ac:dyDescent="0.25">
      <c r="A39" s="1" t="str">
        <f t="shared" si="0"/>
        <v>CC170C</v>
      </c>
      <c r="B39" s="1">
        <v>2</v>
      </c>
      <c r="C39" s="1" t="s">
        <v>17</v>
      </c>
      <c r="D39" s="1" t="s">
        <v>36</v>
      </c>
      <c r="E39" s="7" t="s">
        <v>119</v>
      </c>
      <c r="F39" s="3" t="s">
        <v>120</v>
      </c>
      <c r="G39" s="3" t="s">
        <v>38</v>
      </c>
      <c r="H39" s="3" t="s">
        <v>575</v>
      </c>
      <c r="I39" s="3"/>
      <c r="J39" s="3"/>
      <c r="K39" s="3"/>
      <c r="L39" s="3" t="s">
        <v>574</v>
      </c>
      <c r="M39" s="1" t="s">
        <v>121</v>
      </c>
      <c r="P39" s="1" t="s">
        <v>122</v>
      </c>
      <c r="Q39" s="1" t="str">
        <f t="shared" si="1"/>
        <v>*/HolderOfTheTransitProcedure/identificationNumber</v>
      </c>
    </row>
    <row r="40" spans="1:17" ht="12" customHeight="1" outlineLevel="2" x14ac:dyDescent="0.25">
      <c r="A40" s="1" t="str">
        <f t="shared" si="0"/>
        <v>CC170C</v>
      </c>
      <c r="B40" s="1">
        <v>2</v>
      </c>
      <c r="C40" s="1" t="s">
        <v>17</v>
      </c>
      <c r="D40" s="1" t="s">
        <v>36</v>
      </c>
      <c r="E40" s="7" t="s">
        <v>123</v>
      </c>
      <c r="F40" s="3" t="s">
        <v>120</v>
      </c>
      <c r="G40" s="3" t="s">
        <v>450</v>
      </c>
      <c r="H40" s="3" t="s">
        <v>458</v>
      </c>
      <c r="I40" s="3" t="s">
        <v>578</v>
      </c>
      <c r="J40" s="3"/>
      <c r="K40" s="3"/>
      <c r="L40" s="3" t="s">
        <v>576</v>
      </c>
      <c r="M40" s="1" t="s">
        <v>124</v>
      </c>
      <c r="P40" s="1" t="s">
        <v>125</v>
      </c>
      <c r="Q40" s="1" t="str">
        <f t="shared" si="1"/>
        <v>*/HolderOfTheTransitProcedure/TIRHolderIdentificationNumber</v>
      </c>
    </row>
    <row r="41" spans="1:17" ht="12" customHeight="1" outlineLevel="2" x14ac:dyDescent="0.25">
      <c r="A41" s="1" t="str">
        <f t="shared" si="0"/>
        <v>CC170C</v>
      </c>
      <c r="B41" s="1">
        <v>2</v>
      </c>
      <c r="C41" s="1" t="s">
        <v>17</v>
      </c>
      <c r="D41" s="1" t="s">
        <v>36</v>
      </c>
      <c r="E41" s="7" t="s">
        <v>4</v>
      </c>
      <c r="F41" s="3" t="s">
        <v>126</v>
      </c>
      <c r="G41" s="3" t="s">
        <v>450</v>
      </c>
      <c r="H41" s="3"/>
      <c r="I41" s="3" t="s">
        <v>541</v>
      </c>
      <c r="J41" s="3"/>
      <c r="K41" s="3"/>
      <c r="L41" s="3" t="s">
        <v>577</v>
      </c>
      <c r="M41" s="1" t="s">
        <v>127</v>
      </c>
      <c r="P41" s="1" t="s">
        <v>128</v>
      </c>
      <c r="Q41" s="1" t="str">
        <f t="shared" si="1"/>
        <v>*/HolderOfTheTransitProcedure/name</v>
      </c>
    </row>
    <row r="42" spans="1:17" ht="12" customHeight="1" outlineLevel="2" x14ac:dyDescent="0.25">
      <c r="A42" s="4" t="str">
        <f t="shared" si="0"/>
        <v>CC170C</v>
      </c>
      <c r="B42" s="4">
        <v>2</v>
      </c>
      <c r="C42" s="4" t="s">
        <v>41</v>
      </c>
      <c r="D42" s="4" t="s">
        <v>36</v>
      </c>
      <c r="E42" s="8" t="s">
        <v>129</v>
      </c>
      <c r="F42" s="6"/>
      <c r="G42" s="6" t="s">
        <v>450</v>
      </c>
      <c r="H42" s="6"/>
      <c r="I42" s="6" t="s">
        <v>541</v>
      </c>
      <c r="J42" s="6"/>
      <c r="K42" s="6"/>
      <c r="L42" s="6" t="s">
        <v>579</v>
      </c>
      <c r="M42" s="4" t="s">
        <v>129</v>
      </c>
      <c r="N42" s="4"/>
      <c r="O42" s="4"/>
      <c r="Q42" s="1" t="str">
        <f t="shared" si="1"/>
        <v>*/HolderOfTheTransitProcedure/Address</v>
      </c>
    </row>
    <row r="43" spans="1:17" ht="12" customHeight="1" outlineLevel="3" x14ac:dyDescent="0.25">
      <c r="A43" s="1" t="str">
        <f t="shared" si="0"/>
        <v>CC170C</v>
      </c>
      <c r="B43" s="1">
        <v>3</v>
      </c>
      <c r="C43" s="1" t="s">
        <v>17</v>
      </c>
      <c r="D43" s="1" t="s">
        <v>18</v>
      </c>
      <c r="E43" s="9" t="s">
        <v>130</v>
      </c>
      <c r="F43" s="3" t="s">
        <v>126</v>
      </c>
      <c r="G43" s="3" t="s">
        <v>21</v>
      </c>
      <c r="H43" s="3"/>
      <c r="I43" s="3"/>
      <c r="J43" s="3"/>
      <c r="K43" s="3"/>
      <c r="L43" s="3" t="s">
        <v>580</v>
      </c>
      <c r="M43" s="1" t="s">
        <v>131</v>
      </c>
      <c r="P43" s="1" t="s">
        <v>132</v>
      </c>
      <c r="Q43" s="1" t="str">
        <f t="shared" si="1"/>
        <v>*/HolderOfTheTransitProcedure/Address/streetAndNumber</v>
      </c>
    </row>
    <row r="44" spans="1:17" ht="12" customHeight="1" outlineLevel="3" x14ac:dyDescent="0.25">
      <c r="A44" s="1" t="str">
        <f t="shared" si="0"/>
        <v>CC170C</v>
      </c>
      <c r="B44" s="1">
        <v>3</v>
      </c>
      <c r="C44" s="1" t="s">
        <v>17</v>
      </c>
      <c r="D44" s="1" t="s">
        <v>36</v>
      </c>
      <c r="E44" s="9" t="s">
        <v>133</v>
      </c>
      <c r="F44" s="3" t="s">
        <v>120</v>
      </c>
      <c r="G44" s="3" t="s">
        <v>450</v>
      </c>
      <c r="H44" s="3"/>
      <c r="I44" s="3" t="s">
        <v>544</v>
      </c>
      <c r="J44" s="3"/>
      <c r="K44" s="3"/>
      <c r="L44" s="3" t="s">
        <v>581</v>
      </c>
      <c r="M44" s="1" t="s">
        <v>134</v>
      </c>
      <c r="P44" s="1" t="s">
        <v>135</v>
      </c>
      <c r="Q44" s="1" t="str">
        <f t="shared" si="1"/>
        <v>*/HolderOfTheTransitProcedure/Address/postcode</v>
      </c>
    </row>
    <row r="45" spans="1:17" ht="12" customHeight="1" outlineLevel="3" x14ac:dyDescent="0.25">
      <c r="A45" s="1" t="str">
        <f t="shared" si="0"/>
        <v>CC170C</v>
      </c>
      <c r="B45" s="1">
        <v>3</v>
      </c>
      <c r="C45" s="1" t="s">
        <v>17</v>
      </c>
      <c r="D45" s="1" t="s">
        <v>18</v>
      </c>
      <c r="E45" s="9" t="s">
        <v>136</v>
      </c>
      <c r="F45" s="3" t="s">
        <v>101</v>
      </c>
      <c r="G45" s="3" t="s">
        <v>21</v>
      </c>
      <c r="H45" s="3"/>
      <c r="I45" s="3"/>
      <c r="J45" s="3"/>
      <c r="K45" s="3"/>
      <c r="L45" s="3" t="s">
        <v>582</v>
      </c>
      <c r="M45" s="1" t="s">
        <v>137</v>
      </c>
      <c r="P45" s="1" t="s">
        <v>138</v>
      </c>
      <c r="Q45" s="1" t="str">
        <f t="shared" si="1"/>
        <v>*/HolderOfTheTransitProcedure/Address/city</v>
      </c>
    </row>
    <row r="46" spans="1:17" ht="12" customHeight="1" outlineLevel="3" x14ac:dyDescent="0.25">
      <c r="A46" s="1" t="str">
        <f t="shared" si="0"/>
        <v>CC170C</v>
      </c>
      <c r="B46" s="1">
        <v>3</v>
      </c>
      <c r="C46" s="1" t="s">
        <v>17</v>
      </c>
      <c r="D46" s="1" t="s">
        <v>18</v>
      </c>
      <c r="E46" s="9" t="s">
        <v>139</v>
      </c>
      <c r="F46" s="3" t="s">
        <v>140</v>
      </c>
      <c r="G46" s="3" t="s">
        <v>21</v>
      </c>
      <c r="H46" s="3"/>
      <c r="I46" s="3"/>
      <c r="J46" s="3" t="s">
        <v>547</v>
      </c>
      <c r="K46" s="3"/>
      <c r="L46" s="3" t="s">
        <v>583</v>
      </c>
      <c r="M46" s="1" t="s">
        <v>141</v>
      </c>
      <c r="P46" s="1" t="s">
        <v>142</v>
      </c>
      <c r="Q46" s="1" t="str">
        <f t="shared" si="1"/>
        <v>*/HolderOfTheTransitProcedure/Address/country</v>
      </c>
    </row>
    <row r="47" spans="1:17" ht="12" customHeight="1" outlineLevel="2" x14ac:dyDescent="0.25">
      <c r="E47" s="9"/>
      <c r="F47" s="3"/>
      <c r="G47" s="3"/>
      <c r="H47" s="3"/>
      <c r="I47" s="3"/>
      <c r="J47" s="3"/>
      <c r="K47" s="3"/>
      <c r="L47" s="3"/>
    </row>
    <row r="48" spans="1:17" ht="12" customHeight="1" outlineLevel="3" x14ac:dyDescent="0.25">
      <c r="E48" s="9"/>
      <c r="F48" s="3"/>
      <c r="G48" s="3"/>
      <c r="H48" s="3"/>
      <c r="I48" s="3"/>
      <c r="J48" s="3"/>
      <c r="K48" s="3"/>
      <c r="L48" s="3"/>
    </row>
    <row r="49" spans="1:17" ht="12" customHeight="1" outlineLevel="3" x14ac:dyDescent="0.25">
      <c r="E49" s="9"/>
      <c r="F49" s="3"/>
      <c r="G49" s="3"/>
      <c r="H49" s="3"/>
      <c r="I49" s="3"/>
      <c r="J49" s="3"/>
      <c r="K49" s="3"/>
      <c r="L49" s="3"/>
    </row>
    <row r="50" spans="1:17" ht="12" customHeight="1" outlineLevel="3" x14ac:dyDescent="0.25">
      <c r="E50" s="9"/>
      <c r="F50" s="3"/>
      <c r="G50" s="3"/>
      <c r="H50" s="3"/>
      <c r="I50" s="3"/>
      <c r="J50" s="3"/>
      <c r="K50" s="3"/>
      <c r="L50" s="3"/>
    </row>
    <row r="51" spans="1:17" ht="12" customHeight="1" outlineLevel="1" x14ac:dyDescent="0.25">
      <c r="A51" s="4" t="str">
        <f t="shared" si="0"/>
        <v>CC170C</v>
      </c>
      <c r="B51" s="4">
        <v>1</v>
      </c>
      <c r="C51" s="4" t="s">
        <v>41</v>
      </c>
      <c r="D51" s="4" t="s">
        <v>36</v>
      </c>
      <c r="E51" s="5" t="s">
        <v>152</v>
      </c>
      <c r="F51" s="6"/>
      <c r="G51" s="6" t="s">
        <v>38</v>
      </c>
      <c r="H51" s="6" t="s">
        <v>572</v>
      </c>
      <c r="I51" s="6"/>
      <c r="J51" s="6"/>
      <c r="K51" s="6"/>
      <c r="L51" s="6" t="s">
        <v>565</v>
      </c>
      <c r="M51" s="4" t="s">
        <v>152</v>
      </c>
      <c r="N51" s="4"/>
      <c r="O51" s="4"/>
      <c r="Q51" s="1" t="str">
        <f>IF($B51=0,$M51,_xlfn.TEXTBEFORE(Q46,"/",$B51,,,Q46)&amp;"/"&amp;$M51)&amp;IF(_xlfn.TEXTAFTER($D51,"..",,,,1)&lt;&gt;"1","[0]","")</f>
        <v>*/Representative</v>
      </c>
    </row>
    <row r="52" spans="1:17" ht="12" customHeight="1" outlineLevel="2" x14ac:dyDescent="0.25">
      <c r="A52" s="1" t="str">
        <f t="shared" si="0"/>
        <v>CC170C</v>
      </c>
      <c r="B52" s="1">
        <v>2</v>
      </c>
      <c r="C52" s="1" t="s">
        <v>17</v>
      </c>
      <c r="D52" s="1" t="s">
        <v>18</v>
      </c>
      <c r="E52" s="7" t="s">
        <v>119</v>
      </c>
      <c r="F52" s="3" t="s">
        <v>120</v>
      </c>
      <c r="G52" s="3" t="s">
        <v>21</v>
      </c>
      <c r="H52" s="3" t="s">
        <v>537</v>
      </c>
      <c r="I52" s="3"/>
      <c r="J52" s="3"/>
      <c r="K52" s="3"/>
      <c r="L52" s="3" t="s">
        <v>564</v>
      </c>
      <c r="M52" s="1" t="s">
        <v>121</v>
      </c>
      <c r="P52" s="1" t="s">
        <v>122</v>
      </c>
      <c r="Q52" s="1" t="str">
        <f t="shared" si="1"/>
        <v>*/Representative/identificationNumber</v>
      </c>
    </row>
    <row r="53" spans="1:17" ht="12" customHeight="1" outlineLevel="2" x14ac:dyDescent="0.25">
      <c r="A53" s="1" t="str">
        <f t="shared" si="0"/>
        <v>CC170C</v>
      </c>
      <c r="B53" s="1">
        <v>2</v>
      </c>
      <c r="C53" s="1" t="s">
        <v>17</v>
      </c>
      <c r="D53" s="1" t="s">
        <v>18</v>
      </c>
      <c r="E53" s="7" t="s">
        <v>6</v>
      </c>
      <c r="F53" s="3" t="s">
        <v>69</v>
      </c>
      <c r="G53" s="3" t="s">
        <v>21</v>
      </c>
      <c r="H53" s="3"/>
      <c r="I53" s="3"/>
      <c r="J53" s="3" t="s">
        <v>571</v>
      </c>
      <c r="K53" s="3"/>
      <c r="L53" s="3" t="s">
        <v>566</v>
      </c>
      <c r="M53" s="1" t="s">
        <v>153</v>
      </c>
      <c r="P53" s="1" t="s">
        <v>154</v>
      </c>
      <c r="Q53" s="1" t="str">
        <f t="shared" si="1"/>
        <v>*/Representative/status</v>
      </c>
    </row>
    <row r="54" spans="1:17" ht="12" customHeight="1" outlineLevel="2" x14ac:dyDescent="0.25">
      <c r="A54" s="4" t="str">
        <f t="shared" si="0"/>
        <v>CC170C</v>
      </c>
      <c r="B54" s="4">
        <v>2</v>
      </c>
      <c r="C54" s="4" t="s">
        <v>41</v>
      </c>
      <c r="D54" s="4" t="s">
        <v>36</v>
      </c>
      <c r="E54" s="8" t="s">
        <v>143</v>
      </c>
      <c r="F54" s="6"/>
      <c r="G54" s="6" t="s">
        <v>38</v>
      </c>
      <c r="H54" s="6" t="s">
        <v>549</v>
      </c>
      <c r="I54" s="6"/>
      <c r="J54" s="6"/>
      <c r="K54" s="6"/>
      <c r="L54" s="6" t="s">
        <v>567</v>
      </c>
      <c r="M54" s="4" t="s">
        <v>144</v>
      </c>
      <c r="N54" s="4"/>
      <c r="O54" s="4"/>
      <c r="Q54" s="1" t="str">
        <f t="shared" si="1"/>
        <v>*/Representative/ContactPerson</v>
      </c>
    </row>
    <row r="55" spans="1:17" ht="12" customHeight="1" outlineLevel="3" x14ac:dyDescent="0.25">
      <c r="A55" s="1" t="str">
        <f t="shared" si="0"/>
        <v>CC170C</v>
      </c>
      <c r="B55" s="1">
        <v>3</v>
      </c>
      <c r="C55" s="1" t="s">
        <v>17</v>
      </c>
      <c r="D55" s="1" t="s">
        <v>18</v>
      </c>
      <c r="E55" s="9" t="s">
        <v>4</v>
      </c>
      <c r="F55" s="3" t="s">
        <v>126</v>
      </c>
      <c r="G55" s="3" t="s">
        <v>21</v>
      </c>
      <c r="H55" s="3"/>
      <c r="I55" s="3"/>
      <c r="J55" s="3"/>
      <c r="K55" s="3"/>
      <c r="L55" s="3" t="s">
        <v>568</v>
      </c>
      <c r="M55" s="1" t="s">
        <v>127</v>
      </c>
      <c r="P55" s="1" t="s">
        <v>128</v>
      </c>
      <c r="Q55" s="1" t="str">
        <f t="shared" si="1"/>
        <v>*/Representative/ContactPerson/name</v>
      </c>
    </row>
    <row r="56" spans="1:17" ht="12" customHeight="1" outlineLevel="3" x14ac:dyDescent="0.25">
      <c r="A56" s="1" t="str">
        <f t="shared" si="0"/>
        <v>CC170C</v>
      </c>
      <c r="B56" s="1">
        <v>3</v>
      </c>
      <c r="C56" s="1" t="s">
        <v>17</v>
      </c>
      <c r="D56" s="1" t="s">
        <v>18</v>
      </c>
      <c r="E56" s="9" t="s">
        <v>145</v>
      </c>
      <c r="F56" s="3" t="s">
        <v>20</v>
      </c>
      <c r="G56" s="3" t="s">
        <v>21</v>
      </c>
      <c r="H56" s="3"/>
      <c r="I56" s="3"/>
      <c r="J56" s="3"/>
      <c r="K56" s="3"/>
      <c r="L56" s="3" t="s">
        <v>569</v>
      </c>
      <c r="M56" s="1" t="s">
        <v>146</v>
      </c>
      <c r="P56" s="1" t="s">
        <v>147</v>
      </c>
      <c r="Q56" s="1" t="str">
        <f t="shared" si="1"/>
        <v>*/Representative/ContactPerson/phoneNumber</v>
      </c>
    </row>
    <row r="57" spans="1:17" ht="12" customHeight="1" outlineLevel="3" x14ac:dyDescent="0.25">
      <c r="A57" s="1" t="str">
        <f t="shared" si="0"/>
        <v>CC170C</v>
      </c>
      <c r="B57" s="1">
        <v>3</v>
      </c>
      <c r="C57" s="1" t="s">
        <v>17</v>
      </c>
      <c r="D57" s="1" t="s">
        <v>36</v>
      </c>
      <c r="E57" s="9" t="s">
        <v>148</v>
      </c>
      <c r="F57" s="3" t="s">
        <v>149</v>
      </c>
      <c r="G57" s="3" t="s">
        <v>38</v>
      </c>
      <c r="H57" s="3" t="s">
        <v>458</v>
      </c>
      <c r="I57" s="3"/>
      <c r="J57" s="3"/>
      <c r="K57" s="3"/>
      <c r="L57" s="3" t="s">
        <v>570</v>
      </c>
      <c r="M57" s="1" t="s">
        <v>150</v>
      </c>
      <c r="P57" s="1" t="s">
        <v>151</v>
      </c>
      <c r="Q57" s="1" t="str">
        <f t="shared" si="1"/>
        <v>*/Representative/ContactPerson/eMailAddress</v>
      </c>
    </row>
    <row r="58" spans="1:17" ht="12" customHeight="1" outlineLevel="1" x14ac:dyDescent="0.25">
      <c r="E58" s="9"/>
      <c r="F58" s="3"/>
      <c r="G58" s="3"/>
      <c r="H58" s="3"/>
      <c r="I58" s="3"/>
      <c r="J58" s="3"/>
      <c r="K58" s="3"/>
      <c r="L58" s="3"/>
    </row>
    <row r="59" spans="1:17" ht="12" customHeight="1" outlineLevel="2" x14ac:dyDescent="0.25">
      <c r="E59" s="9"/>
      <c r="F59" s="3"/>
      <c r="G59" s="3"/>
      <c r="H59" s="3"/>
      <c r="I59" s="3"/>
      <c r="J59" s="3"/>
      <c r="K59" s="3"/>
      <c r="L59" s="3"/>
    </row>
    <row r="60" spans="1:17" ht="12" customHeight="1" outlineLevel="2" x14ac:dyDescent="0.25">
      <c r="E60" s="9"/>
      <c r="F60" s="3"/>
      <c r="G60" s="3"/>
      <c r="H60" s="3"/>
      <c r="I60" s="3"/>
      <c r="J60" s="3"/>
      <c r="K60" s="3"/>
      <c r="L60" s="3"/>
    </row>
    <row r="61" spans="1:17" ht="12" customHeight="1" outlineLevel="2" x14ac:dyDescent="0.25">
      <c r="E61" s="9"/>
      <c r="F61" s="3"/>
      <c r="G61" s="3"/>
      <c r="H61" s="3"/>
      <c r="I61" s="3"/>
      <c r="J61" s="3"/>
      <c r="K61" s="3"/>
      <c r="L61" s="3"/>
    </row>
    <row r="62" spans="1:17" ht="12" customHeight="1" outlineLevel="2" x14ac:dyDescent="0.25">
      <c r="E62" s="9"/>
      <c r="F62" s="3"/>
      <c r="G62" s="3"/>
      <c r="H62" s="3"/>
      <c r="I62" s="3"/>
      <c r="J62" s="3"/>
      <c r="K62" s="3"/>
      <c r="L62" s="3"/>
    </row>
    <row r="63" spans="1:17" ht="12" customHeight="1" outlineLevel="2" x14ac:dyDescent="0.25">
      <c r="E63" s="9"/>
      <c r="F63" s="3"/>
      <c r="G63" s="3"/>
      <c r="H63" s="3"/>
      <c r="I63" s="3"/>
      <c r="J63" s="3"/>
      <c r="K63" s="3"/>
      <c r="L63" s="3"/>
    </row>
    <row r="64" spans="1:17" ht="12" customHeight="1" outlineLevel="2" x14ac:dyDescent="0.25">
      <c r="E64" s="9"/>
      <c r="F64" s="3"/>
      <c r="G64" s="3"/>
      <c r="H64" s="3"/>
      <c r="I64" s="3"/>
      <c r="J64" s="3"/>
      <c r="K64" s="3"/>
      <c r="L64" s="3"/>
    </row>
    <row r="65" spans="1:17" ht="12" customHeight="1" outlineLevel="2" x14ac:dyDescent="0.25">
      <c r="E65" s="9"/>
      <c r="F65" s="3"/>
      <c r="G65" s="3"/>
      <c r="H65" s="3"/>
      <c r="I65" s="3"/>
      <c r="J65" s="3"/>
      <c r="K65" s="3"/>
      <c r="L65" s="3"/>
    </row>
    <row r="66" spans="1:17" ht="12" customHeight="1" outlineLevel="2" x14ac:dyDescent="0.25">
      <c r="E66" s="9"/>
      <c r="F66" s="3"/>
      <c r="G66" s="3"/>
      <c r="H66" s="3"/>
      <c r="I66" s="3"/>
      <c r="J66" s="3"/>
      <c r="K66" s="3"/>
      <c r="L66" s="3"/>
    </row>
    <row r="67" spans="1:17" ht="12" customHeight="1" outlineLevel="2" x14ac:dyDescent="0.25">
      <c r="E67" s="9"/>
      <c r="F67" s="3"/>
      <c r="G67" s="3"/>
      <c r="H67" s="3"/>
      <c r="I67" s="3"/>
      <c r="J67" s="3"/>
      <c r="K67" s="3"/>
      <c r="L67" s="3"/>
    </row>
    <row r="68" spans="1:17" ht="12" customHeight="1" outlineLevel="1" x14ac:dyDescent="0.25">
      <c r="A68" s="4" t="str">
        <f t="shared" si="0"/>
        <v>CC170C</v>
      </c>
      <c r="B68" s="4">
        <v>1</v>
      </c>
      <c r="C68" s="4" t="s">
        <v>41</v>
      </c>
      <c r="D68" s="4" t="s">
        <v>18</v>
      </c>
      <c r="E68" s="5" t="s">
        <v>183</v>
      </c>
      <c r="F68" s="6"/>
      <c r="G68" s="6" t="s">
        <v>21</v>
      </c>
      <c r="H68" s="6"/>
      <c r="I68" s="6"/>
      <c r="J68" s="6"/>
      <c r="K68" s="6"/>
      <c r="L68" s="6" t="s">
        <v>718</v>
      </c>
      <c r="M68" s="4" t="s">
        <v>183</v>
      </c>
      <c r="N68" s="4"/>
      <c r="O68" s="4"/>
      <c r="Q68" s="1" t="str">
        <f>IF($B68=0,$M68,_xlfn.TEXTBEFORE(Q57,"/",$B68,,,Q57)&amp;"/"&amp;$M68)&amp;IF(_xlfn.TEXTAFTER($D68,"..",,,,1)&lt;&gt;"1","[0]","")</f>
        <v>*/Consignment</v>
      </c>
    </row>
    <row r="69" spans="1:17" s="16" customFormat="1" ht="12" customHeight="1" outlineLevel="2" x14ac:dyDescent="0.25">
      <c r="E69" s="17"/>
      <c r="F69" s="18"/>
      <c r="G69" s="18"/>
      <c r="H69" s="18"/>
      <c r="I69" s="18"/>
      <c r="J69" s="18"/>
      <c r="K69" s="18"/>
      <c r="L69" s="18"/>
    </row>
    <row r="70" spans="1:17" s="16" customFormat="1" ht="12" customHeight="1" outlineLevel="2" x14ac:dyDescent="0.25">
      <c r="E70" s="17"/>
      <c r="F70" s="18"/>
      <c r="G70" s="18"/>
      <c r="H70" s="18"/>
      <c r="I70" s="18"/>
      <c r="J70" s="18"/>
      <c r="K70" s="18"/>
      <c r="L70" s="18"/>
    </row>
    <row r="71" spans="1:17" ht="12" customHeight="1" outlineLevel="2" x14ac:dyDescent="0.25">
      <c r="A71" s="1" t="str">
        <f t="shared" si="0"/>
        <v>CC170C</v>
      </c>
      <c r="B71" s="1">
        <v>2</v>
      </c>
      <c r="C71" s="1" t="s">
        <v>17</v>
      </c>
      <c r="D71" s="1" t="s">
        <v>36</v>
      </c>
      <c r="E71" s="7" t="s">
        <v>190</v>
      </c>
      <c r="F71" s="3" t="s">
        <v>400</v>
      </c>
      <c r="G71" s="3" t="s">
        <v>450</v>
      </c>
      <c r="H71" s="3" t="s">
        <v>721</v>
      </c>
      <c r="I71" s="3" t="s">
        <v>720</v>
      </c>
      <c r="J71" s="3" t="s">
        <v>473</v>
      </c>
      <c r="K71" s="3"/>
      <c r="L71" s="3" t="s">
        <v>719</v>
      </c>
      <c r="M71" s="1" t="s">
        <v>191</v>
      </c>
      <c r="P71" s="1" t="s">
        <v>74</v>
      </c>
      <c r="Q71" s="1" t="str">
        <f>IF($B71=0,$M71,_xlfn.TEXTBEFORE(Q68,"/",$B71,,,Q68)&amp;"/"&amp;$M71)&amp;IF(_xlfn.TEXTAFTER($D71,"..",,,,1)&lt;&gt;"1","[0]","")</f>
        <v>*/Consignment/containerIndicator</v>
      </c>
    </row>
    <row r="72" spans="1:17" ht="12" customHeight="1" outlineLevel="2" x14ac:dyDescent="0.25">
      <c r="A72" s="1" t="str">
        <f t="shared" si="0"/>
        <v>CC170C</v>
      </c>
      <c r="B72" s="1">
        <v>2</v>
      </c>
      <c r="C72" s="1" t="s">
        <v>17</v>
      </c>
      <c r="D72" s="1" t="s">
        <v>36</v>
      </c>
      <c r="E72" s="7" t="s">
        <v>192</v>
      </c>
      <c r="F72" s="3" t="s">
        <v>69</v>
      </c>
      <c r="G72" s="3" t="s">
        <v>38</v>
      </c>
      <c r="H72" s="3"/>
      <c r="I72" s="3"/>
      <c r="J72" s="3" t="s">
        <v>723</v>
      </c>
      <c r="K72" s="3"/>
      <c r="L72" s="3" t="s">
        <v>726</v>
      </c>
      <c r="M72" s="1" t="s">
        <v>193</v>
      </c>
      <c r="P72" s="1" t="s">
        <v>194</v>
      </c>
      <c r="Q72" s="1" t="str">
        <f t="shared" si="1"/>
        <v>*/Consignment/inlandModeOfTransport</v>
      </c>
    </row>
    <row r="73" spans="1:17" ht="12" customHeight="1" outlineLevel="2" x14ac:dyDescent="0.25">
      <c r="A73" s="1" t="str">
        <f t="shared" si="0"/>
        <v>CC170C</v>
      </c>
      <c r="B73" s="1">
        <v>2</v>
      </c>
      <c r="C73" s="1" t="s">
        <v>17</v>
      </c>
      <c r="D73" s="1" t="s">
        <v>36</v>
      </c>
      <c r="E73" s="7" t="s">
        <v>195</v>
      </c>
      <c r="F73" s="3" t="s">
        <v>69</v>
      </c>
      <c r="G73" s="3" t="s">
        <v>450</v>
      </c>
      <c r="H73" s="3" t="s">
        <v>725</v>
      </c>
      <c r="I73" s="3" t="s">
        <v>724</v>
      </c>
      <c r="J73" s="3" t="s">
        <v>723</v>
      </c>
      <c r="K73" s="3"/>
      <c r="L73" s="3" t="s">
        <v>722</v>
      </c>
      <c r="M73" s="1" t="s">
        <v>196</v>
      </c>
      <c r="P73" s="1" t="s">
        <v>197</v>
      </c>
      <c r="Q73" s="1" t="str">
        <f t="shared" si="1"/>
        <v>*/Consignment/modeOfTransportAtTheBorder</v>
      </c>
    </row>
    <row r="74" spans="1:17" ht="12" customHeight="1" outlineLevel="2" x14ac:dyDescent="0.25">
      <c r="E74" s="7"/>
      <c r="F74" s="3"/>
      <c r="G74" s="3"/>
      <c r="H74" s="3"/>
      <c r="I74" s="3"/>
      <c r="J74" s="3"/>
      <c r="K74" s="3"/>
      <c r="L74" s="3"/>
    </row>
    <row r="75" spans="1:17" ht="12" customHeight="1" outlineLevel="2" x14ac:dyDescent="0.25">
      <c r="E75" s="7"/>
      <c r="F75" s="3"/>
      <c r="G75" s="3"/>
      <c r="H75" s="3"/>
      <c r="I75" s="3"/>
      <c r="J75" s="3"/>
      <c r="K75" s="3"/>
      <c r="L75" s="3"/>
    </row>
    <row r="76" spans="1:17" ht="12" customHeight="1" outlineLevel="2" x14ac:dyDescent="0.25">
      <c r="E76" s="7"/>
      <c r="F76" s="3"/>
      <c r="G76" s="3"/>
      <c r="H76" s="3"/>
      <c r="I76" s="3"/>
      <c r="J76" s="3"/>
      <c r="K76" s="3"/>
      <c r="L76" s="3"/>
    </row>
    <row r="77" spans="1:17" ht="12" customHeight="1" outlineLevel="3" x14ac:dyDescent="0.25">
      <c r="E77" s="7"/>
      <c r="F77" s="3"/>
      <c r="G77" s="3"/>
      <c r="H77" s="3"/>
      <c r="I77" s="3"/>
      <c r="J77" s="3"/>
      <c r="K77" s="3"/>
      <c r="L77" s="3"/>
    </row>
    <row r="78" spans="1:17" ht="12" customHeight="1" outlineLevel="3" x14ac:dyDescent="0.25">
      <c r="E78" s="7"/>
      <c r="F78" s="3"/>
      <c r="G78" s="3"/>
      <c r="H78" s="3"/>
      <c r="I78" s="3"/>
      <c r="J78" s="3"/>
      <c r="K78" s="3"/>
      <c r="L78" s="3"/>
    </row>
    <row r="79" spans="1:17" ht="12" customHeight="1" outlineLevel="3" x14ac:dyDescent="0.25">
      <c r="E79" s="7"/>
      <c r="F79" s="3"/>
      <c r="G79" s="3"/>
      <c r="H79" s="3"/>
      <c r="I79" s="3"/>
      <c r="J79" s="3"/>
      <c r="K79" s="3"/>
      <c r="L79" s="3"/>
    </row>
    <row r="80" spans="1:17" ht="12" customHeight="1" outlineLevel="3" x14ac:dyDescent="0.25">
      <c r="E80" s="7"/>
      <c r="F80" s="3"/>
      <c r="G80" s="3"/>
      <c r="H80" s="3"/>
      <c r="I80" s="3"/>
      <c r="J80" s="3"/>
      <c r="K80" s="3"/>
      <c r="L80" s="3"/>
    </row>
    <row r="81" spans="5:12" ht="12" customHeight="1" outlineLevel="3" x14ac:dyDescent="0.25">
      <c r="E81" s="7"/>
      <c r="F81" s="3"/>
      <c r="G81" s="3"/>
      <c r="H81" s="3"/>
      <c r="I81" s="3"/>
      <c r="J81" s="3"/>
      <c r="K81" s="3"/>
      <c r="L81" s="3"/>
    </row>
    <row r="82" spans="5:12" ht="12" customHeight="1" outlineLevel="2" x14ac:dyDescent="0.25">
      <c r="E82" s="7"/>
      <c r="F82" s="3"/>
      <c r="G82" s="3"/>
      <c r="H82" s="3"/>
      <c r="I82" s="3"/>
      <c r="J82" s="3"/>
      <c r="K82" s="3"/>
      <c r="L82" s="3"/>
    </row>
    <row r="83" spans="5:12" ht="12" customHeight="1" outlineLevel="3" x14ac:dyDescent="0.25">
      <c r="E83" s="7"/>
      <c r="F83" s="3"/>
      <c r="G83" s="3"/>
      <c r="H83" s="3"/>
      <c r="I83" s="3"/>
      <c r="J83" s="3"/>
      <c r="K83" s="3"/>
      <c r="L83" s="3"/>
    </row>
    <row r="84" spans="5:12" ht="12" customHeight="1" outlineLevel="3" x14ac:dyDescent="0.25">
      <c r="E84" s="7"/>
      <c r="F84" s="3"/>
      <c r="G84" s="3"/>
      <c r="H84" s="3"/>
      <c r="I84" s="3"/>
      <c r="J84" s="3"/>
      <c r="K84" s="3"/>
      <c r="L84" s="3"/>
    </row>
    <row r="85" spans="5:12" ht="12" customHeight="1" outlineLevel="3" x14ac:dyDescent="0.25">
      <c r="E85" s="7"/>
      <c r="F85" s="3"/>
      <c r="G85" s="3"/>
      <c r="H85" s="3"/>
      <c r="I85" s="3"/>
      <c r="J85" s="3"/>
      <c r="K85" s="3"/>
      <c r="L85" s="3"/>
    </row>
    <row r="86" spans="5:12" ht="12" customHeight="1" outlineLevel="3" x14ac:dyDescent="0.25">
      <c r="E86" s="7"/>
      <c r="F86" s="3"/>
      <c r="G86" s="3"/>
      <c r="H86" s="3"/>
      <c r="I86" s="3"/>
      <c r="J86" s="3"/>
      <c r="K86" s="3"/>
      <c r="L86" s="3"/>
    </row>
    <row r="87" spans="5:12" ht="12" customHeight="1" outlineLevel="3" x14ac:dyDescent="0.25">
      <c r="E87" s="7"/>
      <c r="F87" s="3"/>
      <c r="G87" s="3"/>
      <c r="H87" s="3"/>
      <c r="I87" s="3"/>
      <c r="J87" s="3"/>
      <c r="K87" s="3"/>
      <c r="L87" s="3"/>
    </row>
    <row r="88" spans="5:12" ht="12" customHeight="1" outlineLevel="3" x14ac:dyDescent="0.25">
      <c r="E88" s="7"/>
      <c r="F88" s="3"/>
      <c r="G88" s="3"/>
      <c r="H88" s="3"/>
      <c r="I88" s="3"/>
      <c r="J88" s="3"/>
      <c r="K88" s="3"/>
      <c r="L88" s="3"/>
    </row>
    <row r="89" spans="5:12" ht="12" customHeight="1" outlineLevel="3" x14ac:dyDescent="0.25">
      <c r="E89" s="7"/>
      <c r="F89" s="3"/>
      <c r="G89" s="3"/>
      <c r="H89" s="3"/>
      <c r="I89" s="3"/>
      <c r="J89" s="3"/>
      <c r="K89" s="3"/>
      <c r="L89" s="3"/>
    </row>
    <row r="90" spans="5:12" ht="12" customHeight="1" outlineLevel="3" x14ac:dyDescent="0.25">
      <c r="E90" s="7"/>
      <c r="F90" s="3"/>
      <c r="G90" s="3"/>
      <c r="H90" s="3"/>
      <c r="I90" s="3"/>
      <c r="J90" s="3"/>
      <c r="K90" s="3"/>
      <c r="L90" s="3"/>
    </row>
    <row r="91" spans="5:12" ht="12" customHeight="1" outlineLevel="3" x14ac:dyDescent="0.25">
      <c r="E91" s="7"/>
      <c r="F91" s="3"/>
      <c r="G91" s="3"/>
      <c r="H91" s="3"/>
      <c r="I91" s="3"/>
      <c r="J91" s="3"/>
      <c r="K91" s="3"/>
      <c r="L91" s="3"/>
    </row>
    <row r="92" spans="5:12" ht="12" customHeight="1" outlineLevel="3" x14ac:dyDescent="0.25">
      <c r="E92" s="7"/>
      <c r="F92" s="3"/>
      <c r="G92" s="3"/>
      <c r="H92" s="3"/>
      <c r="I92" s="3"/>
      <c r="J92" s="3"/>
      <c r="K92" s="3"/>
      <c r="L92" s="3"/>
    </row>
    <row r="93" spans="5:12" ht="12" customHeight="1" outlineLevel="3" x14ac:dyDescent="0.25">
      <c r="E93" s="7"/>
      <c r="F93" s="3"/>
      <c r="G93" s="3"/>
      <c r="H93" s="3"/>
      <c r="I93" s="3"/>
      <c r="J93" s="3"/>
      <c r="K93" s="3"/>
      <c r="L93" s="3"/>
    </row>
    <row r="94" spans="5:12" ht="12" customHeight="1" outlineLevel="2" x14ac:dyDescent="0.25">
      <c r="E94" s="7"/>
      <c r="F94" s="3"/>
      <c r="G94" s="3"/>
      <c r="H94" s="3"/>
      <c r="I94" s="3"/>
      <c r="J94" s="3"/>
      <c r="K94" s="3"/>
      <c r="L94" s="3"/>
    </row>
    <row r="95" spans="5:12" ht="12" customHeight="1" outlineLevel="3" x14ac:dyDescent="0.25">
      <c r="E95" s="7"/>
      <c r="F95" s="3"/>
      <c r="G95" s="3"/>
      <c r="H95" s="3"/>
      <c r="I95" s="3"/>
      <c r="J95" s="3"/>
      <c r="K95" s="3"/>
      <c r="L95" s="3"/>
    </row>
    <row r="96" spans="5:12" ht="12" customHeight="1" outlineLevel="3" x14ac:dyDescent="0.25">
      <c r="E96" s="7"/>
      <c r="F96" s="3"/>
      <c r="G96" s="3"/>
      <c r="H96" s="3"/>
      <c r="I96" s="3"/>
      <c r="J96" s="3"/>
      <c r="K96" s="3"/>
      <c r="L96" s="3"/>
    </row>
    <row r="97" spans="1:17" ht="12" customHeight="1" outlineLevel="3" x14ac:dyDescent="0.25">
      <c r="E97" s="7"/>
      <c r="F97" s="3"/>
      <c r="G97" s="3"/>
      <c r="H97" s="3"/>
      <c r="I97" s="3"/>
      <c r="J97" s="3"/>
      <c r="K97" s="3"/>
      <c r="L97" s="3"/>
    </row>
    <row r="98" spans="1:17" ht="12" customHeight="1" outlineLevel="3" x14ac:dyDescent="0.25">
      <c r="E98" s="7"/>
      <c r="F98" s="3"/>
      <c r="G98" s="3"/>
      <c r="H98" s="3"/>
      <c r="I98" s="3"/>
      <c r="J98" s="3"/>
      <c r="K98" s="3"/>
      <c r="L98" s="3"/>
    </row>
    <row r="99" spans="1:17" ht="12" customHeight="1" outlineLevel="3" x14ac:dyDescent="0.25">
      <c r="E99" s="7"/>
      <c r="F99" s="3"/>
      <c r="G99" s="3"/>
      <c r="H99" s="3"/>
      <c r="I99" s="3"/>
      <c r="J99" s="3"/>
      <c r="K99" s="3"/>
      <c r="L99" s="3"/>
    </row>
    <row r="100" spans="1:17" ht="12" customHeight="1" outlineLevel="3" x14ac:dyDescent="0.25">
      <c r="E100" s="7"/>
      <c r="F100" s="3"/>
      <c r="G100" s="3"/>
      <c r="H100" s="3"/>
      <c r="I100" s="3"/>
      <c r="J100" s="3"/>
      <c r="K100" s="3"/>
      <c r="L100" s="3"/>
    </row>
    <row r="101" spans="1:17" ht="12" customHeight="1" outlineLevel="3" x14ac:dyDescent="0.25">
      <c r="E101" s="7"/>
      <c r="F101" s="3"/>
      <c r="G101" s="3"/>
      <c r="H101" s="3"/>
      <c r="I101" s="3"/>
      <c r="J101" s="3"/>
      <c r="K101" s="3"/>
      <c r="L101" s="3"/>
    </row>
    <row r="102" spans="1:17" ht="12" customHeight="1" outlineLevel="2" x14ac:dyDescent="0.25">
      <c r="E102" s="7"/>
      <c r="F102" s="3"/>
      <c r="G102" s="3"/>
      <c r="H102" s="3"/>
      <c r="I102" s="3"/>
      <c r="J102" s="3"/>
      <c r="K102" s="3"/>
      <c r="L102" s="3"/>
    </row>
    <row r="103" spans="1:17" ht="12" customHeight="1" outlineLevel="3" x14ac:dyDescent="0.25">
      <c r="E103" s="7"/>
      <c r="F103" s="3"/>
      <c r="G103" s="3"/>
      <c r="H103" s="3"/>
      <c r="I103" s="3"/>
      <c r="J103" s="3"/>
      <c r="K103" s="3"/>
      <c r="L103" s="3"/>
    </row>
    <row r="104" spans="1:17" ht="12" customHeight="1" outlineLevel="3" x14ac:dyDescent="0.25">
      <c r="E104" s="7"/>
      <c r="F104" s="3"/>
      <c r="G104" s="3"/>
      <c r="H104" s="3"/>
      <c r="I104" s="3"/>
      <c r="J104" s="3"/>
      <c r="K104" s="3"/>
      <c r="L104" s="3"/>
    </row>
    <row r="105" spans="1:17" ht="12" customHeight="1" outlineLevel="3" x14ac:dyDescent="0.25">
      <c r="E105" s="7"/>
      <c r="F105" s="3"/>
      <c r="G105" s="3"/>
      <c r="H105" s="3"/>
      <c r="I105" s="3"/>
      <c r="J105" s="3"/>
      <c r="K105" s="3"/>
      <c r="L105" s="3"/>
    </row>
    <row r="106" spans="1:17" ht="12" customHeight="1" outlineLevel="2" x14ac:dyDescent="0.25">
      <c r="A106" s="4" t="str">
        <f t="shared" si="0"/>
        <v>CC170C</v>
      </c>
      <c r="B106" s="4">
        <v>2</v>
      </c>
      <c r="C106" s="4" t="s">
        <v>41</v>
      </c>
      <c r="D106" s="4" t="s">
        <v>216</v>
      </c>
      <c r="E106" s="8" t="s">
        <v>217</v>
      </c>
      <c r="F106" s="6"/>
      <c r="G106" s="6" t="s">
        <v>450</v>
      </c>
      <c r="H106" s="6" t="s">
        <v>744</v>
      </c>
      <c r="I106" s="6" t="s">
        <v>743</v>
      </c>
      <c r="J106" s="6"/>
      <c r="K106" s="6"/>
      <c r="L106" s="6" t="s">
        <v>737</v>
      </c>
      <c r="M106" s="4" t="s">
        <v>218</v>
      </c>
      <c r="N106" s="4"/>
      <c r="O106" s="4"/>
      <c r="Q106" s="1" t="str">
        <f>IF($B106=0,$M106,_xlfn.TEXTBEFORE(Q73,"/",$B106,,,Q73)&amp;"/"&amp;$M106)&amp;IF(_xlfn.TEXTAFTER($D106,"..",,,,1)&lt;&gt;"1","[0]","")</f>
        <v>*/Consignment/TransportEquipment[0]</v>
      </c>
    </row>
    <row r="107" spans="1:17" ht="12" customHeight="1" outlineLevel="3" x14ac:dyDescent="0.25">
      <c r="A107" s="1" t="str">
        <f t="shared" si="0"/>
        <v>CC170C</v>
      </c>
      <c r="B107" s="1">
        <v>3</v>
      </c>
      <c r="C107" s="1" t="s">
        <v>17</v>
      </c>
      <c r="D107" s="1" t="s">
        <v>18</v>
      </c>
      <c r="E107" s="9" t="s">
        <v>93</v>
      </c>
      <c r="F107" s="3" t="s">
        <v>504</v>
      </c>
      <c r="G107" s="3" t="s">
        <v>21</v>
      </c>
      <c r="H107" s="3" t="s">
        <v>475</v>
      </c>
      <c r="I107" s="3"/>
      <c r="J107" s="3"/>
      <c r="K107" s="3"/>
      <c r="L107" s="3"/>
      <c r="M107" s="1" t="s">
        <v>95</v>
      </c>
      <c r="P107" s="1" t="s">
        <v>96</v>
      </c>
      <c r="Q107" s="1" t="str">
        <f t="shared" si="1"/>
        <v>*/Consignment/TransportEquipment[0]/sequenceNumber</v>
      </c>
    </row>
    <row r="108" spans="1:17" ht="12" customHeight="1" outlineLevel="3" x14ac:dyDescent="0.25">
      <c r="A108" s="1" t="str">
        <f t="shared" si="0"/>
        <v>CC170C</v>
      </c>
      <c r="B108" s="1">
        <v>3</v>
      </c>
      <c r="C108" s="1" t="s">
        <v>17</v>
      </c>
      <c r="D108" s="1" t="s">
        <v>36</v>
      </c>
      <c r="E108" s="9" t="s">
        <v>219</v>
      </c>
      <c r="F108" s="3" t="s">
        <v>220</v>
      </c>
      <c r="G108" s="3" t="s">
        <v>450</v>
      </c>
      <c r="H108" s="3" t="s">
        <v>458</v>
      </c>
      <c r="I108" s="3" t="s">
        <v>745</v>
      </c>
      <c r="J108" s="3"/>
      <c r="K108" s="3"/>
      <c r="L108" s="3" t="s">
        <v>739</v>
      </c>
      <c r="M108" s="1" t="s">
        <v>221</v>
      </c>
      <c r="P108" s="1" t="s">
        <v>222</v>
      </c>
      <c r="Q108" s="1" t="str">
        <f t="shared" si="1"/>
        <v>*/Consignment/TransportEquipment[0]/containerIdentificationNumber</v>
      </c>
    </row>
    <row r="109" spans="1:17" ht="12" customHeight="1" outlineLevel="3" x14ac:dyDescent="0.25">
      <c r="A109" s="1" t="str">
        <f t="shared" si="0"/>
        <v>CC170C</v>
      </c>
      <c r="B109" s="1">
        <v>3</v>
      </c>
      <c r="C109" s="1" t="s">
        <v>17</v>
      </c>
      <c r="D109" s="1" t="s">
        <v>18</v>
      </c>
      <c r="E109" s="9" t="s">
        <v>223</v>
      </c>
      <c r="F109" s="3" t="s">
        <v>224</v>
      </c>
      <c r="G109" s="3" t="s">
        <v>21</v>
      </c>
      <c r="H109" s="3" t="s">
        <v>746</v>
      </c>
      <c r="I109" s="3"/>
      <c r="J109" s="3"/>
      <c r="K109" s="3"/>
      <c r="L109" s="3" t="s">
        <v>742</v>
      </c>
      <c r="M109" s="1" t="s">
        <v>225</v>
      </c>
      <c r="P109" s="1" t="s">
        <v>226</v>
      </c>
      <c r="Q109" s="1" t="str">
        <f t="shared" si="1"/>
        <v>*/Consignment/TransportEquipment[0]/numberOfSeals</v>
      </c>
    </row>
    <row r="110" spans="1:17" ht="12" customHeight="1" outlineLevel="3" x14ac:dyDescent="0.25">
      <c r="A110" s="4" t="str">
        <f t="shared" si="0"/>
        <v>CC170C</v>
      </c>
      <c r="B110" s="4">
        <v>3</v>
      </c>
      <c r="C110" s="4" t="s">
        <v>41</v>
      </c>
      <c r="D110" s="4" t="s">
        <v>164</v>
      </c>
      <c r="E110" s="10" t="s">
        <v>227</v>
      </c>
      <c r="F110" s="6"/>
      <c r="G110" s="6" t="s">
        <v>450</v>
      </c>
      <c r="H110" s="6"/>
      <c r="I110" s="6" t="s">
        <v>747</v>
      </c>
      <c r="J110" s="6"/>
      <c r="K110" s="6"/>
      <c r="L110" s="6" t="s">
        <v>740</v>
      </c>
      <c r="M110" s="4" t="s">
        <v>227</v>
      </c>
      <c r="N110" s="4"/>
      <c r="O110" s="4"/>
      <c r="Q110" s="1" t="str">
        <f t="shared" si="1"/>
        <v>*/Consignment/TransportEquipment[0]/Seal[0]</v>
      </c>
    </row>
    <row r="111" spans="1:17" ht="12" customHeight="1" outlineLevel="4" x14ac:dyDescent="0.25">
      <c r="A111" s="1" t="str">
        <f t="shared" si="0"/>
        <v>CC170C</v>
      </c>
      <c r="B111" s="1">
        <v>4</v>
      </c>
      <c r="C111" s="1" t="s">
        <v>17</v>
      </c>
      <c r="D111" s="1" t="s">
        <v>18</v>
      </c>
      <c r="E111" s="11" t="s">
        <v>93</v>
      </c>
      <c r="F111" s="3" t="s">
        <v>483</v>
      </c>
      <c r="G111" s="3" t="s">
        <v>21</v>
      </c>
      <c r="H111" s="3" t="s">
        <v>475</v>
      </c>
      <c r="I111" s="3"/>
      <c r="J111" s="3"/>
      <c r="K111" s="3"/>
      <c r="L111" s="3"/>
      <c r="M111" s="1" t="s">
        <v>95</v>
      </c>
      <c r="P111" s="1" t="s">
        <v>96</v>
      </c>
      <c r="Q111" s="1" t="str">
        <f t="shared" si="1"/>
        <v>*/Consignment/TransportEquipment[0]/Seal[0]/sequenceNumber</v>
      </c>
    </row>
    <row r="112" spans="1:17" ht="12" customHeight="1" outlineLevel="4" x14ac:dyDescent="0.25">
      <c r="A112" s="1" t="str">
        <f t="shared" si="0"/>
        <v>CC170C</v>
      </c>
      <c r="B112" s="1">
        <v>4</v>
      </c>
      <c r="C112" s="1" t="s">
        <v>17</v>
      </c>
      <c r="D112" s="1" t="s">
        <v>18</v>
      </c>
      <c r="E112" s="11" t="s">
        <v>228</v>
      </c>
      <c r="F112" s="3" t="s">
        <v>229</v>
      </c>
      <c r="G112" s="3" t="s">
        <v>21</v>
      </c>
      <c r="H112" s="3" t="s">
        <v>748</v>
      </c>
      <c r="I112" s="3"/>
      <c r="J112" s="3"/>
      <c r="K112" s="3"/>
      <c r="L112" s="3" t="s">
        <v>741</v>
      </c>
      <c r="M112" s="1" t="s">
        <v>230</v>
      </c>
      <c r="P112" s="1" t="s">
        <v>231</v>
      </c>
      <c r="Q112" s="1" t="str">
        <f t="shared" si="1"/>
        <v>*/Consignment/TransportEquipment[0]/Seal[0]/identifier</v>
      </c>
    </row>
    <row r="113" spans="1:17" ht="12" customHeight="1" outlineLevel="3" x14ac:dyDescent="0.25">
      <c r="A113" s="4" t="str">
        <f t="shared" si="0"/>
        <v>CC170C</v>
      </c>
      <c r="B113" s="4">
        <v>3</v>
      </c>
      <c r="C113" s="4" t="s">
        <v>41</v>
      </c>
      <c r="D113" s="4" t="s">
        <v>216</v>
      </c>
      <c r="E113" s="10" t="s">
        <v>232</v>
      </c>
      <c r="F113" s="6"/>
      <c r="G113" s="6" t="s">
        <v>450</v>
      </c>
      <c r="H113" s="6" t="s">
        <v>750</v>
      </c>
      <c r="I113" s="6" t="s">
        <v>749</v>
      </c>
      <c r="J113" s="6"/>
      <c r="K113" s="6"/>
      <c r="L113" s="6" t="s">
        <v>738</v>
      </c>
      <c r="M113" s="4" t="s">
        <v>233</v>
      </c>
      <c r="N113" s="4"/>
      <c r="O113" s="4"/>
      <c r="Q113" s="1" t="str">
        <f t="shared" si="1"/>
        <v>*/Consignment/TransportEquipment[0]/GoodsReference[0]</v>
      </c>
    </row>
    <row r="114" spans="1:17" ht="12" customHeight="1" outlineLevel="4" x14ac:dyDescent="0.25">
      <c r="A114" s="1" t="str">
        <f t="shared" si="0"/>
        <v>CC170C</v>
      </c>
      <c r="B114" s="1">
        <v>4</v>
      </c>
      <c r="C114" s="1" t="s">
        <v>17</v>
      </c>
      <c r="D114" s="1" t="s">
        <v>18</v>
      </c>
      <c r="E114" s="11" t="s">
        <v>93</v>
      </c>
      <c r="F114" s="3" t="s">
        <v>94</v>
      </c>
      <c r="G114" s="3" t="s">
        <v>21</v>
      </c>
      <c r="H114" s="3" t="s">
        <v>475</v>
      </c>
      <c r="I114" s="3"/>
      <c r="J114" s="3"/>
      <c r="K114" s="3"/>
      <c r="L114" s="3"/>
      <c r="M114" s="1" t="s">
        <v>95</v>
      </c>
      <c r="P114" s="1" t="s">
        <v>96</v>
      </c>
      <c r="Q114" s="1" t="str">
        <f t="shared" si="1"/>
        <v>*/Consignment/TransportEquipment[0]/GoodsReference[0]/sequenceNumber</v>
      </c>
    </row>
    <row r="115" spans="1:17" ht="12" customHeight="1" outlineLevel="4" x14ac:dyDescent="0.25">
      <c r="A115" s="1" t="str">
        <f t="shared" si="0"/>
        <v>CC170C</v>
      </c>
      <c r="B115" s="1">
        <v>4</v>
      </c>
      <c r="C115" s="1" t="s">
        <v>17</v>
      </c>
      <c r="D115" s="1" t="s">
        <v>18</v>
      </c>
      <c r="E115" s="11" t="s">
        <v>234</v>
      </c>
      <c r="F115" s="3" t="s">
        <v>235</v>
      </c>
      <c r="G115" s="3" t="s">
        <v>21</v>
      </c>
      <c r="H115" s="3"/>
      <c r="I115" s="3" t="s">
        <v>751</v>
      </c>
      <c r="J115" s="3"/>
      <c r="K115" s="3"/>
      <c r="L115" s="3" t="s">
        <v>752</v>
      </c>
      <c r="M115" s="1" t="s">
        <v>236</v>
      </c>
      <c r="P115" s="1" t="s">
        <v>237</v>
      </c>
      <c r="Q115" s="1" t="str">
        <f t="shared" si="1"/>
        <v>*/Consignment/TransportEquipment[0]/GoodsReference[0]/declarationGoodsItemNumber</v>
      </c>
    </row>
    <row r="116" spans="1:17" ht="12" customHeight="1" outlineLevel="2" x14ac:dyDescent="0.25">
      <c r="A116" s="4" t="str">
        <f t="shared" si="0"/>
        <v>CC170C</v>
      </c>
      <c r="B116" s="4">
        <v>2</v>
      </c>
      <c r="C116" s="4" t="s">
        <v>41</v>
      </c>
      <c r="D116" s="4" t="s">
        <v>18</v>
      </c>
      <c r="E116" s="8" t="s">
        <v>238</v>
      </c>
      <c r="F116" s="6"/>
      <c r="G116" s="6" t="s">
        <v>450</v>
      </c>
      <c r="H116" s="6" t="s">
        <v>637</v>
      </c>
      <c r="I116" s="6" t="s">
        <v>636</v>
      </c>
      <c r="J116" s="6"/>
      <c r="K116" s="6"/>
      <c r="L116" s="6" t="s">
        <v>630</v>
      </c>
      <c r="M116" s="4" t="s">
        <v>239</v>
      </c>
      <c r="N116" s="4"/>
      <c r="O116" s="4"/>
      <c r="Q116" s="1" t="str">
        <f t="shared" si="1"/>
        <v>*/Consignment/LocationOfGoods</v>
      </c>
    </row>
    <row r="117" spans="1:17" ht="12" customHeight="1" outlineLevel="3" x14ac:dyDescent="0.25">
      <c r="A117" s="1" t="str">
        <f t="shared" si="0"/>
        <v>CC170C</v>
      </c>
      <c r="B117" s="1">
        <v>3</v>
      </c>
      <c r="C117" s="1" t="s">
        <v>17</v>
      </c>
      <c r="D117" s="1" t="s">
        <v>18</v>
      </c>
      <c r="E117" s="9" t="s">
        <v>240</v>
      </c>
      <c r="F117" s="3" t="s">
        <v>57</v>
      </c>
      <c r="G117" s="3" t="s">
        <v>21</v>
      </c>
      <c r="H117" s="3"/>
      <c r="I117" s="3"/>
      <c r="J117" s="3" t="s">
        <v>638</v>
      </c>
      <c r="K117" s="3"/>
      <c r="L117" s="3" t="s">
        <v>631</v>
      </c>
      <c r="M117" s="1" t="s">
        <v>241</v>
      </c>
      <c r="P117" s="1" t="s">
        <v>242</v>
      </c>
      <c r="Q117" s="1" t="str">
        <f t="shared" si="1"/>
        <v>*/Consignment/LocationOfGoods/typeOfLocation</v>
      </c>
    </row>
    <row r="118" spans="1:17" ht="12" customHeight="1" outlineLevel="3" x14ac:dyDescent="0.25">
      <c r="A118" s="1" t="str">
        <f t="shared" si="0"/>
        <v>CC170C</v>
      </c>
      <c r="B118" s="1">
        <v>3</v>
      </c>
      <c r="C118" s="1" t="s">
        <v>17</v>
      </c>
      <c r="D118" s="1" t="s">
        <v>18</v>
      </c>
      <c r="E118" s="9" t="s">
        <v>243</v>
      </c>
      <c r="F118" s="3" t="s">
        <v>57</v>
      </c>
      <c r="G118" s="3" t="s">
        <v>21</v>
      </c>
      <c r="H118" s="3" t="s">
        <v>639</v>
      </c>
      <c r="I118" s="3"/>
      <c r="J118" s="3" t="s">
        <v>640</v>
      </c>
      <c r="K118" s="3"/>
      <c r="L118" s="3" t="s">
        <v>632</v>
      </c>
      <c r="M118" s="1" t="s">
        <v>244</v>
      </c>
      <c r="P118" s="1" t="s">
        <v>245</v>
      </c>
      <c r="Q118" s="1" t="str">
        <f t="shared" si="1"/>
        <v>*/Consignment/LocationOfGoods/qualifierOfIdentification</v>
      </c>
    </row>
    <row r="119" spans="1:17" ht="12" customHeight="1" outlineLevel="3" x14ac:dyDescent="0.25">
      <c r="A119" s="1" t="str">
        <f t="shared" si="0"/>
        <v>CC170C</v>
      </c>
      <c r="B119" s="1">
        <v>3</v>
      </c>
      <c r="C119" s="1" t="s">
        <v>17</v>
      </c>
      <c r="D119" s="1" t="s">
        <v>36</v>
      </c>
      <c r="E119" s="9" t="s">
        <v>246</v>
      </c>
      <c r="F119" s="3" t="s">
        <v>101</v>
      </c>
      <c r="G119" s="3" t="s">
        <v>450</v>
      </c>
      <c r="H119" s="3"/>
      <c r="I119" s="3" t="s">
        <v>641</v>
      </c>
      <c r="J119" s="3"/>
      <c r="K119" s="3"/>
      <c r="L119" s="3" t="s">
        <v>633</v>
      </c>
      <c r="M119" s="1" t="s">
        <v>247</v>
      </c>
      <c r="P119" s="1" t="s">
        <v>248</v>
      </c>
      <c r="Q119" s="1" t="str">
        <f t="shared" si="1"/>
        <v>*/Consignment/LocationOfGoods/authorisationNumber</v>
      </c>
    </row>
    <row r="120" spans="1:17" ht="12" customHeight="1" outlineLevel="3" x14ac:dyDescent="0.25">
      <c r="A120" s="1" t="str">
        <f t="shared" si="0"/>
        <v>CC170C</v>
      </c>
      <c r="B120" s="1">
        <v>3</v>
      </c>
      <c r="C120" s="1" t="s">
        <v>17</v>
      </c>
      <c r="D120" s="1" t="s">
        <v>36</v>
      </c>
      <c r="E120" s="9" t="s">
        <v>249</v>
      </c>
      <c r="F120" s="3" t="s">
        <v>250</v>
      </c>
      <c r="G120" s="3" t="s">
        <v>450</v>
      </c>
      <c r="H120" s="3"/>
      <c r="I120" s="3" t="s">
        <v>642</v>
      </c>
      <c r="J120" s="3"/>
      <c r="K120" s="3"/>
      <c r="L120" s="3" t="s">
        <v>634</v>
      </c>
      <c r="M120" s="1" t="s">
        <v>251</v>
      </c>
      <c r="P120" s="1" t="s">
        <v>252</v>
      </c>
      <c r="Q120" s="1" t="str">
        <f t="shared" si="1"/>
        <v>*/Consignment/LocationOfGoods/additionalIdentifier</v>
      </c>
    </row>
    <row r="121" spans="1:17" ht="12" customHeight="1" outlineLevel="3" x14ac:dyDescent="0.25">
      <c r="A121" s="1" t="str">
        <f t="shared" si="0"/>
        <v>CC170C</v>
      </c>
      <c r="B121" s="1">
        <v>3</v>
      </c>
      <c r="C121" s="1" t="s">
        <v>17</v>
      </c>
      <c r="D121" s="1" t="s">
        <v>36</v>
      </c>
      <c r="E121" s="9" t="s">
        <v>253</v>
      </c>
      <c r="F121" s="3" t="s">
        <v>254</v>
      </c>
      <c r="G121" s="3" t="s">
        <v>450</v>
      </c>
      <c r="H121" s="3"/>
      <c r="I121" s="3" t="s">
        <v>641</v>
      </c>
      <c r="J121" s="3" t="s">
        <v>622</v>
      </c>
      <c r="K121" s="3"/>
      <c r="L121" s="3" t="s">
        <v>635</v>
      </c>
      <c r="M121" s="1" t="s">
        <v>255</v>
      </c>
      <c r="P121" s="1" t="s">
        <v>256</v>
      </c>
      <c r="Q121" s="1" t="str">
        <f t="shared" si="1"/>
        <v>*/Consignment/LocationOfGoods/UNLocode</v>
      </c>
    </row>
    <row r="122" spans="1:17" ht="12" customHeight="1" outlineLevel="3" x14ac:dyDescent="0.25">
      <c r="A122" s="4" t="str">
        <f t="shared" si="0"/>
        <v>CC170C</v>
      </c>
      <c r="B122" s="4">
        <v>3</v>
      </c>
      <c r="C122" s="4" t="s">
        <v>41</v>
      </c>
      <c r="D122" s="4" t="s">
        <v>36</v>
      </c>
      <c r="E122" s="10" t="s">
        <v>257</v>
      </c>
      <c r="F122" s="6"/>
      <c r="G122" s="6" t="s">
        <v>450</v>
      </c>
      <c r="H122" s="6"/>
      <c r="I122" s="6" t="s">
        <v>641</v>
      </c>
      <c r="J122" s="6"/>
      <c r="K122" s="6"/>
      <c r="L122" s="6" t="s">
        <v>643</v>
      </c>
      <c r="M122" s="4" t="s">
        <v>258</v>
      </c>
      <c r="N122" s="4"/>
      <c r="O122" s="4"/>
      <c r="Q122" s="1" t="str">
        <f t="shared" si="1"/>
        <v>*/Consignment/LocationOfGoods/CustomsOffice</v>
      </c>
    </row>
    <row r="123" spans="1:17" ht="12" customHeight="1" outlineLevel="4" x14ac:dyDescent="0.25">
      <c r="A123" s="1" t="str">
        <f t="shared" si="0"/>
        <v>CC170C</v>
      </c>
      <c r="B123" s="1">
        <v>4</v>
      </c>
      <c r="C123" s="1" t="s">
        <v>17</v>
      </c>
      <c r="D123" s="1" t="s">
        <v>18</v>
      </c>
      <c r="E123" s="11" t="s">
        <v>100</v>
      </c>
      <c r="F123" s="3" t="s">
        <v>106</v>
      </c>
      <c r="G123" s="3" t="s">
        <v>21</v>
      </c>
      <c r="H123" s="3"/>
      <c r="I123" s="3"/>
      <c r="J123" s="3" t="s">
        <v>645</v>
      </c>
      <c r="K123" s="3"/>
      <c r="L123" s="3" t="s">
        <v>644</v>
      </c>
      <c r="M123" s="1" t="s">
        <v>102</v>
      </c>
      <c r="P123" s="1" t="s">
        <v>107</v>
      </c>
      <c r="Q123" s="1" t="str">
        <f t="shared" si="1"/>
        <v>*/Consignment/LocationOfGoods/CustomsOffice/referenceNumber</v>
      </c>
    </row>
    <row r="124" spans="1:17" ht="12" customHeight="1" outlineLevel="3" x14ac:dyDescent="0.25">
      <c r="A124" s="4" t="str">
        <f t="shared" si="0"/>
        <v>CC170C</v>
      </c>
      <c r="B124" s="4">
        <v>3</v>
      </c>
      <c r="C124" s="4" t="s">
        <v>41</v>
      </c>
      <c r="D124" s="4" t="s">
        <v>36</v>
      </c>
      <c r="E124" s="10" t="s">
        <v>259</v>
      </c>
      <c r="F124" s="6"/>
      <c r="G124" s="6" t="s">
        <v>450</v>
      </c>
      <c r="H124" s="6"/>
      <c r="I124" s="6" t="s">
        <v>641</v>
      </c>
      <c r="J124" s="6"/>
      <c r="K124" s="6"/>
      <c r="L124" s="6" t="s">
        <v>646</v>
      </c>
      <c r="M124" s="4" t="s">
        <v>260</v>
      </c>
      <c r="N124" s="4"/>
      <c r="O124" s="4"/>
      <c r="Q124" s="1" t="str">
        <f t="shared" si="1"/>
        <v>*/Consignment/LocationOfGoods/GNSS</v>
      </c>
    </row>
    <row r="125" spans="1:17" ht="12" customHeight="1" outlineLevel="4" x14ac:dyDescent="0.25">
      <c r="A125" s="1" t="str">
        <f t="shared" si="0"/>
        <v>CC170C</v>
      </c>
      <c r="B125" s="1">
        <v>4</v>
      </c>
      <c r="C125" s="1" t="s">
        <v>17</v>
      </c>
      <c r="D125" s="1" t="s">
        <v>18</v>
      </c>
      <c r="E125" s="11" t="s">
        <v>261</v>
      </c>
      <c r="F125" s="3" t="s">
        <v>404</v>
      </c>
      <c r="G125" s="3" t="s">
        <v>21</v>
      </c>
      <c r="H125" s="3" t="s">
        <v>649</v>
      </c>
      <c r="I125" s="3"/>
      <c r="J125" s="3"/>
      <c r="K125" s="3"/>
      <c r="L125" s="3" t="s">
        <v>647</v>
      </c>
      <c r="M125" s="1" t="s">
        <v>262</v>
      </c>
      <c r="P125" s="1" t="s">
        <v>263</v>
      </c>
      <c r="Q125" s="1" t="str">
        <f t="shared" si="1"/>
        <v>*/Consignment/LocationOfGoods/GNSS/latitude</v>
      </c>
    </row>
    <row r="126" spans="1:17" ht="12" customHeight="1" outlineLevel="4" x14ac:dyDescent="0.25">
      <c r="A126" s="1" t="str">
        <f t="shared" si="0"/>
        <v>CC170C</v>
      </c>
      <c r="B126" s="1">
        <v>4</v>
      </c>
      <c r="C126" s="1" t="s">
        <v>17</v>
      </c>
      <c r="D126" s="1" t="s">
        <v>18</v>
      </c>
      <c r="E126" s="11" t="s">
        <v>264</v>
      </c>
      <c r="F126" s="3" t="s">
        <v>405</v>
      </c>
      <c r="G126" s="3" t="s">
        <v>21</v>
      </c>
      <c r="H126" s="3" t="s">
        <v>649</v>
      </c>
      <c r="I126" s="3"/>
      <c r="J126" s="3"/>
      <c r="K126" s="3"/>
      <c r="L126" s="3" t="s">
        <v>648</v>
      </c>
      <c r="M126" s="1" t="s">
        <v>265</v>
      </c>
      <c r="P126" s="1" t="s">
        <v>266</v>
      </c>
      <c r="Q126" s="1" t="str">
        <f t="shared" si="1"/>
        <v>*/Consignment/LocationOfGoods/GNSS/longitude</v>
      </c>
    </row>
    <row r="127" spans="1:17" ht="12" customHeight="1" outlineLevel="3" x14ac:dyDescent="0.25">
      <c r="A127" s="4" t="str">
        <f t="shared" si="0"/>
        <v>CC170C</v>
      </c>
      <c r="B127" s="4">
        <v>3</v>
      </c>
      <c r="C127" s="4" t="s">
        <v>41</v>
      </c>
      <c r="D127" s="4" t="s">
        <v>36</v>
      </c>
      <c r="E127" s="10" t="s">
        <v>267</v>
      </c>
      <c r="F127" s="6"/>
      <c r="G127" s="6" t="s">
        <v>450</v>
      </c>
      <c r="H127" s="6"/>
      <c r="I127" s="6" t="s">
        <v>641</v>
      </c>
      <c r="J127" s="6"/>
      <c r="K127" s="6"/>
      <c r="L127" s="6" t="s">
        <v>650</v>
      </c>
      <c r="M127" s="4" t="s">
        <v>268</v>
      </c>
      <c r="N127" s="4"/>
      <c r="O127" s="4"/>
      <c r="Q127" s="1" t="str">
        <f t="shared" si="1"/>
        <v>*/Consignment/LocationOfGoods/EconomicOperator</v>
      </c>
    </row>
    <row r="128" spans="1:17" ht="12" customHeight="1" outlineLevel="4" x14ac:dyDescent="0.25">
      <c r="A128" s="1" t="str">
        <f t="shared" si="0"/>
        <v>CC170C</v>
      </c>
      <c r="B128" s="1">
        <v>4</v>
      </c>
      <c r="C128" s="1" t="s">
        <v>17</v>
      </c>
      <c r="D128" s="1" t="s">
        <v>18</v>
      </c>
      <c r="E128" s="11" t="s">
        <v>119</v>
      </c>
      <c r="F128" s="3" t="s">
        <v>120</v>
      </c>
      <c r="G128" s="3" t="s">
        <v>21</v>
      </c>
      <c r="H128" s="3" t="s">
        <v>537</v>
      </c>
      <c r="I128" s="3"/>
      <c r="J128" s="3"/>
      <c r="K128" s="3"/>
      <c r="L128" s="3" t="s">
        <v>651</v>
      </c>
      <c r="M128" s="1" t="s">
        <v>121</v>
      </c>
      <c r="P128" s="1" t="s">
        <v>122</v>
      </c>
      <c r="Q128" s="1" t="str">
        <f t="shared" si="1"/>
        <v>*/Consignment/LocationOfGoods/EconomicOperator/identificationNumber</v>
      </c>
    </row>
    <row r="129" spans="1:17" ht="12" customHeight="1" outlineLevel="3" x14ac:dyDescent="0.25">
      <c r="A129" s="4" t="str">
        <f t="shared" si="0"/>
        <v>CC170C</v>
      </c>
      <c r="B129" s="4">
        <v>3</v>
      </c>
      <c r="C129" s="4" t="s">
        <v>41</v>
      </c>
      <c r="D129" s="4" t="s">
        <v>36</v>
      </c>
      <c r="E129" s="10" t="s">
        <v>129</v>
      </c>
      <c r="F129" s="6"/>
      <c r="G129" s="6" t="s">
        <v>450</v>
      </c>
      <c r="H129" s="6"/>
      <c r="I129" s="6" t="s">
        <v>641</v>
      </c>
      <c r="J129" s="6"/>
      <c r="K129" s="6"/>
      <c r="L129" s="6" t="s">
        <v>652</v>
      </c>
      <c r="M129" s="4" t="s">
        <v>129</v>
      </c>
      <c r="N129" s="4"/>
      <c r="O129" s="4"/>
      <c r="Q129" s="1" t="str">
        <f t="shared" si="1"/>
        <v>*/Consignment/LocationOfGoods/Address</v>
      </c>
    </row>
    <row r="130" spans="1:17" ht="12" customHeight="1" outlineLevel="4" x14ac:dyDescent="0.25">
      <c r="A130" s="1" t="str">
        <f t="shared" si="0"/>
        <v>CC170C</v>
      </c>
      <c r="B130" s="1">
        <v>4</v>
      </c>
      <c r="C130" s="1" t="s">
        <v>17</v>
      </c>
      <c r="D130" s="1" t="s">
        <v>18</v>
      </c>
      <c r="E130" s="11" t="s">
        <v>130</v>
      </c>
      <c r="F130" s="3" t="s">
        <v>126</v>
      </c>
      <c r="G130" s="3" t="s">
        <v>21</v>
      </c>
      <c r="H130" s="3"/>
      <c r="I130" s="3"/>
      <c r="J130" s="3"/>
      <c r="K130" s="3"/>
      <c r="L130" s="3" t="s">
        <v>653</v>
      </c>
      <c r="M130" s="1" t="s">
        <v>131</v>
      </c>
      <c r="P130" s="1" t="s">
        <v>132</v>
      </c>
      <c r="Q130" s="1" t="str">
        <f t="shared" si="1"/>
        <v>*/Consignment/LocationOfGoods/Address/streetAndNumber</v>
      </c>
    </row>
    <row r="131" spans="1:17" ht="12" customHeight="1" outlineLevel="4" x14ac:dyDescent="0.25">
      <c r="A131" s="1" t="str">
        <f t="shared" si="0"/>
        <v>CC170C</v>
      </c>
      <c r="B131" s="1">
        <v>4</v>
      </c>
      <c r="C131" s="1" t="s">
        <v>17</v>
      </c>
      <c r="D131" s="1" t="s">
        <v>36</v>
      </c>
      <c r="E131" s="11" t="s">
        <v>133</v>
      </c>
      <c r="F131" s="3" t="s">
        <v>120</v>
      </c>
      <c r="G131" s="3" t="s">
        <v>450</v>
      </c>
      <c r="H131" s="3"/>
      <c r="I131" s="3" t="s">
        <v>544</v>
      </c>
      <c r="J131" s="3"/>
      <c r="K131" s="3"/>
      <c r="L131" s="3" t="s">
        <v>654</v>
      </c>
      <c r="M131" s="1" t="s">
        <v>134</v>
      </c>
      <c r="P131" s="1" t="s">
        <v>135</v>
      </c>
      <c r="Q131" s="1" t="str">
        <f t="shared" si="1"/>
        <v>*/Consignment/LocationOfGoods/Address/postcode</v>
      </c>
    </row>
    <row r="132" spans="1:17" ht="12" customHeight="1" outlineLevel="4" x14ac:dyDescent="0.25">
      <c r="A132" s="1" t="str">
        <f t="shared" si="0"/>
        <v>CC170C</v>
      </c>
      <c r="B132" s="1">
        <v>4</v>
      </c>
      <c r="C132" s="1" t="s">
        <v>17</v>
      </c>
      <c r="D132" s="1" t="s">
        <v>18</v>
      </c>
      <c r="E132" s="11" t="s">
        <v>136</v>
      </c>
      <c r="F132" s="3" t="s">
        <v>101</v>
      </c>
      <c r="G132" s="3" t="s">
        <v>21</v>
      </c>
      <c r="H132" s="3"/>
      <c r="I132" s="3"/>
      <c r="J132" s="3"/>
      <c r="K132" s="3"/>
      <c r="L132" s="3" t="s">
        <v>655</v>
      </c>
      <c r="M132" s="1" t="s">
        <v>137</v>
      </c>
      <c r="P132" s="1" t="s">
        <v>138</v>
      </c>
      <c r="Q132" s="1" t="str">
        <f t="shared" si="1"/>
        <v>*/Consignment/LocationOfGoods/Address/city</v>
      </c>
    </row>
    <row r="133" spans="1:17" ht="12" customHeight="1" outlineLevel="4" x14ac:dyDescent="0.25">
      <c r="A133" s="1" t="str">
        <f t="shared" si="0"/>
        <v>CC170C</v>
      </c>
      <c r="B133" s="1">
        <v>4</v>
      </c>
      <c r="C133" s="1" t="s">
        <v>17</v>
      </c>
      <c r="D133" s="1" t="s">
        <v>18</v>
      </c>
      <c r="E133" s="11" t="s">
        <v>139</v>
      </c>
      <c r="F133" s="3" t="s">
        <v>140</v>
      </c>
      <c r="G133" s="3" t="s">
        <v>21</v>
      </c>
      <c r="H133" s="3"/>
      <c r="I133" s="3"/>
      <c r="J133" s="3" t="s">
        <v>657</v>
      </c>
      <c r="K133" s="3"/>
      <c r="L133" s="3" t="s">
        <v>656</v>
      </c>
      <c r="M133" s="1" t="s">
        <v>141</v>
      </c>
      <c r="P133" s="1" t="s">
        <v>142</v>
      </c>
      <c r="Q133" s="1" t="str">
        <f t="shared" si="1"/>
        <v>*/Consignment/LocationOfGoods/Address/country</v>
      </c>
    </row>
    <row r="134" spans="1:17" ht="12" customHeight="1" outlineLevel="3" x14ac:dyDescent="0.25">
      <c r="A134" s="4" t="str">
        <f t="shared" si="0"/>
        <v>CC170C</v>
      </c>
      <c r="B134" s="4">
        <v>3</v>
      </c>
      <c r="C134" s="4" t="s">
        <v>41</v>
      </c>
      <c r="D134" s="4" t="s">
        <v>36</v>
      </c>
      <c r="E134" s="10" t="s">
        <v>269</v>
      </c>
      <c r="F134" s="6"/>
      <c r="G134" s="6" t="s">
        <v>450</v>
      </c>
      <c r="H134" s="6"/>
      <c r="I134" s="6" t="s">
        <v>641</v>
      </c>
      <c r="J134" s="6"/>
      <c r="K134" s="6"/>
      <c r="L134" s="6" t="s">
        <v>658</v>
      </c>
      <c r="M134" s="4" t="s">
        <v>270</v>
      </c>
      <c r="N134" s="4"/>
      <c r="O134" s="4"/>
      <c r="Q134" s="1" t="str">
        <f t="shared" si="1"/>
        <v>*/Consignment/LocationOfGoods/PostcodeAddress</v>
      </c>
    </row>
    <row r="135" spans="1:17" ht="12" customHeight="1" outlineLevel="4" x14ac:dyDescent="0.25">
      <c r="A135" s="1" t="str">
        <f t="shared" si="0"/>
        <v>CC170C</v>
      </c>
      <c r="B135" s="1">
        <v>4</v>
      </c>
      <c r="C135" s="1" t="s">
        <v>17</v>
      </c>
      <c r="D135" s="1" t="s">
        <v>36</v>
      </c>
      <c r="E135" s="11" t="s">
        <v>271</v>
      </c>
      <c r="F135" s="3" t="s">
        <v>120</v>
      </c>
      <c r="G135" s="3" t="s">
        <v>450</v>
      </c>
      <c r="H135" s="3"/>
      <c r="I135" s="3" t="s">
        <v>661</v>
      </c>
      <c r="J135" s="3"/>
      <c r="K135" s="3"/>
      <c r="L135" s="3" t="s">
        <v>659</v>
      </c>
      <c r="M135" s="1" t="s">
        <v>272</v>
      </c>
      <c r="P135" s="1" t="s">
        <v>273</v>
      </c>
      <c r="Q135" s="1" t="str">
        <f t="shared" si="1"/>
        <v>*/Consignment/LocationOfGoods/PostcodeAddress/houseNumber</v>
      </c>
    </row>
    <row r="136" spans="1:17" ht="12" customHeight="1" outlineLevel="4" x14ac:dyDescent="0.25">
      <c r="A136" s="1" t="str">
        <f t="shared" si="0"/>
        <v>CC170C</v>
      </c>
      <c r="B136" s="1">
        <v>4</v>
      </c>
      <c r="C136" s="1" t="s">
        <v>17</v>
      </c>
      <c r="D136" s="1" t="s">
        <v>18</v>
      </c>
      <c r="E136" s="11" t="s">
        <v>133</v>
      </c>
      <c r="F136" s="3" t="s">
        <v>120</v>
      </c>
      <c r="G136" s="3" t="s">
        <v>21</v>
      </c>
      <c r="H136" s="3"/>
      <c r="I136" s="3"/>
      <c r="J136" s="3"/>
      <c r="K136" s="3"/>
      <c r="L136" s="3" t="s">
        <v>660</v>
      </c>
      <c r="M136" s="1" t="s">
        <v>134</v>
      </c>
      <c r="P136" s="1" t="s">
        <v>135</v>
      </c>
      <c r="Q136" s="1" t="str">
        <f t="shared" si="1"/>
        <v>*/Consignment/LocationOfGoods/PostcodeAddress/postcode</v>
      </c>
    </row>
    <row r="137" spans="1:17" ht="12" customHeight="1" outlineLevel="4" x14ac:dyDescent="0.25">
      <c r="A137" s="1" t="str">
        <f t="shared" si="0"/>
        <v>CC170C</v>
      </c>
      <c r="B137" s="1">
        <v>4</v>
      </c>
      <c r="C137" s="1" t="s">
        <v>17</v>
      </c>
      <c r="D137" s="1" t="s">
        <v>18</v>
      </c>
      <c r="E137" s="11" t="s">
        <v>139</v>
      </c>
      <c r="F137" s="3" t="s">
        <v>140</v>
      </c>
      <c r="G137" s="3" t="s">
        <v>21</v>
      </c>
      <c r="H137" s="3"/>
      <c r="I137" s="3"/>
      <c r="J137" s="3" t="s">
        <v>663</v>
      </c>
      <c r="K137" s="3"/>
      <c r="L137" s="3" t="s">
        <v>662</v>
      </c>
      <c r="M137" s="1" t="s">
        <v>141</v>
      </c>
      <c r="P137" s="1" t="s">
        <v>142</v>
      </c>
      <c r="Q137" s="1" t="str">
        <f t="shared" si="1"/>
        <v>*/Consignment/LocationOfGoods/PostcodeAddress/country</v>
      </c>
    </row>
    <row r="138" spans="1:17" ht="12" customHeight="1" outlineLevel="3" x14ac:dyDescent="0.25">
      <c r="A138" s="4" t="str">
        <f t="shared" ref="A138:A224" si="2">$E$2</f>
        <v>CC170C</v>
      </c>
      <c r="B138" s="4">
        <v>3</v>
      </c>
      <c r="C138" s="4" t="s">
        <v>41</v>
      </c>
      <c r="D138" s="4" t="s">
        <v>36</v>
      </c>
      <c r="E138" s="10" t="s">
        <v>143</v>
      </c>
      <c r="F138" s="6"/>
      <c r="G138" s="6" t="s">
        <v>450</v>
      </c>
      <c r="H138" s="6" t="s">
        <v>549</v>
      </c>
      <c r="I138" s="6" t="s">
        <v>641</v>
      </c>
      <c r="J138" s="6"/>
      <c r="K138" s="6"/>
      <c r="L138" s="6" t="s">
        <v>664</v>
      </c>
      <c r="M138" s="4" t="s">
        <v>144</v>
      </c>
      <c r="N138" s="4"/>
      <c r="O138" s="4"/>
      <c r="Q138" s="1" t="str">
        <f t="shared" ref="Q138:Q225" si="3">IF($B138=0,$M138,_xlfn.TEXTBEFORE(Q137,"/",$B138,,,Q137)&amp;"/"&amp;$M138)&amp;IF(_xlfn.TEXTAFTER($D138,"..",,,,1)&lt;&gt;"1","[0]","")</f>
        <v>*/Consignment/LocationOfGoods/ContactPerson</v>
      </c>
    </row>
    <row r="139" spans="1:17" ht="12" customHeight="1" outlineLevel="4" x14ac:dyDescent="0.25">
      <c r="A139" s="1" t="str">
        <f t="shared" si="2"/>
        <v>CC170C</v>
      </c>
      <c r="B139" s="1">
        <v>4</v>
      </c>
      <c r="C139" s="1" t="s">
        <v>17</v>
      </c>
      <c r="D139" s="1" t="s">
        <v>18</v>
      </c>
      <c r="E139" s="11" t="s">
        <v>4</v>
      </c>
      <c r="F139" s="3" t="s">
        <v>126</v>
      </c>
      <c r="G139" s="3" t="s">
        <v>21</v>
      </c>
      <c r="H139" s="3"/>
      <c r="I139" s="3"/>
      <c r="J139" s="3"/>
      <c r="K139" s="3"/>
      <c r="L139" s="3" t="s">
        <v>665</v>
      </c>
      <c r="M139" s="1" t="s">
        <v>127</v>
      </c>
      <c r="P139" s="1" t="s">
        <v>128</v>
      </c>
      <c r="Q139" s="1" t="str">
        <f t="shared" si="3"/>
        <v>*/Consignment/LocationOfGoods/ContactPerson/name</v>
      </c>
    </row>
    <row r="140" spans="1:17" ht="12" customHeight="1" outlineLevel="4" x14ac:dyDescent="0.25">
      <c r="A140" s="1" t="str">
        <f t="shared" si="2"/>
        <v>CC170C</v>
      </c>
      <c r="B140" s="1">
        <v>4</v>
      </c>
      <c r="C140" s="1" t="s">
        <v>17</v>
      </c>
      <c r="D140" s="1" t="s">
        <v>18</v>
      </c>
      <c r="E140" s="11" t="s">
        <v>145</v>
      </c>
      <c r="F140" s="3" t="s">
        <v>20</v>
      </c>
      <c r="G140" s="3" t="s">
        <v>21</v>
      </c>
      <c r="H140" s="3"/>
      <c r="I140" s="3"/>
      <c r="J140" s="3"/>
      <c r="K140" s="3"/>
      <c r="L140" s="3" t="s">
        <v>666</v>
      </c>
      <c r="M140" s="1" t="s">
        <v>146</v>
      </c>
      <c r="P140" s="1" t="s">
        <v>147</v>
      </c>
      <c r="Q140" s="1" t="str">
        <f t="shared" si="3"/>
        <v>*/Consignment/LocationOfGoods/ContactPerson/phoneNumber</v>
      </c>
    </row>
    <row r="141" spans="1:17" ht="12" customHeight="1" outlineLevel="4" x14ac:dyDescent="0.25">
      <c r="A141" s="1" t="str">
        <f t="shared" si="2"/>
        <v>CC170C</v>
      </c>
      <c r="B141" s="1">
        <v>4</v>
      </c>
      <c r="C141" s="1" t="s">
        <v>17</v>
      </c>
      <c r="D141" s="1" t="s">
        <v>36</v>
      </c>
      <c r="E141" s="11" t="s">
        <v>148</v>
      </c>
      <c r="F141" s="3" t="s">
        <v>149</v>
      </c>
      <c r="G141" s="3" t="s">
        <v>38</v>
      </c>
      <c r="H141" s="3" t="s">
        <v>458</v>
      </c>
      <c r="I141" s="3"/>
      <c r="J141" s="3"/>
      <c r="K141" s="3"/>
      <c r="L141" s="3" t="s">
        <v>667</v>
      </c>
      <c r="M141" s="1" t="s">
        <v>150</v>
      </c>
      <c r="P141" s="1" t="s">
        <v>151</v>
      </c>
      <c r="Q141" s="1" t="str">
        <f t="shared" si="3"/>
        <v>*/Consignment/LocationOfGoods/ContactPerson/eMailAddress</v>
      </c>
    </row>
    <row r="142" spans="1:17" ht="12" customHeight="1" outlineLevel="2" x14ac:dyDescent="0.25">
      <c r="A142" s="4" t="str">
        <f t="shared" si="2"/>
        <v>CC170C</v>
      </c>
      <c r="B142" s="4">
        <v>2</v>
      </c>
      <c r="C142" s="4" t="s">
        <v>41</v>
      </c>
      <c r="D142" s="4" t="s">
        <v>274</v>
      </c>
      <c r="E142" s="8" t="s">
        <v>275</v>
      </c>
      <c r="F142" s="6"/>
      <c r="G142" s="6" t="s">
        <v>450</v>
      </c>
      <c r="H142" s="6" t="s">
        <v>731</v>
      </c>
      <c r="I142" s="6" t="s">
        <v>730</v>
      </c>
      <c r="J142" s="6"/>
      <c r="K142" s="6"/>
      <c r="L142" s="6" t="s">
        <v>716</v>
      </c>
      <c r="M142" s="4" t="s">
        <v>276</v>
      </c>
      <c r="N142" s="4"/>
      <c r="O142" s="4"/>
      <c r="Q142" s="1" t="str">
        <f t="shared" si="3"/>
        <v>*/Consignment/DepartureTransportMeans[0]</v>
      </c>
    </row>
    <row r="143" spans="1:17" ht="12" customHeight="1" outlineLevel="3" x14ac:dyDescent="0.25">
      <c r="A143" s="1" t="str">
        <f t="shared" si="2"/>
        <v>CC170C</v>
      </c>
      <c r="B143" s="1">
        <v>3</v>
      </c>
      <c r="C143" s="1" t="s">
        <v>17</v>
      </c>
      <c r="D143" s="1" t="s">
        <v>18</v>
      </c>
      <c r="E143" s="9" t="s">
        <v>93</v>
      </c>
      <c r="F143" s="3" t="s">
        <v>717</v>
      </c>
      <c r="G143" s="3" t="s">
        <v>21</v>
      </c>
      <c r="H143" s="3" t="s">
        <v>475</v>
      </c>
      <c r="I143" s="3"/>
      <c r="J143" s="3"/>
      <c r="K143" s="3"/>
      <c r="L143" s="3"/>
      <c r="M143" s="1" t="s">
        <v>95</v>
      </c>
      <c r="P143" s="1" t="s">
        <v>96</v>
      </c>
      <c r="Q143" s="1" t="str">
        <f t="shared" si="3"/>
        <v>*/Consignment/DepartureTransportMeans[0]/sequenceNumber</v>
      </c>
    </row>
    <row r="144" spans="1:17" ht="12" customHeight="1" outlineLevel="3" x14ac:dyDescent="0.25">
      <c r="A144" s="1" t="str">
        <f t="shared" si="2"/>
        <v>CC170C</v>
      </c>
      <c r="B144" s="1">
        <v>3</v>
      </c>
      <c r="C144" s="1" t="s">
        <v>17</v>
      </c>
      <c r="D144" s="1" t="s">
        <v>18</v>
      </c>
      <c r="E144" s="9" t="s">
        <v>277</v>
      </c>
      <c r="F144" s="3" t="s">
        <v>278</v>
      </c>
      <c r="G144" s="3" t="s">
        <v>21</v>
      </c>
      <c r="H144" s="3" t="s">
        <v>736</v>
      </c>
      <c r="I144" s="3"/>
      <c r="J144" s="3" t="s">
        <v>732</v>
      </c>
      <c r="K144" s="3"/>
      <c r="L144" s="3" t="s">
        <v>727</v>
      </c>
      <c r="M144" s="1" t="s">
        <v>279</v>
      </c>
      <c r="P144" s="1" t="s">
        <v>280</v>
      </c>
      <c r="Q144" s="1" t="str">
        <f t="shared" si="3"/>
        <v>*/Consignment/DepartureTransportMeans[0]/typeOfIdentification</v>
      </c>
    </row>
    <row r="145" spans="1:17" ht="12" customHeight="1" outlineLevel="3" x14ac:dyDescent="0.25">
      <c r="A145" s="1" t="str">
        <f t="shared" si="2"/>
        <v>CC170C</v>
      </c>
      <c r="B145" s="1">
        <v>3</v>
      </c>
      <c r="C145" s="1" t="s">
        <v>17</v>
      </c>
      <c r="D145" s="1" t="s">
        <v>18</v>
      </c>
      <c r="E145" s="9" t="s">
        <v>119</v>
      </c>
      <c r="F145" s="3" t="s">
        <v>101</v>
      </c>
      <c r="G145" s="3" t="s">
        <v>21</v>
      </c>
      <c r="H145" s="3" t="s">
        <v>735</v>
      </c>
      <c r="I145" s="3"/>
      <c r="J145" s="3"/>
      <c r="K145" s="3"/>
      <c r="L145" s="3" t="s">
        <v>728</v>
      </c>
      <c r="M145" s="1" t="s">
        <v>121</v>
      </c>
      <c r="P145" s="1" t="s">
        <v>281</v>
      </c>
      <c r="Q145" s="1" t="str">
        <f t="shared" si="3"/>
        <v>*/Consignment/DepartureTransportMeans[0]/identificationNumber</v>
      </c>
    </row>
    <row r="146" spans="1:17" ht="12" customHeight="1" outlineLevel="3" x14ac:dyDescent="0.25">
      <c r="A146" s="1" t="str">
        <f t="shared" si="2"/>
        <v>CC170C</v>
      </c>
      <c r="B146" s="1">
        <v>3</v>
      </c>
      <c r="C146" s="1" t="s">
        <v>17</v>
      </c>
      <c r="D146" s="1" t="s">
        <v>18</v>
      </c>
      <c r="E146" s="9" t="s">
        <v>282</v>
      </c>
      <c r="F146" s="3" t="s">
        <v>140</v>
      </c>
      <c r="G146" s="3" t="s">
        <v>21</v>
      </c>
      <c r="H146" s="3" t="s">
        <v>734</v>
      </c>
      <c r="I146" s="3"/>
      <c r="J146" s="3" t="s">
        <v>733</v>
      </c>
      <c r="K146" s="3"/>
      <c r="L146" s="3" t="s">
        <v>729</v>
      </c>
      <c r="M146" s="1" t="s">
        <v>283</v>
      </c>
      <c r="P146" s="1" t="s">
        <v>284</v>
      </c>
      <c r="Q146" s="1" t="str">
        <f t="shared" si="3"/>
        <v>*/Consignment/DepartureTransportMeans[0]/nationality</v>
      </c>
    </row>
    <row r="147" spans="1:17" ht="12" customHeight="1" outlineLevel="2" x14ac:dyDescent="0.25">
      <c r="E147" s="9"/>
      <c r="F147" s="3"/>
      <c r="G147" s="3"/>
      <c r="H147" s="3"/>
      <c r="I147" s="3"/>
      <c r="J147" s="3"/>
      <c r="K147" s="3"/>
      <c r="L147" s="3"/>
    </row>
    <row r="148" spans="1:17" ht="12" customHeight="1" outlineLevel="3" x14ac:dyDescent="0.25">
      <c r="E148" s="9"/>
      <c r="F148" s="3"/>
      <c r="G148" s="3"/>
      <c r="H148" s="3"/>
      <c r="I148" s="3"/>
      <c r="J148" s="3"/>
      <c r="K148" s="3"/>
      <c r="L148" s="3"/>
    </row>
    <row r="149" spans="1:17" ht="12" customHeight="1" outlineLevel="3" x14ac:dyDescent="0.25">
      <c r="E149" s="9"/>
      <c r="F149" s="3"/>
      <c r="G149" s="3"/>
      <c r="H149" s="3"/>
      <c r="I149" s="3"/>
      <c r="J149" s="3"/>
      <c r="K149" s="3"/>
      <c r="L149" s="3"/>
    </row>
    <row r="150" spans="1:17" ht="12" customHeight="1" outlineLevel="2" x14ac:dyDescent="0.25">
      <c r="A150" s="4" t="str">
        <f t="shared" si="2"/>
        <v>CC170C</v>
      </c>
      <c r="B150" s="4">
        <v>2</v>
      </c>
      <c r="C150" s="4" t="s">
        <v>41</v>
      </c>
      <c r="D150" s="4" t="s">
        <v>91</v>
      </c>
      <c r="E150" s="8" t="s">
        <v>287</v>
      </c>
      <c r="F150" s="6"/>
      <c r="G150" s="6" t="s">
        <v>450</v>
      </c>
      <c r="H150" s="6" t="s">
        <v>755</v>
      </c>
      <c r="I150" s="6" t="s">
        <v>754</v>
      </c>
      <c r="J150" s="6"/>
      <c r="K150" s="6"/>
      <c r="L150" s="6" t="s">
        <v>753</v>
      </c>
      <c r="M150" s="4" t="s">
        <v>288</v>
      </c>
      <c r="N150" s="4"/>
      <c r="O150" s="4"/>
      <c r="Q150" s="1" t="str">
        <f>IF($B150=0,$M150,_xlfn.TEXTBEFORE(Q146,"/",$B150,,,Q146)&amp;"/"&amp;$M150)&amp;IF(_xlfn.TEXTAFTER($D150,"..",,,,1)&lt;&gt;"1","[0]","")</f>
        <v>*/Consignment/ActiveBorderTransportMeans[0]</v>
      </c>
    </row>
    <row r="151" spans="1:17" ht="12" customHeight="1" outlineLevel="3" x14ac:dyDescent="0.25">
      <c r="A151" s="1" t="str">
        <f t="shared" si="2"/>
        <v>CC170C</v>
      </c>
      <c r="B151" s="1">
        <v>3</v>
      </c>
      <c r="C151" s="1" t="s">
        <v>17</v>
      </c>
      <c r="D151" s="1" t="s">
        <v>18</v>
      </c>
      <c r="E151" s="9" t="s">
        <v>93</v>
      </c>
      <c r="F151" s="3" t="s">
        <v>530</v>
      </c>
      <c r="G151" s="3" t="s">
        <v>21</v>
      </c>
      <c r="H151" s="3" t="s">
        <v>475</v>
      </c>
      <c r="I151" s="3"/>
      <c r="J151" s="3"/>
      <c r="K151" s="3"/>
      <c r="L151" s="3"/>
      <c r="M151" s="1" t="s">
        <v>95</v>
      </c>
      <c r="P151" s="1" t="s">
        <v>96</v>
      </c>
      <c r="Q151" s="1" t="str">
        <f t="shared" si="3"/>
        <v>*/Consignment/ActiveBorderTransportMeans[0]/sequenceNumber</v>
      </c>
    </row>
    <row r="152" spans="1:17" ht="12" customHeight="1" outlineLevel="3" x14ac:dyDescent="0.25">
      <c r="A152" s="1" t="str">
        <f t="shared" si="2"/>
        <v>CC170C</v>
      </c>
      <c r="B152" s="1">
        <v>3</v>
      </c>
      <c r="C152" s="1" t="s">
        <v>17</v>
      </c>
      <c r="D152" s="1" t="s">
        <v>18</v>
      </c>
      <c r="E152" s="9" t="s">
        <v>289</v>
      </c>
      <c r="F152" s="3" t="s">
        <v>290</v>
      </c>
      <c r="G152" s="3" t="s">
        <v>21</v>
      </c>
      <c r="H152" s="3" t="s">
        <v>756</v>
      </c>
      <c r="I152" s="3"/>
      <c r="J152" s="3"/>
      <c r="K152" s="3"/>
      <c r="L152" s="3" t="s">
        <v>757</v>
      </c>
      <c r="M152" s="1" t="s">
        <v>291</v>
      </c>
      <c r="P152" s="1" t="s">
        <v>292</v>
      </c>
      <c r="Q152" s="1" t="str">
        <f t="shared" si="3"/>
        <v>*/Consignment/ActiveBorderTransportMeans[0]/customsOfficeAtBorderReferenceNumber</v>
      </c>
    </row>
    <row r="153" spans="1:17" ht="12" customHeight="1" outlineLevel="3" x14ac:dyDescent="0.25">
      <c r="A153" s="1" t="str">
        <f t="shared" si="2"/>
        <v>CC170C</v>
      </c>
      <c r="B153" s="1">
        <v>3</v>
      </c>
      <c r="C153" s="1" t="s">
        <v>17</v>
      </c>
      <c r="D153" s="1" t="s">
        <v>18</v>
      </c>
      <c r="E153" s="9" t="s">
        <v>277</v>
      </c>
      <c r="F153" s="3" t="s">
        <v>278</v>
      </c>
      <c r="G153" s="3" t="s">
        <v>21</v>
      </c>
      <c r="H153" s="3" t="s">
        <v>760</v>
      </c>
      <c r="I153" s="3"/>
      <c r="J153" s="3" t="s">
        <v>759</v>
      </c>
      <c r="K153" s="3"/>
      <c r="L153" s="3" t="s">
        <v>758</v>
      </c>
      <c r="M153" s="1" t="s">
        <v>279</v>
      </c>
      <c r="P153" s="1" t="s">
        <v>280</v>
      </c>
      <c r="Q153" s="1" t="str">
        <f t="shared" si="3"/>
        <v>*/Consignment/ActiveBorderTransportMeans[0]/typeOfIdentification</v>
      </c>
    </row>
    <row r="154" spans="1:17" ht="12" customHeight="1" outlineLevel="3" x14ac:dyDescent="0.25">
      <c r="A154" s="1" t="str">
        <f t="shared" si="2"/>
        <v>CC170C</v>
      </c>
      <c r="B154" s="1">
        <v>3</v>
      </c>
      <c r="C154" s="1" t="s">
        <v>17</v>
      </c>
      <c r="D154" s="1" t="s">
        <v>18</v>
      </c>
      <c r="E154" s="9" t="s">
        <v>119</v>
      </c>
      <c r="F154" s="3" t="s">
        <v>101</v>
      </c>
      <c r="G154" s="3" t="s">
        <v>21</v>
      </c>
      <c r="H154" s="3" t="s">
        <v>762</v>
      </c>
      <c r="I154" s="3"/>
      <c r="J154" s="3"/>
      <c r="K154" s="3"/>
      <c r="L154" s="3" t="s">
        <v>761</v>
      </c>
      <c r="M154" s="1" t="s">
        <v>121</v>
      </c>
      <c r="P154" s="1" t="s">
        <v>281</v>
      </c>
      <c r="Q154" s="1" t="str">
        <f t="shared" si="3"/>
        <v>*/Consignment/ActiveBorderTransportMeans[0]/identificationNumber</v>
      </c>
    </row>
    <row r="155" spans="1:17" ht="12" customHeight="1" outlineLevel="3" x14ac:dyDescent="0.25">
      <c r="A155" s="1" t="str">
        <f t="shared" si="2"/>
        <v>CC170C</v>
      </c>
      <c r="B155" s="1">
        <v>3</v>
      </c>
      <c r="C155" s="1" t="s">
        <v>17</v>
      </c>
      <c r="D155" s="1" t="s">
        <v>18</v>
      </c>
      <c r="E155" s="9" t="s">
        <v>282</v>
      </c>
      <c r="F155" s="3" t="s">
        <v>140</v>
      </c>
      <c r="G155" s="3" t="s">
        <v>21</v>
      </c>
      <c r="H155" s="3" t="s">
        <v>764</v>
      </c>
      <c r="I155" s="3"/>
      <c r="J155" s="3" t="s">
        <v>733</v>
      </c>
      <c r="K155" s="3"/>
      <c r="L155" s="3" t="s">
        <v>763</v>
      </c>
      <c r="M155" s="1" t="s">
        <v>283</v>
      </c>
      <c r="P155" s="1" t="s">
        <v>284</v>
      </c>
      <c r="Q155" s="1" t="str">
        <f t="shared" si="3"/>
        <v>*/Consignment/ActiveBorderTransportMeans[0]/nationality</v>
      </c>
    </row>
    <row r="156" spans="1:17" ht="12" customHeight="1" outlineLevel="3" x14ac:dyDescent="0.25">
      <c r="A156" s="1" t="str">
        <f t="shared" si="2"/>
        <v>CC170C</v>
      </c>
      <c r="B156" s="1">
        <v>3</v>
      </c>
      <c r="C156" s="1" t="s">
        <v>17</v>
      </c>
      <c r="D156" s="1" t="s">
        <v>36</v>
      </c>
      <c r="E156" s="9" t="s">
        <v>293</v>
      </c>
      <c r="F156" s="3" t="s">
        <v>294</v>
      </c>
      <c r="G156" s="3" t="s">
        <v>450</v>
      </c>
      <c r="H156" s="3" t="s">
        <v>767</v>
      </c>
      <c r="I156" s="3" t="s">
        <v>766</v>
      </c>
      <c r="J156" s="3"/>
      <c r="K156" s="3"/>
      <c r="L156" s="3" t="s">
        <v>765</v>
      </c>
      <c r="M156" s="1" t="s">
        <v>295</v>
      </c>
      <c r="P156" s="1" t="s">
        <v>296</v>
      </c>
      <c r="Q156" s="1" t="str">
        <f t="shared" si="3"/>
        <v>*/Consignment/ActiveBorderTransportMeans[0]/conveyanceReferenceNumber</v>
      </c>
    </row>
    <row r="157" spans="1:17" ht="12" customHeight="1" outlineLevel="2" x14ac:dyDescent="0.25">
      <c r="A157" s="4" t="str">
        <f t="shared" si="2"/>
        <v>CC170C</v>
      </c>
      <c r="B157" s="4">
        <v>2</v>
      </c>
      <c r="C157" s="4" t="s">
        <v>41</v>
      </c>
      <c r="D157" s="4" t="s">
        <v>36</v>
      </c>
      <c r="E157" s="8" t="s">
        <v>297</v>
      </c>
      <c r="F157" s="6"/>
      <c r="G157" s="6" t="s">
        <v>450</v>
      </c>
      <c r="H157" s="6" t="s">
        <v>621</v>
      </c>
      <c r="I157" s="6" t="s">
        <v>620</v>
      </c>
      <c r="J157" s="6"/>
      <c r="K157" s="6"/>
      <c r="L157" s="6" t="s">
        <v>616</v>
      </c>
      <c r="M157" s="4" t="s">
        <v>298</v>
      </c>
      <c r="N157" s="4"/>
      <c r="O157" s="4"/>
      <c r="Q157" s="1" t="str">
        <f t="shared" si="3"/>
        <v>*/Consignment/PlaceOfLoading</v>
      </c>
    </row>
    <row r="158" spans="1:17" ht="12" customHeight="1" outlineLevel="3" x14ac:dyDescent="0.25">
      <c r="A158" s="1" t="str">
        <f t="shared" si="2"/>
        <v>CC170C</v>
      </c>
      <c r="B158" s="1">
        <v>3</v>
      </c>
      <c r="C158" s="1" t="s">
        <v>17</v>
      </c>
      <c r="D158" s="1" t="s">
        <v>36</v>
      </c>
      <c r="E158" s="9" t="s">
        <v>253</v>
      </c>
      <c r="F158" s="3" t="s">
        <v>254</v>
      </c>
      <c r="G158" s="3" t="s">
        <v>38</v>
      </c>
      <c r="H158" s="3"/>
      <c r="I158" s="3"/>
      <c r="J158" s="3" t="s">
        <v>622</v>
      </c>
      <c r="K158" s="3"/>
      <c r="L158" s="3" t="s">
        <v>617</v>
      </c>
      <c r="M158" s="1" t="s">
        <v>255</v>
      </c>
      <c r="P158" s="1" t="s">
        <v>256</v>
      </c>
      <c r="Q158" s="1" t="str">
        <f t="shared" si="3"/>
        <v>*/Consignment/PlaceOfLoading/UNLocode</v>
      </c>
    </row>
    <row r="159" spans="1:17" ht="12" customHeight="1" outlineLevel="3" x14ac:dyDescent="0.25">
      <c r="A159" s="1" t="str">
        <f t="shared" si="2"/>
        <v>CC170C</v>
      </c>
      <c r="B159" s="1">
        <v>3</v>
      </c>
      <c r="C159" s="1" t="s">
        <v>17</v>
      </c>
      <c r="D159" s="1" t="s">
        <v>36</v>
      </c>
      <c r="E159" s="9" t="s">
        <v>139</v>
      </c>
      <c r="F159" s="3" t="s">
        <v>140</v>
      </c>
      <c r="G159" s="3" t="s">
        <v>450</v>
      </c>
      <c r="H159" s="3"/>
      <c r="I159" s="3" t="s">
        <v>623</v>
      </c>
      <c r="J159" s="3" t="s">
        <v>606</v>
      </c>
      <c r="K159" s="3"/>
      <c r="L159" s="3" t="s">
        <v>618</v>
      </c>
      <c r="M159" s="1" t="s">
        <v>141</v>
      </c>
      <c r="P159" s="1" t="s">
        <v>142</v>
      </c>
      <c r="Q159" s="1" t="str">
        <f t="shared" si="3"/>
        <v>*/Consignment/PlaceOfLoading/country</v>
      </c>
    </row>
    <row r="160" spans="1:17" ht="12" customHeight="1" outlineLevel="3" x14ac:dyDescent="0.25">
      <c r="A160" s="1" t="str">
        <f t="shared" si="2"/>
        <v>CC170C</v>
      </c>
      <c r="B160" s="1">
        <v>3</v>
      </c>
      <c r="C160" s="1" t="s">
        <v>17</v>
      </c>
      <c r="D160" s="1" t="s">
        <v>36</v>
      </c>
      <c r="E160" s="9" t="s">
        <v>299</v>
      </c>
      <c r="F160" s="3" t="s">
        <v>101</v>
      </c>
      <c r="G160" s="3" t="s">
        <v>450</v>
      </c>
      <c r="H160" s="3"/>
      <c r="I160" s="3" t="s">
        <v>623</v>
      </c>
      <c r="J160" s="3"/>
      <c r="K160" s="3"/>
      <c r="L160" s="3" t="s">
        <v>619</v>
      </c>
      <c r="M160" s="1" t="s">
        <v>300</v>
      </c>
      <c r="P160" s="1" t="s">
        <v>301</v>
      </c>
      <c r="Q160" s="1" t="str">
        <f t="shared" si="3"/>
        <v>*/Consignment/PlaceOfLoading/location</v>
      </c>
    </row>
    <row r="161" spans="5:12" ht="12" customHeight="1" outlineLevel="2" x14ac:dyDescent="0.25">
      <c r="E161" s="9"/>
      <c r="F161" s="3"/>
      <c r="G161" s="3"/>
      <c r="H161" s="3"/>
      <c r="I161" s="3"/>
      <c r="J161" s="3"/>
      <c r="K161" s="3"/>
      <c r="L161" s="3"/>
    </row>
    <row r="162" spans="5:12" ht="12" customHeight="1" outlineLevel="3" x14ac:dyDescent="0.25">
      <c r="E162" s="9"/>
      <c r="F162" s="3"/>
      <c r="G162" s="3"/>
      <c r="H162" s="3"/>
      <c r="I162" s="3"/>
      <c r="J162" s="3"/>
      <c r="K162" s="3"/>
      <c r="L162" s="3"/>
    </row>
    <row r="163" spans="5:12" ht="12" customHeight="1" outlineLevel="3" x14ac:dyDescent="0.25">
      <c r="E163" s="9"/>
      <c r="F163" s="3"/>
      <c r="G163" s="3"/>
      <c r="H163" s="3"/>
      <c r="I163" s="3"/>
      <c r="J163" s="3"/>
      <c r="K163" s="3"/>
      <c r="L163" s="3"/>
    </row>
    <row r="164" spans="5:12" ht="12" customHeight="1" outlineLevel="3" x14ac:dyDescent="0.25">
      <c r="E164" s="9"/>
      <c r="F164" s="3"/>
      <c r="G164" s="3"/>
      <c r="H164" s="3"/>
      <c r="I164" s="3"/>
      <c r="J164" s="3"/>
      <c r="K164" s="3"/>
      <c r="L164" s="3"/>
    </row>
    <row r="165" spans="5:12" ht="12" customHeight="1" outlineLevel="2" x14ac:dyDescent="0.25">
      <c r="E165" s="9"/>
      <c r="F165" s="3"/>
      <c r="G165" s="3"/>
      <c r="H165" s="3"/>
      <c r="I165" s="3"/>
      <c r="J165" s="3"/>
      <c r="K165" s="3"/>
      <c r="L165" s="3"/>
    </row>
    <row r="166" spans="5:12" ht="12" customHeight="1" outlineLevel="3" x14ac:dyDescent="0.25">
      <c r="E166" s="9"/>
      <c r="F166" s="3"/>
      <c r="G166" s="3"/>
      <c r="H166" s="3"/>
      <c r="I166" s="3"/>
      <c r="J166" s="3"/>
      <c r="K166" s="3"/>
      <c r="L166" s="3"/>
    </row>
    <row r="167" spans="5:12" ht="12" customHeight="1" outlineLevel="3" x14ac:dyDescent="0.25">
      <c r="E167" s="9"/>
      <c r="F167" s="3"/>
      <c r="G167" s="3"/>
      <c r="H167" s="3"/>
      <c r="I167" s="3"/>
      <c r="J167" s="3"/>
      <c r="K167" s="3"/>
      <c r="L167" s="3"/>
    </row>
    <row r="168" spans="5:12" ht="12" customHeight="1" outlineLevel="3" x14ac:dyDescent="0.25">
      <c r="E168" s="9"/>
      <c r="F168" s="3"/>
      <c r="G168" s="3"/>
      <c r="H168" s="3"/>
      <c r="I168" s="3"/>
      <c r="J168" s="3"/>
      <c r="K168" s="3"/>
      <c r="L168" s="3"/>
    </row>
    <row r="169" spans="5:12" ht="12" customHeight="1" outlineLevel="3" x14ac:dyDescent="0.25">
      <c r="E169" s="9"/>
      <c r="F169" s="3"/>
      <c r="G169" s="3"/>
      <c r="H169" s="3"/>
      <c r="I169" s="3"/>
      <c r="J169" s="3"/>
      <c r="K169" s="3"/>
      <c r="L169" s="3"/>
    </row>
    <row r="170" spans="5:12" ht="12" customHeight="1" outlineLevel="2" x14ac:dyDescent="0.25">
      <c r="E170" s="9"/>
      <c r="F170" s="3"/>
      <c r="G170" s="3"/>
      <c r="H170" s="3"/>
      <c r="I170" s="3"/>
      <c r="J170" s="3"/>
      <c r="K170" s="3"/>
      <c r="L170" s="3"/>
    </row>
    <row r="171" spans="5:12" ht="12" customHeight="1" outlineLevel="3" x14ac:dyDescent="0.25">
      <c r="E171" s="9"/>
      <c r="F171" s="3"/>
      <c r="G171" s="3"/>
      <c r="H171" s="3"/>
      <c r="I171" s="3"/>
      <c r="J171" s="3"/>
      <c r="K171" s="3"/>
      <c r="L171" s="3"/>
    </row>
    <row r="172" spans="5:12" ht="12" customHeight="1" outlineLevel="3" x14ac:dyDescent="0.25">
      <c r="E172" s="9"/>
      <c r="F172" s="3"/>
      <c r="G172" s="3"/>
      <c r="H172" s="3"/>
      <c r="I172" s="3"/>
      <c r="J172" s="3"/>
      <c r="K172" s="3"/>
      <c r="L172" s="3"/>
    </row>
    <row r="173" spans="5:12" ht="12" customHeight="1" outlineLevel="3" x14ac:dyDescent="0.25">
      <c r="E173" s="9"/>
      <c r="F173" s="3"/>
      <c r="G173" s="3"/>
      <c r="H173" s="3"/>
      <c r="I173" s="3"/>
      <c r="J173" s="3"/>
      <c r="K173" s="3"/>
      <c r="L173" s="3"/>
    </row>
    <row r="174" spans="5:12" ht="12" customHeight="1" outlineLevel="3" x14ac:dyDescent="0.25">
      <c r="E174" s="9"/>
      <c r="F174" s="3"/>
      <c r="G174" s="3"/>
      <c r="H174" s="3"/>
      <c r="I174" s="3"/>
      <c r="J174" s="3"/>
      <c r="K174" s="3"/>
      <c r="L174" s="3"/>
    </row>
    <row r="175" spans="5:12" ht="12" customHeight="1" outlineLevel="3" x14ac:dyDescent="0.25">
      <c r="E175" s="9"/>
      <c r="F175" s="3"/>
      <c r="G175" s="3"/>
      <c r="H175" s="3"/>
      <c r="I175" s="3"/>
      <c r="J175" s="3"/>
      <c r="K175" s="3"/>
      <c r="L175" s="3"/>
    </row>
    <row r="176" spans="5:12" ht="12" customHeight="1" outlineLevel="2" x14ac:dyDescent="0.25">
      <c r="E176" s="9"/>
      <c r="F176" s="3"/>
      <c r="G176" s="3"/>
      <c r="H176" s="3"/>
      <c r="I176" s="3"/>
      <c r="J176" s="3"/>
      <c r="K176" s="3"/>
      <c r="L176" s="3"/>
    </row>
    <row r="177" spans="1:17" ht="12" customHeight="1" outlineLevel="3" x14ac:dyDescent="0.25">
      <c r="E177" s="9"/>
      <c r="F177" s="3"/>
      <c r="G177" s="3"/>
      <c r="H177" s="3"/>
      <c r="I177" s="3"/>
      <c r="J177" s="3"/>
      <c r="K177" s="3"/>
      <c r="L177" s="3"/>
    </row>
    <row r="178" spans="1:17" ht="12" customHeight="1" outlineLevel="3" x14ac:dyDescent="0.25">
      <c r="E178" s="9"/>
      <c r="F178" s="3"/>
      <c r="G178" s="3"/>
      <c r="H178" s="3"/>
      <c r="I178" s="3"/>
      <c r="J178" s="3"/>
      <c r="K178" s="3"/>
      <c r="L178" s="3"/>
    </row>
    <row r="179" spans="1:17" ht="12" customHeight="1" outlineLevel="3" x14ac:dyDescent="0.25">
      <c r="E179" s="9"/>
      <c r="F179" s="3"/>
      <c r="G179" s="3"/>
      <c r="H179" s="3"/>
      <c r="I179" s="3"/>
      <c r="J179" s="3"/>
      <c r="K179" s="3"/>
      <c r="L179" s="3"/>
    </row>
    <row r="180" spans="1:17" ht="12" customHeight="1" outlineLevel="2" x14ac:dyDescent="0.25">
      <c r="E180" s="9"/>
      <c r="F180" s="3"/>
      <c r="G180" s="3"/>
      <c r="H180" s="3"/>
      <c r="I180" s="3"/>
      <c r="J180" s="3"/>
      <c r="K180" s="3"/>
      <c r="L180" s="3"/>
    </row>
    <row r="181" spans="1:17" ht="12" customHeight="1" outlineLevel="3" x14ac:dyDescent="0.25">
      <c r="E181" s="9"/>
      <c r="F181" s="3"/>
      <c r="G181" s="3"/>
      <c r="H181" s="3"/>
      <c r="I181" s="3"/>
      <c r="J181" s="3"/>
      <c r="K181" s="3"/>
      <c r="L181" s="3"/>
    </row>
    <row r="182" spans="1:17" ht="12" customHeight="1" outlineLevel="3" x14ac:dyDescent="0.25">
      <c r="E182" s="9"/>
      <c r="F182" s="3"/>
      <c r="G182" s="3"/>
      <c r="H182" s="3"/>
      <c r="I182" s="3"/>
      <c r="J182" s="3"/>
      <c r="K182" s="3"/>
      <c r="L182" s="3"/>
    </row>
    <row r="183" spans="1:17" ht="12" customHeight="1" outlineLevel="3" x14ac:dyDescent="0.25">
      <c r="E183" s="9"/>
      <c r="F183" s="3"/>
      <c r="G183" s="3"/>
      <c r="H183" s="3"/>
      <c r="I183" s="3"/>
      <c r="J183" s="3"/>
      <c r="K183" s="3"/>
      <c r="L183" s="3"/>
    </row>
    <row r="184" spans="1:17" ht="12" customHeight="1" outlineLevel="2" x14ac:dyDescent="0.25">
      <c r="E184" s="9"/>
      <c r="F184" s="3"/>
      <c r="G184" s="3"/>
      <c r="H184" s="3"/>
      <c r="I184" s="3"/>
      <c r="J184" s="3"/>
      <c r="K184" s="3"/>
      <c r="L184" s="3"/>
    </row>
    <row r="185" spans="1:17" ht="12" customHeight="1" outlineLevel="3" x14ac:dyDescent="0.25">
      <c r="E185" s="9"/>
      <c r="F185" s="3"/>
      <c r="G185" s="3"/>
      <c r="H185" s="3"/>
      <c r="I185" s="3"/>
      <c r="J185" s="3"/>
      <c r="K185" s="3"/>
      <c r="L185" s="3"/>
    </row>
    <row r="186" spans="1:17" ht="12" customHeight="1" outlineLevel="3" x14ac:dyDescent="0.25">
      <c r="E186" s="9"/>
      <c r="F186" s="3"/>
      <c r="G186" s="3"/>
      <c r="H186" s="3"/>
      <c r="I186" s="3"/>
      <c r="J186" s="3"/>
      <c r="K186" s="3"/>
      <c r="L186" s="3"/>
    </row>
    <row r="187" spans="1:17" ht="12" customHeight="1" outlineLevel="3" x14ac:dyDescent="0.25">
      <c r="E187" s="9"/>
      <c r="F187" s="3"/>
      <c r="G187" s="3"/>
      <c r="H187" s="3"/>
      <c r="I187" s="3"/>
      <c r="J187" s="3"/>
      <c r="K187" s="3"/>
      <c r="L187" s="3"/>
    </row>
    <row r="188" spans="1:17" ht="12" customHeight="1" outlineLevel="2" x14ac:dyDescent="0.25">
      <c r="E188" s="9"/>
      <c r="F188" s="3"/>
      <c r="G188" s="3"/>
      <c r="H188" s="3"/>
      <c r="I188" s="3"/>
      <c r="J188" s="3"/>
      <c r="K188" s="3"/>
      <c r="L188" s="3"/>
    </row>
    <row r="189" spans="1:17" ht="12" customHeight="1" outlineLevel="3" x14ac:dyDescent="0.25">
      <c r="E189" s="9"/>
      <c r="F189" s="3"/>
      <c r="G189" s="3"/>
      <c r="H189" s="3"/>
      <c r="I189" s="3"/>
      <c r="J189" s="3"/>
      <c r="K189" s="3"/>
      <c r="L189" s="3"/>
    </row>
    <row r="190" spans="1:17" ht="12" customHeight="1" outlineLevel="2" x14ac:dyDescent="0.25">
      <c r="A190" s="4" t="str">
        <f t="shared" si="2"/>
        <v>CC170C</v>
      </c>
      <c r="B190" s="4">
        <v>2</v>
      </c>
      <c r="C190" s="4" t="s">
        <v>41</v>
      </c>
      <c r="D190" s="4" t="s">
        <v>337</v>
      </c>
      <c r="E190" s="8" t="s">
        <v>338</v>
      </c>
      <c r="F190" s="6"/>
      <c r="G190" s="6" t="s">
        <v>21</v>
      </c>
      <c r="H190" s="6"/>
      <c r="I190" s="6"/>
      <c r="J190" s="6"/>
      <c r="K190" s="6"/>
      <c r="L190" s="6"/>
      <c r="M190" s="4" t="s">
        <v>339</v>
      </c>
      <c r="N190" s="4"/>
      <c r="O190" s="4"/>
      <c r="Q190" s="1" t="str">
        <f>IF($B190=0,$M190,_xlfn.TEXTBEFORE(Q160,"/",$B190,,,Q160)&amp;"/"&amp;$M190)&amp;IF(_xlfn.TEXTAFTER($D190,"..",,,,1)&lt;&gt;"1","[0]","")</f>
        <v>*/Consignment/HouseConsignment[0]</v>
      </c>
    </row>
    <row r="191" spans="1:17" ht="12" customHeight="1" outlineLevel="3" x14ac:dyDescent="0.25">
      <c r="A191" s="1" t="str">
        <f t="shared" si="2"/>
        <v>CC170C</v>
      </c>
      <c r="B191" s="1">
        <v>3</v>
      </c>
      <c r="C191" s="1" t="s">
        <v>17</v>
      </c>
      <c r="D191" s="1" t="s">
        <v>18</v>
      </c>
      <c r="E191" s="9" t="s">
        <v>93</v>
      </c>
      <c r="F191" s="3" t="s">
        <v>504</v>
      </c>
      <c r="G191" s="3" t="s">
        <v>21</v>
      </c>
      <c r="H191" s="3"/>
      <c r="I191" s="3"/>
      <c r="J191" s="3"/>
      <c r="K191" s="3"/>
      <c r="L191" s="3"/>
      <c r="M191" s="1" t="s">
        <v>95</v>
      </c>
      <c r="P191" s="1" t="s">
        <v>96</v>
      </c>
      <c r="Q191" s="1" t="str">
        <f t="shared" si="3"/>
        <v>*/Consignment/HouseConsignment[0]/sequenceNumber</v>
      </c>
    </row>
    <row r="192" spans="1:17" ht="12" customHeight="1" outlineLevel="3" x14ac:dyDescent="0.25">
      <c r="E192" s="9"/>
      <c r="F192" s="3"/>
      <c r="G192" s="3"/>
      <c r="H192" s="3"/>
      <c r="I192" s="3"/>
      <c r="J192" s="3"/>
      <c r="K192" s="3"/>
      <c r="L192" s="3"/>
    </row>
    <row r="193" spans="5:12" ht="12" customHeight="1" outlineLevel="3" x14ac:dyDescent="0.25">
      <c r="E193" s="9"/>
      <c r="F193" s="3"/>
      <c r="G193" s="3"/>
      <c r="H193" s="3"/>
      <c r="I193" s="3"/>
      <c r="J193" s="3"/>
      <c r="K193" s="3"/>
      <c r="L193" s="3"/>
    </row>
    <row r="194" spans="5:12" ht="12" customHeight="1" outlineLevel="3" x14ac:dyDescent="0.25">
      <c r="E194" s="9"/>
      <c r="F194" s="3"/>
      <c r="G194" s="3"/>
      <c r="H194" s="3"/>
      <c r="I194" s="3"/>
      <c r="J194" s="3"/>
      <c r="K194" s="3"/>
      <c r="L194" s="3"/>
    </row>
    <row r="195" spans="5:12" ht="12" customHeight="1" outlineLevel="3" x14ac:dyDescent="0.25">
      <c r="E195" s="9"/>
      <c r="F195" s="3"/>
      <c r="G195" s="3"/>
      <c r="H195" s="3"/>
      <c r="I195" s="3"/>
      <c r="J195" s="3"/>
      <c r="K195" s="3"/>
      <c r="L195" s="3"/>
    </row>
    <row r="196" spans="5:12" ht="12" customHeight="1" outlineLevel="3" x14ac:dyDescent="0.25">
      <c r="E196" s="9"/>
      <c r="F196" s="3"/>
      <c r="G196" s="3"/>
      <c r="H196" s="3"/>
      <c r="I196" s="3"/>
      <c r="J196" s="3"/>
      <c r="K196" s="3"/>
      <c r="L196" s="3"/>
    </row>
    <row r="197" spans="5:12" ht="12" customHeight="1" outlineLevel="4" x14ac:dyDescent="0.25">
      <c r="E197" s="9"/>
      <c r="F197" s="3"/>
      <c r="G197" s="3"/>
      <c r="H197" s="3"/>
      <c r="I197" s="3"/>
      <c r="J197" s="3"/>
      <c r="K197" s="3"/>
      <c r="L197" s="3"/>
    </row>
    <row r="198" spans="5:12" ht="12" customHeight="1" outlineLevel="4" x14ac:dyDescent="0.25">
      <c r="E198" s="9"/>
      <c r="F198" s="3"/>
      <c r="G198" s="3"/>
      <c r="H198" s="3"/>
      <c r="I198" s="3"/>
      <c r="J198" s="3"/>
      <c r="K198" s="3"/>
      <c r="L198" s="3"/>
    </row>
    <row r="199" spans="5:12" ht="12" customHeight="1" outlineLevel="4" x14ac:dyDescent="0.25">
      <c r="E199" s="9"/>
      <c r="F199" s="3"/>
      <c r="G199" s="3"/>
      <c r="H199" s="3"/>
      <c r="I199" s="3"/>
      <c r="J199" s="3"/>
      <c r="K199" s="3"/>
      <c r="L199" s="3"/>
    </row>
    <row r="200" spans="5:12" ht="12" customHeight="1" outlineLevel="4" x14ac:dyDescent="0.25">
      <c r="E200" s="9"/>
      <c r="F200" s="3"/>
      <c r="G200" s="3"/>
      <c r="H200" s="3"/>
      <c r="I200" s="3"/>
      <c r="J200" s="3"/>
      <c r="K200" s="3"/>
      <c r="L200" s="3"/>
    </row>
    <row r="201" spans="5:12" ht="12" customHeight="1" outlineLevel="4" x14ac:dyDescent="0.25">
      <c r="E201" s="9"/>
      <c r="F201" s="3"/>
      <c r="G201" s="3"/>
      <c r="H201" s="3"/>
      <c r="I201" s="3"/>
      <c r="J201" s="3"/>
      <c r="K201" s="3"/>
      <c r="L201" s="3"/>
    </row>
    <row r="202" spans="5:12" ht="12" customHeight="1" outlineLevel="4" x14ac:dyDescent="0.25">
      <c r="E202" s="9"/>
      <c r="F202" s="3"/>
      <c r="G202" s="3"/>
      <c r="H202" s="3"/>
      <c r="I202" s="3"/>
      <c r="J202" s="3"/>
      <c r="K202" s="3"/>
      <c r="L202" s="3"/>
    </row>
    <row r="203" spans="5:12" ht="12" customHeight="1" outlineLevel="4" x14ac:dyDescent="0.25">
      <c r="E203" s="9"/>
      <c r="F203" s="3"/>
      <c r="G203" s="3"/>
      <c r="H203" s="3"/>
      <c r="I203" s="3"/>
      <c r="J203" s="3"/>
      <c r="K203" s="3"/>
      <c r="L203" s="3"/>
    </row>
    <row r="204" spans="5:12" ht="12" customHeight="1" outlineLevel="4" x14ac:dyDescent="0.25">
      <c r="E204" s="9"/>
      <c r="F204" s="3"/>
      <c r="G204" s="3"/>
      <c r="H204" s="3"/>
      <c r="I204" s="3"/>
      <c r="J204" s="3"/>
      <c r="K204" s="3"/>
      <c r="L204" s="3"/>
    </row>
    <row r="205" spans="5:12" ht="12" customHeight="1" outlineLevel="4" x14ac:dyDescent="0.25">
      <c r="E205" s="9"/>
      <c r="F205" s="3"/>
      <c r="G205" s="3"/>
      <c r="H205" s="3"/>
      <c r="I205" s="3"/>
      <c r="J205" s="3"/>
      <c r="K205" s="3"/>
      <c r="L205" s="3"/>
    </row>
    <row r="206" spans="5:12" ht="12" customHeight="1" outlineLevel="4" x14ac:dyDescent="0.25">
      <c r="E206" s="9"/>
      <c r="F206" s="3"/>
      <c r="G206" s="3"/>
      <c r="H206" s="3"/>
      <c r="I206" s="3"/>
      <c r="J206" s="3"/>
      <c r="K206" s="3"/>
      <c r="L206" s="3"/>
    </row>
    <row r="207" spans="5:12" ht="12" customHeight="1" outlineLevel="4" x14ac:dyDescent="0.25">
      <c r="E207" s="9"/>
      <c r="F207" s="3"/>
      <c r="G207" s="3"/>
      <c r="H207" s="3"/>
      <c r="I207" s="3"/>
      <c r="J207" s="3"/>
      <c r="K207" s="3"/>
      <c r="L207" s="3"/>
    </row>
    <row r="208" spans="5:12" ht="12" customHeight="1" outlineLevel="3" x14ac:dyDescent="0.25">
      <c r="E208" s="9"/>
      <c r="F208" s="3"/>
      <c r="G208" s="3"/>
      <c r="H208" s="3"/>
      <c r="I208" s="3"/>
      <c r="J208" s="3"/>
      <c r="K208" s="3"/>
      <c r="L208" s="3"/>
    </row>
    <row r="209" spans="1:17" ht="12" customHeight="1" outlineLevel="4" x14ac:dyDescent="0.25">
      <c r="E209" s="9"/>
      <c r="F209" s="3"/>
      <c r="G209" s="3"/>
      <c r="H209" s="3"/>
      <c r="I209" s="3"/>
      <c r="J209" s="3"/>
      <c r="K209" s="3"/>
      <c r="L209" s="3"/>
    </row>
    <row r="210" spans="1:17" ht="12" customHeight="1" outlineLevel="4" x14ac:dyDescent="0.25">
      <c r="E210" s="9"/>
      <c r="F210" s="3"/>
      <c r="G210" s="3"/>
      <c r="H210" s="3"/>
      <c r="I210" s="3"/>
      <c r="J210" s="3"/>
      <c r="K210" s="3"/>
      <c r="L210" s="3"/>
    </row>
    <row r="211" spans="1:17" ht="12" customHeight="1" outlineLevel="4" x14ac:dyDescent="0.25">
      <c r="E211" s="9"/>
      <c r="F211" s="3"/>
      <c r="G211" s="3"/>
      <c r="H211" s="3"/>
      <c r="I211" s="3"/>
      <c r="J211" s="3"/>
      <c r="K211" s="3"/>
      <c r="L211" s="3"/>
    </row>
    <row r="212" spans="1:17" ht="12" customHeight="1" outlineLevel="4" x14ac:dyDescent="0.25">
      <c r="E212" s="9"/>
      <c r="F212" s="3"/>
      <c r="G212" s="3"/>
      <c r="H212" s="3"/>
      <c r="I212" s="3"/>
      <c r="J212" s="3"/>
      <c r="K212" s="3"/>
      <c r="L212" s="3"/>
    </row>
    <row r="213" spans="1:17" ht="12" customHeight="1" outlineLevel="4" x14ac:dyDescent="0.25">
      <c r="E213" s="9"/>
      <c r="F213" s="3"/>
      <c r="G213" s="3"/>
      <c r="H213" s="3"/>
      <c r="I213" s="3"/>
      <c r="J213" s="3"/>
      <c r="K213" s="3"/>
      <c r="L213" s="3"/>
    </row>
    <row r="214" spans="1:17" ht="12" customHeight="1" outlineLevel="4" x14ac:dyDescent="0.25">
      <c r="E214" s="9"/>
      <c r="F214" s="3"/>
      <c r="G214" s="3"/>
      <c r="H214" s="3"/>
      <c r="I214" s="3"/>
      <c r="J214" s="3"/>
      <c r="K214" s="3"/>
      <c r="L214" s="3"/>
    </row>
    <row r="215" spans="1:17" ht="12" customHeight="1" outlineLevel="4" x14ac:dyDescent="0.25">
      <c r="E215" s="9"/>
      <c r="F215" s="3"/>
      <c r="G215" s="3"/>
      <c r="H215" s="3"/>
      <c r="I215" s="3"/>
      <c r="J215" s="3"/>
      <c r="K215" s="3"/>
      <c r="L215" s="3"/>
    </row>
    <row r="216" spans="1:17" ht="12" customHeight="1" outlineLevel="3" x14ac:dyDescent="0.25">
      <c r="E216" s="9"/>
      <c r="F216" s="3"/>
      <c r="G216" s="3"/>
      <c r="H216" s="3"/>
      <c r="I216" s="3"/>
      <c r="J216" s="3"/>
      <c r="K216" s="3"/>
      <c r="L216" s="3"/>
    </row>
    <row r="217" spans="1:17" ht="12" customHeight="1" outlineLevel="4" x14ac:dyDescent="0.25">
      <c r="E217" s="9"/>
      <c r="F217" s="3"/>
      <c r="G217" s="3"/>
      <c r="H217" s="3"/>
      <c r="I217" s="3"/>
      <c r="J217" s="3"/>
      <c r="K217" s="3"/>
      <c r="L217" s="3"/>
    </row>
    <row r="218" spans="1:17" ht="12" customHeight="1" outlineLevel="4" x14ac:dyDescent="0.25">
      <c r="E218" s="9"/>
      <c r="F218" s="3"/>
      <c r="G218" s="3"/>
      <c r="H218" s="3"/>
      <c r="I218" s="3"/>
      <c r="J218" s="3"/>
      <c r="K218" s="3"/>
      <c r="L218" s="3"/>
    </row>
    <row r="219" spans="1:17" ht="12" customHeight="1" outlineLevel="4" x14ac:dyDescent="0.25">
      <c r="E219" s="9"/>
      <c r="F219" s="3"/>
      <c r="G219" s="3"/>
      <c r="H219" s="3"/>
      <c r="I219" s="3"/>
      <c r="J219" s="3"/>
      <c r="K219" s="3"/>
      <c r="L219" s="3"/>
    </row>
    <row r="220" spans="1:17" ht="12" customHeight="1" outlineLevel="3" x14ac:dyDescent="0.25">
      <c r="A220" s="4" t="str">
        <f t="shared" si="2"/>
        <v>CC170C</v>
      </c>
      <c r="B220" s="4">
        <v>3</v>
      </c>
      <c r="C220" s="4" t="s">
        <v>41</v>
      </c>
      <c r="D220" s="4" t="s">
        <v>274</v>
      </c>
      <c r="E220" s="10" t="s">
        <v>275</v>
      </c>
      <c r="F220" s="6"/>
      <c r="G220" s="6" t="s">
        <v>450</v>
      </c>
      <c r="H220" s="6" t="s">
        <v>731</v>
      </c>
      <c r="I220" s="6" t="s">
        <v>730</v>
      </c>
      <c r="J220" s="6"/>
      <c r="K220" s="6"/>
      <c r="L220" s="6" t="s">
        <v>716</v>
      </c>
      <c r="M220" s="4" t="s">
        <v>276</v>
      </c>
      <c r="N220" s="4"/>
      <c r="O220" s="4"/>
      <c r="Q220" s="1" t="str">
        <f>IF($B220=0,$M220,_xlfn.TEXTBEFORE(Q191,"/",$B220,,,Q191)&amp;"/"&amp;$M220)&amp;IF(_xlfn.TEXTAFTER($D220,"..",,,,1)&lt;&gt;"1","[0]","")</f>
        <v>*/Consignment/HouseConsignment[0]/DepartureTransportMeans[0]</v>
      </c>
    </row>
    <row r="221" spans="1:17" ht="12" customHeight="1" outlineLevel="4" x14ac:dyDescent="0.25">
      <c r="A221" s="1" t="str">
        <f t="shared" si="2"/>
        <v>CC170C</v>
      </c>
      <c r="B221" s="1">
        <v>4</v>
      </c>
      <c r="C221" s="1" t="s">
        <v>17</v>
      </c>
      <c r="D221" s="1" t="s">
        <v>18</v>
      </c>
      <c r="E221" s="11" t="s">
        <v>93</v>
      </c>
      <c r="F221" s="3" t="s">
        <v>717</v>
      </c>
      <c r="G221" s="3" t="s">
        <v>21</v>
      </c>
      <c r="H221" s="3" t="s">
        <v>475</v>
      </c>
      <c r="I221" s="3"/>
      <c r="J221" s="3"/>
      <c r="K221" s="3"/>
      <c r="L221" s="3"/>
      <c r="M221" s="1" t="s">
        <v>95</v>
      </c>
      <c r="P221" s="1" t="s">
        <v>96</v>
      </c>
      <c r="Q221" s="1" t="str">
        <f t="shared" si="3"/>
        <v>*/Consignment/HouseConsignment[0]/DepartureTransportMeans[0]/sequenceNumber</v>
      </c>
    </row>
    <row r="222" spans="1:17" ht="12" customHeight="1" outlineLevel="4" x14ac:dyDescent="0.25">
      <c r="A222" s="1" t="str">
        <f t="shared" si="2"/>
        <v>CC170C</v>
      </c>
      <c r="B222" s="1">
        <v>4</v>
      </c>
      <c r="C222" s="1" t="s">
        <v>17</v>
      </c>
      <c r="D222" s="1" t="s">
        <v>18</v>
      </c>
      <c r="E222" s="11" t="s">
        <v>277</v>
      </c>
      <c r="F222" s="3" t="s">
        <v>278</v>
      </c>
      <c r="G222" s="3" t="s">
        <v>21</v>
      </c>
      <c r="H222" s="3" t="s">
        <v>785</v>
      </c>
      <c r="I222" s="3"/>
      <c r="J222" s="3" t="s">
        <v>732</v>
      </c>
      <c r="K222" s="3"/>
      <c r="L222" s="3" t="s">
        <v>727</v>
      </c>
      <c r="M222" s="1" t="s">
        <v>279</v>
      </c>
      <c r="P222" s="1" t="s">
        <v>280</v>
      </c>
      <c r="Q222" s="1" t="str">
        <f t="shared" si="3"/>
        <v>*/Consignment/HouseConsignment[0]/DepartureTransportMeans[0]/typeOfIdentification</v>
      </c>
    </row>
    <row r="223" spans="1:17" ht="12" customHeight="1" outlineLevel="4" x14ac:dyDescent="0.25">
      <c r="A223" s="1" t="str">
        <f t="shared" si="2"/>
        <v>CC170C</v>
      </c>
      <c r="B223" s="1">
        <v>4</v>
      </c>
      <c r="C223" s="1" t="s">
        <v>17</v>
      </c>
      <c r="D223" s="1" t="s">
        <v>18</v>
      </c>
      <c r="E223" s="11" t="s">
        <v>119</v>
      </c>
      <c r="F223" s="3" t="s">
        <v>101</v>
      </c>
      <c r="G223" s="3" t="s">
        <v>21</v>
      </c>
      <c r="H223" s="3" t="s">
        <v>735</v>
      </c>
      <c r="I223" s="3"/>
      <c r="J223" s="3"/>
      <c r="K223" s="3"/>
      <c r="L223" s="3" t="s">
        <v>728</v>
      </c>
      <c r="M223" s="1" t="s">
        <v>121</v>
      </c>
      <c r="P223" s="1" t="s">
        <v>281</v>
      </c>
      <c r="Q223" s="1" t="str">
        <f t="shared" si="3"/>
        <v>*/Consignment/HouseConsignment[0]/DepartureTransportMeans[0]/identificationNumber</v>
      </c>
    </row>
    <row r="224" spans="1:17" ht="12" customHeight="1" outlineLevel="4" x14ac:dyDescent="0.25">
      <c r="A224" s="1" t="str">
        <f t="shared" si="2"/>
        <v>CC170C</v>
      </c>
      <c r="B224" s="1">
        <v>4</v>
      </c>
      <c r="C224" s="1" t="s">
        <v>17</v>
      </c>
      <c r="D224" s="1" t="s">
        <v>18</v>
      </c>
      <c r="E224" s="11" t="s">
        <v>282</v>
      </c>
      <c r="F224" s="3" t="s">
        <v>140</v>
      </c>
      <c r="G224" s="3" t="s">
        <v>21</v>
      </c>
      <c r="H224" s="3" t="s">
        <v>734</v>
      </c>
      <c r="I224" s="3"/>
      <c r="J224" s="3" t="s">
        <v>733</v>
      </c>
      <c r="K224" s="3"/>
      <c r="L224" s="3" t="s">
        <v>729</v>
      </c>
      <c r="M224" s="1" t="s">
        <v>283</v>
      </c>
      <c r="P224" s="1" t="s">
        <v>284</v>
      </c>
      <c r="Q224" s="1" t="str">
        <f t="shared" si="3"/>
        <v>*/Consignment/HouseConsignment[0]/DepartureTransportMeans[0]/nationality</v>
      </c>
    </row>
    <row r="225" spans="6:17" ht="12" customHeight="1" x14ac:dyDescent="0.25">
      <c r="F225" s="3"/>
      <c r="G225" s="3"/>
      <c r="H225" s="3"/>
      <c r="I225" s="3"/>
      <c r="J225" s="3"/>
      <c r="K225" s="3"/>
      <c r="L225" s="3"/>
      <c r="Q225" s="1" t="str">
        <f t="shared" si="3"/>
        <v/>
      </c>
    </row>
    <row r="226" spans="6:17" x14ac:dyDescent="0.25">
      <c r="F226" s="3"/>
      <c r="G226" s="3"/>
      <c r="H226" s="3"/>
      <c r="I226" s="3"/>
      <c r="J226" s="3"/>
      <c r="K226" s="3"/>
      <c r="L226" s="3"/>
    </row>
    <row r="227" spans="6:17" x14ac:dyDescent="0.25">
      <c r="F227" s="3"/>
      <c r="G227" s="3"/>
      <c r="H227" s="3"/>
      <c r="I227" s="3"/>
      <c r="J227" s="3"/>
      <c r="K227" s="3"/>
      <c r="L227" s="3"/>
    </row>
    <row r="228" spans="6:17" x14ac:dyDescent="0.25">
      <c r="F228" s="3"/>
      <c r="G228" s="3"/>
      <c r="H228" s="3"/>
      <c r="I228" s="3"/>
      <c r="J228" s="3"/>
      <c r="K228" s="3"/>
      <c r="L228" s="3"/>
    </row>
    <row r="229" spans="6:17" x14ac:dyDescent="0.25">
      <c r="F229" s="3"/>
      <c r="G229" s="3"/>
      <c r="H229" s="3"/>
      <c r="I229" s="3"/>
      <c r="J229" s="3"/>
      <c r="K229" s="3"/>
      <c r="L229" s="3"/>
    </row>
    <row r="230" spans="6:17" x14ac:dyDescent="0.25">
      <c r="F230" s="3"/>
      <c r="G230" s="3"/>
      <c r="H230" s="3"/>
      <c r="I230" s="3"/>
      <c r="J230" s="3"/>
      <c r="K230" s="3"/>
      <c r="L230" s="3"/>
    </row>
    <row r="231" spans="6:17" x14ac:dyDescent="0.25">
      <c r="F231" s="3"/>
      <c r="G231" s="3"/>
      <c r="H231" s="3"/>
      <c r="I231" s="3"/>
      <c r="J231" s="3"/>
      <c r="K231" s="3"/>
      <c r="L231" s="3"/>
    </row>
    <row r="232" spans="6:17" x14ac:dyDescent="0.25">
      <c r="F232" s="3"/>
      <c r="G232" s="3"/>
      <c r="H232" s="3"/>
      <c r="I232" s="3"/>
      <c r="J232" s="3"/>
      <c r="K232" s="3"/>
      <c r="L232" s="3"/>
    </row>
    <row r="233" spans="6:17" x14ac:dyDescent="0.25">
      <c r="F233" s="3"/>
      <c r="G233" s="3"/>
      <c r="H233" s="3"/>
      <c r="I233" s="3"/>
      <c r="J233" s="3"/>
      <c r="K233" s="3"/>
      <c r="L233" s="3"/>
    </row>
    <row r="234" spans="6:17" x14ac:dyDescent="0.25">
      <c r="F234" s="3"/>
      <c r="G234" s="3"/>
      <c r="H234" s="3"/>
      <c r="I234" s="3"/>
      <c r="J234" s="3"/>
      <c r="K234" s="3"/>
      <c r="L234" s="3"/>
    </row>
    <row r="235" spans="6:17" x14ac:dyDescent="0.25">
      <c r="F235" s="3"/>
      <c r="G235" s="3"/>
      <c r="H235" s="3"/>
      <c r="I235" s="3"/>
      <c r="J235" s="3"/>
      <c r="K235" s="3"/>
      <c r="L235" s="3"/>
    </row>
    <row r="236" spans="6:17" x14ac:dyDescent="0.25">
      <c r="F236" s="3"/>
      <c r="G236" s="3"/>
      <c r="H236" s="3"/>
      <c r="I236" s="3"/>
      <c r="J236" s="3"/>
      <c r="K236" s="3"/>
      <c r="L236" s="3"/>
    </row>
    <row r="237" spans="6:17" x14ac:dyDescent="0.25">
      <c r="F237" s="3"/>
      <c r="G237" s="3"/>
      <c r="H237" s="3"/>
      <c r="I237" s="3"/>
      <c r="J237" s="3"/>
      <c r="K237" s="3"/>
      <c r="L237" s="3"/>
    </row>
    <row r="238" spans="6:17" x14ac:dyDescent="0.25">
      <c r="F238" s="3"/>
      <c r="G238" s="3"/>
      <c r="H238" s="3"/>
      <c r="I238" s="3"/>
      <c r="J238" s="3"/>
      <c r="K238" s="3"/>
      <c r="L238" s="3"/>
    </row>
    <row r="239" spans="6:17" x14ac:dyDescent="0.25">
      <c r="F239" s="3"/>
      <c r="G239" s="3"/>
      <c r="H239" s="3"/>
      <c r="I239" s="3"/>
      <c r="J239" s="3"/>
      <c r="K239" s="3"/>
      <c r="L239" s="3"/>
    </row>
    <row r="240" spans="6:17" x14ac:dyDescent="0.25">
      <c r="F240" s="3"/>
      <c r="G240" s="3"/>
      <c r="H240" s="3"/>
      <c r="I240" s="3"/>
      <c r="J240" s="3"/>
      <c r="K240" s="3"/>
      <c r="L240" s="3"/>
    </row>
    <row r="241" spans="6:12" x14ac:dyDescent="0.25">
      <c r="F241" s="3"/>
      <c r="G241" s="3"/>
      <c r="H241" s="3"/>
      <c r="I241" s="3"/>
      <c r="J241" s="3"/>
      <c r="K241" s="3"/>
      <c r="L241" s="3"/>
    </row>
    <row r="242" spans="6:12" x14ac:dyDescent="0.25">
      <c r="F242" s="3"/>
      <c r="G242" s="3"/>
      <c r="H242" s="3"/>
      <c r="I242" s="3"/>
      <c r="J242" s="3"/>
      <c r="K242" s="3"/>
      <c r="L242" s="3"/>
    </row>
    <row r="243" spans="6:12" x14ac:dyDescent="0.25">
      <c r="F243" s="3"/>
      <c r="G243" s="3"/>
      <c r="H243" s="3"/>
      <c r="I243" s="3"/>
      <c r="J243" s="3"/>
      <c r="K243" s="3"/>
      <c r="L243" s="3"/>
    </row>
    <row r="244" spans="6:12" x14ac:dyDescent="0.25">
      <c r="F244" s="3"/>
      <c r="G244" s="3"/>
      <c r="H244" s="3"/>
      <c r="I244" s="3"/>
      <c r="J244" s="3"/>
      <c r="K244" s="3"/>
      <c r="L244" s="3"/>
    </row>
    <row r="245" spans="6:12" x14ac:dyDescent="0.25">
      <c r="F245" s="3"/>
      <c r="G245" s="3"/>
      <c r="H245" s="3"/>
      <c r="I245" s="3"/>
      <c r="J245" s="3"/>
      <c r="K245" s="3"/>
      <c r="L245" s="3"/>
    </row>
    <row r="246" spans="6:12" x14ac:dyDescent="0.25">
      <c r="F246" s="3"/>
      <c r="G246" s="3"/>
      <c r="H246" s="3"/>
      <c r="I246" s="3"/>
      <c r="J246" s="3"/>
      <c r="K246" s="3"/>
      <c r="L246" s="3"/>
    </row>
    <row r="247" spans="6:12" x14ac:dyDescent="0.25">
      <c r="F247" s="3"/>
      <c r="G247" s="3"/>
      <c r="H247" s="3"/>
      <c r="I247" s="3"/>
      <c r="J247" s="3"/>
      <c r="K247" s="3"/>
      <c r="L247" s="3"/>
    </row>
    <row r="248" spans="6:12" x14ac:dyDescent="0.25">
      <c r="F248" s="3"/>
      <c r="G248" s="3"/>
      <c r="H248" s="3"/>
      <c r="I248" s="3"/>
      <c r="J248" s="3"/>
      <c r="K248" s="3"/>
      <c r="L248" s="3"/>
    </row>
    <row r="249" spans="6:12" x14ac:dyDescent="0.25">
      <c r="F249" s="3"/>
      <c r="G249" s="3"/>
      <c r="H249" s="3"/>
      <c r="I249" s="3"/>
      <c r="J249" s="3"/>
      <c r="K249" s="3"/>
      <c r="L249" s="3"/>
    </row>
    <row r="250" spans="6:12" x14ac:dyDescent="0.25">
      <c r="F250" s="3"/>
      <c r="G250" s="3"/>
      <c r="H250" s="3"/>
      <c r="I250" s="3"/>
      <c r="J250" s="3"/>
      <c r="K250" s="3"/>
      <c r="L250" s="3"/>
    </row>
    <row r="251" spans="6:12" x14ac:dyDescent="0.25">
      <c r="F251" s="3"/>
      <c r="G251" s="3"/>
      <c r="H251" s="3"/>
      <c r="I251" s="3"/>
      <c r="J251" s="3"/>
      <c r="K251" s="3"/>
      <c r="L251" s="3"/>
    </row>
    <row r="252" spans="6:12" x14ac:dyDescent="0.25">
      <c r="F252" s="3"/>
      <c r="G252" s="3"/>
      <c r="H252" s="3"/>
      <c r="I252" s="3"/>
      <c r="J252" s="3"/>
      <c r="K252" s="3"/>
      <c r="L252" s="3"/>
    </row>
    <row r="253" spans="6:12" x14ac:dyDescent="0.25">
      <c r="F253" s="3"/>
      <c r="G253" s="3"/>
      <c r="H253" s="3"/>
      <c r="I253" s="3"/>
      <c r="J253" s="3"/>
      <c r="K253" s="3"/>
      <c r="L253" s="3"/>
    </row>
    <row r="254" spans="6:12" x14ac:dyDescent="0.25">
      <c r="F254" s="3"/>
      <c r="G254" s="3"/>
      <c r="H254" s="3"/>
      <c r="I254" s="3"/>
      <c r="J254" s="3"/>
      <c r="K254" s="3"/>
      <c r="L254" s="3"/>
    </row>
    <row r="255" spans="6:12" x14ac:dyDescent="0.25">
      <c r="F255" s="3"/>
      <c r="G255" s="3"/>
      <c r="H255" s="3"/>
      <c r="I255" s="3"/>
      <c r="J255" s="3"/>
      <c r="K255" s="3"/>
      <c r="L255" s="3"/>
    </row>
    <row r="256" spans="6:12" x14ac:dyDescent="0.25">
      <c r="F256" s="3"/>
      <c r="G256" s="3"/>
      <c r="H256" s="3"/>
      <c r="I256" s="3"/>
      <c r="J256" s="3"/>
      <c r="K256" s="3"/>
      <c r="L256" s="3"/>
    </row>
    <row r="257" spans="6:12" x14ac:dyDescent="0.25">
      <c r="F257" s="3"/>
      <c r="G257" s="3"/>
      <c r="H257" s="3"/>
      <c r="I257" s="3"/>
      <c r="J257" s="3"/>
      <c r="K257" s="3"/>
      <c r="L257" s="3"/>
    </row>
    <row r="258" spans="6:12" x14ac:dyDescent="0.25">
      <c r="F258" s="3"/>
      <c r="G258" s="3"/>
      <c r="H258" s="3"/>
      <c r="I258" s="3"/>
      <c r="J258" s="3"/>
      <c r="K258" s="3"/>
      <c r="L258" s="3"/>
    </row>
    <row r="259" spans="6:12" x14ac:dyDescent="0.25">
      <c r="F259" s="3"/>
      <c r="G259" s="3"/>
      <c r="H259" s="3"/>
      <c r="I259" s="3"/>
      <c r="J259" s="3"/>
      <c r="K259" s="3"/>
      <c r="L259" s="3"/>
    </row>
    <row r="260" spans="6:12" x14ac:dyDescent="0.25">
      <c r="F260" s="3"/>
      <c r="G260" s="3"/>
      <c r="H260" s="3"/>
      <c r="I260" s="3"/>
      <c r="J260" s="3"/>
      <c r="K260" s="3"/>
      <c r="L260" s="3"/>
    </row>
    <row r="261" spans="6:12" x14ac:dyDescent="0.25">
      <c r="F261" s="3"/>
      <c r="G261" s="3"/>
      <c r="H261" s="3"/>
      <c r="I261" s="3"/>
      <c r="J261" s="3"/>
      <c r="K261" s="3"/>
      <c r="L261" s="3"/>
    </row>
    <row r="262" spans="6:12" x14ac:dyDescent="0.25">
      <c r="F262" s="3"/>
      <c r="G262" s="3"/>
      <c r="H262" s="3"/>
      <c r="I262" s="3"/>
      <c r="J262" s="3"/>
      <c r="K262" s="3"/>
      <c r="L262" s="3"/>
    </row>
    <row r="263" spans="6:12" x14ac:dyDescent="0.25">
      <c r="F263" s="3"/>
      <c r="G263" s="3"/>
      <c r="H263" s="3"/>
      <c r="I263" s="3"/>
      <c r="J263" s="3"/>
      <c r="K263" s="3"/>
      <c r="L263" s="3"/>
    </row>
    <row r="264" spans="6:12" x14ac:dyDescent="0.25">
      <c r="F264" s="3"/>
      <c r="G264" s="3"/>
      <c r="H264" s="3"/>
      <c r="I264" s="3"/>
      <c r="J264" s="3"/>
      <c r="K264" s="3"/>
      <c r="L264" s="3"/>
    </row>
    <row r="265" spans="6:12" x14ac:dyDescent="0.25">
      <c r="F265" s="3"/>
      <c r="G265" s="3"/>
      <c r="H265" s="3"/>
      <c r="I265" s="3"/>
      <c r="J265" s="3"/>
      <c r="K265" s="3"/>
      <c r="L265" s="3"/>
    </row>
    <row r="266" spans="6:12" x14ac:dyDescent="0.25">
      <c r="F266" s="3"/>
      <c r="G266" s="3"/>
      <c r="H266" s="3"/>
      <c r="I266" s="3"/>
      <c r="J266" s="3"/>
      <c r="K266" s="3"/>
      <c r="L266" s="3"/>
    </row>
    <row r="267" spans="6:12" x14ac:dyDescent="0.25">
      <c r="F267" s="3"/>
      <c r="G267" s="3"/>
      <c r="H267" s="3"/>
      <c r="I267" s="3"/>
      <c r="J267" s="3"/>
      <c r="K267" s="3"/>
      <c r="L267" s="3"/>
    </row>
    <row r="268" spans="6:12" x14ac:dyDescent="0.25">
      <c r="F268" s="3"/>
      <c r="G268" s="3"/>
      <c r="H268" s="3"/>
      <c r="I268" s="3"/>
      <c r="J268" s="3"/>
      <c r="K268" s="3"/>
      <c r="L268" s="3"/>
    </row>
    <row r="269" spans="6:12" x14ac:dyDescent="0.25">
      <c r="F269" s="3"/>
      <c r="G269" s="3"/>
      <c r="H269" s="3"/>
      <c r="I269" s="3"/>
      <c r="J269" s="3"/>
      <c r="K269" s="3"/>
      <c r="L269" s="3"/>
    </row>
    <row r="270" spans="6:12" x14ac:dyDescent="0.25">
      <c r="F270" s="3"/>
      <c r="G270" s="3"/>
      <c r="H270" s="3"/>
      <c r="I270" s="3"/>
      <c r="J270" s="3"/>
      <c r="K270" s="3"/>
      <c r="L270" s="3"/>
    </row>
    <row r="271" spans="6:12" x14ac:dyDescent="0.25">
      <c r="F271" s="3"/>
      <c r="G271" s="3"/>
      <c r="H271" s="3"/>
      <c r="I271" s="3"/>
      <c r="J271" s="3"/>
      <c r="K271" s="3"/>
      <c r="L271" s="3"/>
    </row>
    <row r="272" spans="6:12" x14ac:dyDescent="0.25">
      <c r="F272" s="3"/>
      <c r="G272" s="3"/>
      <c r="H272" s="3"/>
      <c r="I272" s="3"/>
      <c r="J272" s="3"/>
      <c r="K272" s="3"/>
      <c r="L272" s="3"/>
    </row>
    <row r="273" spans="6:12" x14ac:dyDescent="0.25">
      <c r="F273" s="3"/>
      <c r="G273" s="3"/>
      <c r="H273" s="3"/>
      <c r="I273" s="3"/>
      <c r="J273" s="3"/>
      <c r="K273" s="3"/>
      <c r="L273" s="3"/>
    </row>
    <row r="274" spans="6:12" x14ac:dyDescent="0.25">
      <c r="F274" s="3"/>
      <c r="G274" s="3"/>
      <c r="H274" s="3"/>
      <c r="I274" s="3"/>
      <c r="J274" s="3"/>
      <c r="K274" s="3"/>
      <c r="L274" s="3"/>
    </row>
    <row r="275" spans="6:12" x14ac:dyDescent="0.25">
      <c r="F275" s="3"/>
      <c r="G275" s="3"/>
      <c r="H275" s="3"/>
      <c r="I275" s="3"/>
      <c r="J275" s="3"/>
      <c r="K275" s="3"/>
      <c r="L275" s="3"/>
    </row>
    <row r="276" spans="6:12" x14ac:dyDescent="0.25">
      <c r="F276" s="3"/>
      <c r="G276" s="3"/>
      <c r="H276" s="3"/>
      <c r="I276" s="3"/>
      <c r="J276" s="3"/>
      <c r="K276" s="3"/>
      <c r="L276" s="3"/>
    </row>
    <row r="277" spans="6:12" x14ac:dyDescent="0.25">
      <c r="F277" s="3"/>
      <c r="G277" s="3"/>
      <c r="H277" s="3"/>
      <c r="I277" s="3"/>
      <c r="J277" s="3"/>
      <c r="K277" s="3"/>
      <c r="L277" s="3"/>
    </row>
    <row r="278" spans="6:12" x14ac:dyDescent="0.25">
      <c r="F278" s="3"/>
      <c r="G278" s="3"/>
      <c r="H278" s="3"/>
      <c r="I278" s="3"/>
      <c r="J278" s="3"/>
      <c r="K278" s="3"/>
      <c r="L278" s="3"/>
    </row>
    <row r="279" spans="6:12" x14ac:dyDescent="0.25">
      <c r="F279" s="3"/>
      <c r="G279" s="3"/>
      <c r="H279" s="3"/>
      <c r="I279" s="3"/>
      <c r="J279" s="3"/>
      <c r="K279" s="3"/>
      <c r="L279" s="3"/>
    </row>
    <row r="280" spans="6:12" x14ac:dyDescent="0.25">
      <c r="F280" s="3"/>
      <c r="G280" s="3"/>
      <c r="H280" s="3"/>
      <c r="I280" s="3"/>
      <c r="J280" s="3"/>
      <c r="K280" s="3"/>
      <c r="L280" s="3"/>
    </row>
    <row r="281" spans="6:12" x14ac:dyDescent="0.25">
      <c r="F281" s="3"/>
      <c r="G281" s="3"/>
      <c r="H281" s="3"/>
      <c r="I281" s="3"/>
      <c r="J281" s="3"/>
      <c r="K281" s="3"/>
      <c r="L281" s="3"/>
    </row>
    <row r="282" spans="6:12" x14ac:dyDescent="0.25">
      <c r="F282" s="3"/>
      <c r="G282" s="3"/>
      <c r="H282" s="3"/>
      <c r="I282" s="3"/>
      <c r="J282" s="3"/>
      <c r="K282" s="3"/>
      <c r="L282" s="3"/>
    </row>
    <row r="283" spans="6:12" x14ac:dyDescent="0.25">
      <c r="F283" s="3"/>
      <c r="G283" s="3"/>
      <c r="H283" s="3"/>
      <c r="I283" s="3"/>
      <c r="J283" s="3"/>
      <c r="K283" s="3"/>
      <c r="L283" s="3"/>
    </row>
    <row r="284" spans="6:12" x14ac:dyDescent="0.25">
      <c r="F284" s="3"/>
      <c r="G284" s="3"/>
      <c r="H284" s="3"/>
      <c r="I284" s="3"/>
      <c r="J284" s="3"/>
      <c r="K284" s="3"/>
      <c r="L284" s="3"/>
    </row>
    <row r="285" spans="6:12" x14ac:dyDescent="0.25">
      <c r="F285" s="3"/>
      <c r="G285" s="3"/>
      <c r="H285" s="3"/>
      <c r="I285" s="3"/>
      <c r="J285" s="3"/>
      <c r="K285" s="3"/>
      <c r="L285" s="3"/>
    </row>
    <row r="286" spans="6:12" x14ac:dyDescent="0.25">
      <c r="F286" s="3"/>
      <c r="G286" s="3"/>
      <c r="H286" s="3"/>
      <c r="I286" s="3"/>
      <c r="J286" s="3"/>
      <c r="K286" s="3"/>
      <c r="L286" s="3"/>
    </row>
    <row r="287" spans="6:12" x14ac:dyDescent="0.25">
      <c r="F287" s="3"/>
      <c r="G287" s="3"/>
      <c r="H287" s="3"/>
      <c r="I287" s="3"/>
      <c r="J287" s="3"/>
      <c r="K287" s="3"/>
      <c r="L287" s="3"/>
    </row>
    <row r="288" spans="6:12" x14ac:dyDescent="0.25">
      <c r="F288" s="3"/>
      <c r="G288" s="3"/>
      <c r="H288" s="3"/>
      <c r="I288" s="3"/>
      <c r="J288" s="3"/>
      <c r="K288" s="3"/>
      <c r="L288" s="3"/>
    </row>
    <row r="289" spans="6:12" x14ac:dyDescent="0.25">
      <c r="F289" s="3"/>
      <c r="G289" s="3"/>
      <c r="H289" s="3"/>
      <c r="I289" s="3"/>
      <c r="J289" s="3"/>
      <c r="K289" s="3"/>
      <c r="L289" s="3"/>
    </row>
    <row r="290" spans="6:12" x14ac:dyDescent="0.25">
      <c r="F290" s="3"/>
      <c r="G290" s="3"/>
      <c r="H290" s="3"/>
      <c r="I290" s="3"/>
      <c r="J290" s="3"/>
      <c r="K290" s="3"/>
      <c r="L290" s="3"/>
    </row>
    <row r="291" spans="6:12" x14ac:dyDescent="0.25">
      <c r="F291" s="3"/>
      <c r="G291" s="3"/>
      <c r="H291" s="3"/>
      <c r="I291" s="3"/>
      <c r="J291" s="3"/>
      <c r="K291" s="3"/>
      <c r="L291" s="3"/>
    </row>
    <row r="292" spans="6:12" x14ac:dyDescent="0.25">
      <c r="F292" s="3"/>
      <c r="G292" s="3"/>
      <c r="H292" s="3"/>
      <c r="I292" s="3"/>
      <c r="J292" s="3"/>
      <c r="K292" s="3"/>
      <c r="L292" s="3"/>
    </row>
    <row r="293" spans="6:12" x14ac:dyDescent="0.25">
      <c r="F293" s="3"/>
      <c r="G293" s="3"/>
      <c r="H293" s="3"/>
      <c r="I293" s="3"/>
      <c r="J293" s="3"/>
      <c r="K293" s="3"/>
      <c r="L293" s="3"/>
    </row>
    <row r="294" spans="6:12" x14ac:dyDescent="0.25">
      <c r="F294" s="3"/>
      <c r="G294" s="3"/>
      <c r="H294" s="3"/>
      <c r="I294" s="3"/>
      <c r="J294" s="3"/>
      <c r="K294" s="3"/>
      <c r="L294" s="3"/>
    </row>
    <row r="295" spans="6:12" x14ac:dyDescent="0.25">
      <c r="F295" s="3"/>
      <c r="G295" s="3"/>
      <c r="H295" s="3"/>
      <c r="I295" s="3"/>
      <c r="J295" s="3"/>
      <c r="K295" s="3"/>
      <c r="L295" s="3"/>
    </row>
    <row r="296" spans="6:12" x14ac:dyDescent="0.25">
      <c r="F296" s="3"/>
      <c r="G296" s="3"/>
      <c r="H296" s="3"/>
      <c r="I296" s="3"/>
      <c r="J296" s="3"/>
      <c r="K296" s="3"/>
      <c r="L296" s="3"/>
    </row>
    <row r="297" spans="6:12" x14ac:dyDescent="0.25">
      <c r="F297" s="3"/>
      <c r="G297" s="3"/>
      <c r="H297" s="3"/>
      <c r="I297" s="3"/>
      <c r="J297" s="3"/>
      <c r="K297" s="3"/>
      <c r="L297" s="3"/>
    </row>
    <row r="298" spans="6:12" x14ac:dyDescent="0.25">
      <c r="F298" s="3"/>
      <c r="G298" s="3"/>
      <c r="H298" s="3"/>
      <c r="I298" s="3"/>
      <c r="J298" s="3"/>
      <c r="K298" s="3"/>
      <c r="L298" s="3"/>
    </row>
    <row r="299" spans="6:12" x14ac:dyDescent="0.25">
      <c r="F299" s="3"/>
      <c r="G299" s="3"/>
      <c r="H299" s="3"/>
      <c r="I299" s="3"/>
      <c r="J299" s="3"/>
      <c r="K299" s="3"/>
      <c r="L299" s="3"/>
    </row>
    <row r="300" spans="6:12" x14ac:dyDescent="0.25">
      <c r="F300" s="3"/>
      <c r="G300" s="3"/>
      <c r="H300" s="3"/>
      <c r="I300" s="3"/>
      <c r="J300" s="3"/>
      <c r="K300" s="3"/>
      <c r="L300" s="3"/>
    </row>
    <row r="301" spans="6:12" x14ac:dyDescent="0.25">
      <c r="F301" s="3"/>
      <c r="G301" s="3"/>
      <c r="H301" s="3"/>
      <c r="I301" s="3"/>
      <c r="J301" s="3"/>
      <c r="K301" s="3"/>
      <c r="L301" s="3"/>
    </row>
    <row r="302" spans="6:12" x14ac:dyDescent="0.25">
      <c r="F302" s="3"/>
      <c r="G302" s="3"/>
      <c r="H302" s="3"/>
      <c r="I302" s="3"/>
      <c r="J302" s="3"/>
      <c r="K302" s="3"/>
      <c r="L302" s="3"/>
    </row>
  </sheetData>
  <conditionalFormatting sqref="A1:P225">
    <cfRule type="cellIs" priority="1" stopIfTrue="1" operator="equal">
      <formula>INDIRECT(ADDRESS(ROW(),COLUMN(),1,1,"compare"))</formula>
    </cfRule>
    <cfRule type="cellIs" dxfId="5" priority="2" stopIfTrue="1" operator="equal">
      <formula>""</formula>
    </cfRule>
    <cfRule type="expression" dxfId="4" priority="3" stopIfTrue="1">
      <formula>INDIRECT(ADDRESS(ROW(),COLUMN(),1,1,"compare"))=""</formula>
    </cfRule>
    <cfRule type="cellIs" dxfId="3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7f79d73b-6a7a-4260-851c-2db4f77b37d6}" enabled="1" method="Standard" siteId="{2e93f0ed-ff36-46d4-9ce6-e0d902050cf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compare</vt:lpstr>
      <vt:lpstr>COMBINED</vt:lpstr>
      <vt:lpstr>D1</vt:lpstr>
      <vt:lpstr>D2</vt:lpstr>
      <vt:lpstr>D4</vt:lpstr>
    </vt:vector>
  </TitlesOfParts>
  <Company>Skatteministeriet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DMS Transit version 1.0</dc:title>
  <dc:creator>Morten Ask Heebøll Christensen</dc:creator>
  <cp:keywords>npx9-msi9-1zgd</cp:keywords>
  <cp:lastModifiedBy>Morten Ask Heebøll Christensen</cp:lastModifiedBy>
  <dcterms:created xsi:type="dcterms:W3CDTF">2025-12-04T07:48:46Z</dcterms:created>
  <dcterms:modified xsi:type="dcterms:W3CDTF">2025-12-05T11:50:32Z</dcterms:modified>
</cp:coreProperties>
</file>